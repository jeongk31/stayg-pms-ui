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N:\개인\1.공유문서\스테이지\"/>
    </mc:Choice>
  </mc:AlternateContent>
  <xr:revisionPtr revIDLastSave="0" documentId="8_{5BE15354-4A6C-4295-A7E8-563463B6ECCD}" xr6:coauthVersionLast="47" xr6:coauthVersionMax="47" xr10:uidLastSave="{00000000-0000-0000-0000-000000000000}"/>
  <bookViews>
    <workbookView xWindow="22932" yWindow="1992" windowWidth="23256" windowHeight="12456" xr2:uid="{C57F50C2-FB01-41B3-92B3-B788D1860778}"/>
  </bookViews>
  <sheets>
    <sheet name="연간 매출" sheetId="1" r:id="rId1"/>
    <sheet name="월간" sheetId="2" r:id="rId2"/>
    <sheet name="캐쉬" sheetId="3" r:id="rId3"/>
    <sheet name="원가 세부입력" sheetId="4" r:id="rId4"/>
    <sheet name="원가 연 (2)" sheetId="5" r:id="rId5"/>
    <sheet name="원가 연 (3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3" l="1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B38" i="3"/>
  <c r="C34" i="5" l="1"/>
  <c r="C19" i="5"/>
  <c r="C7" i="5" l="1"/>
  <c r="D16" i="6" l="1"/>
  <c r="D15" i="6"/>
  <c r="D14" i="6"/>
  <c r="D13" i="6"/>
  <c r="D12" i="6"/>
  <c r="D11" i="6"/>
  <c r="D10" i="6"/>
  <c r="D9" i="6"/>
  <c r="D8" i="6"/>
  <c r="D7" i="6"/>
  <c r="O18" i="1" l="1"/>
  <c r="P7" i="1"/>
  <c r="P8" i="1"/>
  <c r="P9" i="1"/>
  <c r="P10" i="1"/>
  <c r="P11" i="1"/>
  <c r="P12" i="1"/>
  <c r="P13" i="1"/>
  <c r="P14" i="1"/>
  <c r="P15" i="1"/>
  <c r="P16" i="1"/>
  <c r="P17" i="1"/>
  <c r="P6" i="1"/>
  <c r="C18" i="1"/>
  <c r="D18" i="1"/>
  <c r="E18" i="1"/>
  <c r="F18" i="1"/>
  <c r="G18" i="1"/>
  <c r="H18" i="1"/>
  <c r="I18" i="1"/>
  <c r="J18" i="1"/>
  <c r="K18" i="1"/>
  <c r="L18" i="1"/>
  <c r="M18" i="1"/>
  <c r="N18" i="1"/>
  <c r="B18" i="1"/>
  <c r="M18" i="2"/>
  <c r="L18" i="2"/>
  <c r="K18" i="2"/>
  <c r="J18" i="2"/>
  <c r="I18" i="2"/>
  <c r="H18" i="2"/>
  <c r="G18" i="2"/>
  <c r="F18" i="2"/>
  <c r="E18" i="2"/>
  <c r="D18" i="2"/>
  <c r="C18" i="2"/>
  <c r="B18" i="2"/>
  <c r="O17" i="2"/>
  <c r="O16" i="2"/>
  <c r="O15" i="2"/>
  <c r="O14" i="2"/>
  <c r="O7" i="2"/>
  <c r="O8" i="2"/>
  <c r="O9" i="2"/>
  <c r="O6" i="2"/>
  <c r="C10" i="2"/>
  <c r="D10" i="2"/>
  <c r="E10" i="2"/>
  <c r="F10" i="2"/>
  <c r="G10" i="2"/>
  <c r="H10" i="2"/>
  <c r="I10" i="2"/>
  <c r="J10" i="2"/>
  <c r="K10" i="2"/>
  <c r="L10" i="2"/>
  <c r="M10" i="2"/>
  <c r="B10" i="2"/>
  <c r="O10" i="2" s="1"/>
  <c r="O18" i="2" l="1"/>
  <c r="P18" i="1"/>
</calcChain>
</file>

<file path=xl/sharedStrings.xml><?xml version="1.0" encoding="utf-8"?>
<sst xmlns="http://schemas.openxmlformats.org/spreadsheetml/2006/main" count="367" uniqueCount="99">
  <si>
    <t>야놀자 M</t>
    <phoneticPr fontId="2" type="noConversion"/>
  </si>
  <si>
    <t>야놀자 H</t>
    <phoneticPr fontId="2" type="noConversion"/>
  </si>
  <si>
    <t>여기어때 H</t>
    <phoneticPr fontId="2" type="noConversion"/>
  </si>
  <si>
    <t>여기어때 M</t>
    <phoneticPr fontId="2" type="noConversion"/>
  </si>
  <si>
    <t>네이버</t>
    <phoneticPr fontId="2" type="noConversion"/>
  </si>
  <si>
    <t>아고다</t>
    <phoneticPr fontId="2" type="noConversion"/>
  </si>
  <si>
    <t>부킹닷컴</t>
    <phoneticPr fontId="2" type="noConversion"/>
  </si>
  <si>
    <t>트립닷컴</t>
    <phoneticPr fontId="2" type="noConversion"/>
  </si>
  <si>
    <t>에어비앤비</t>
    <phoneticPr fontId="2" type="noConversion"/>
  </si>
  <si>
    <t>현금</t>
    <phoneticPr fontId="2" type="noConversion"/>
  </si>
  <si>
    <t>이체</t>
    <phoneticPr fontId="2" type="noConversion"/>
  </si>
  <si>
    <t>카드</t>
    <phoneticPr fontId="2" type="noConversion"/>
  </si>
  <si>
    <t>이벤트</t>
    <phoneticPr fontId="2" type="noConversion"/>
  </si>
  <si>
    <t>1월</t>
    <phoneticPr fontId="2" type="noConversion"/>
  </si>
  <si>
    <t>합계</t>
    <phoneticPr fontId="2" type="noConversion"/>
  </si>
  <si>
    <t>2월</t>
    <phoneticPr fontId="2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</si>
  <si>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</si>
  <si>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</si>
  <si>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</si>
  <si>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</si>
  <si>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</si>
  <si>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</si>
  <si>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</si>
  <si>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</si>
  <si>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</si>
  <si>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</si>
  <si>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연간</t>
    <phoneticPr fontId="2" type="noConversion"/>
  </si>
  <si>
    <t>숙박 금액</t>
    <phoneticPr fontId="2" type="noConversion"/>
  </si>
  <si>
    <t>대실 금액</t>
    <phoneticPr fontId="2" type="noConversion"/>
  </si>
  <si>
    <t>소계</t>
    <phoneticPr fontId="2" type="noConversion"/>
  </si>
  <si>
    <t>.</t>
    <phoneticPr fontId="2" type="noConversion"/>
  </si>
  <si>
    <t>1 월</t>
    <phoneticPr fontId="2" type="noConversion"/>
  </si>
  <si>
    <t>24년 12월</t>
    <phoneticPr fontId="2" type="noConversion"/>
  </si>
  <si>
    <t>비교</t>
    <phoneticPr fontId="2" type="noConversion"/>
  </si>
  <si>
    <t>(검색 월 선택)</t>
    <phoneticPr fontId="2" type="noConversion"/>
  </si>
  <si>
    <t>(자동 전월)</t>
    <phoneticPr fontId="2" type="noConversion"/>
  </si>
  <si>
    <t>프로젝트명</t>
    <phoneticPr fontId="2" type="noConversion"/>
  </si>
  <si>
    <t>매출</t>
    <phoneticPr fontId="2" type="noConversion"/>
  </si>
  <si>
    <t>입금일
(수기입력)</t>
    <phoneticPr fontId="2" type="noConversion"/>
  </si>
  <si>
    <t>입금액
(수기입력)</t>
    <phoneticPr fontId="2" type="noConversion"/>
  </si>
  <si>
    <t>기타</t>
    <phoneticPr fontId="2" type="noConversion"/>
  </si>
  <si>
    <t>숙박건수</t>
    <phoneticPr fontId="2" type="noConversion"/>
  </si>
  <si>
    <t>대실 건수</t>
    <phoneticPr fontId="2" type="noConversion"/>
  </si>
  <si>
    <t>월</t>
    <phoneticPr fontId="2" type="noConversion"/>
  </si>
  <si>
    <t>자금유동성</t>
    <phoneticPr fontId="2" type="noConversion"/>
  </si>
  <si>
    <t>원가</t>
    <phoneticPr fontId="2" type="noConversion"/>
  </si>
  <si>
    <t>항목</t>
    <phoneticPr fontId="2" type="noConversion"/>
  </si>
  <si>
    <t>지불수단</t>
    <phoneticPr fontId="2" type="noConversion"/>
  </si>
  <si>
    <t>(드릴다운)▼</t>
    <phoneticPr fontId="2" type="noConversion"/>
  </si>
  <si>
    <t>업체명</t>
    <phoneticPr fontId="2" type="noConversion"/>
  </si>
  <si>
    <t>TV인터넷</t>
    <phoneticPr fontId="2" type="noConversion"/>
  </si>
  <si>
    <t>금액</t>
    <phoneticPr fontId="2" type="noConversion"/>
  </si>
  <si>
    <t>세부 내역</t>
    <phoneticPr fontId="2" type="noConversion"/>
  </si>
  <si>
    <t>고정비</t>
    <phoneticPr fontId="2" type="noConversion"/>
  </si>
  <si>
    <t>유동비</t>
    <phoneticPr fontId="2" type="noConversion"/>
  </si>
  <si>
    <t>휴대폰</t>
    <phoneticPr fontId="2" type="noConversion"/>
  </si>
  <si>
    <t>cctv</t>
    <phoneticPr fontId="2" type="noConversion"/>
  </si>
  <si>
    <t>OTT</t>
    <phoneticPr fontId="2" type="noConversion"/>
  </si>
  <si>
    <t>방역</t>
    <phoneticPr fontId="2" type="noConversion"/>
  </si>
  <si>
    <t>엘리베이터 관리</t>
    <phoneticPr fontId="2" type="noConversion"/>
  </si>
  <si>
    <t>전기안전관리</t>
    <phoneticPr fontId="2" type="noConversion"/>
  </si>
  <si>
    <t>소방안전관리</t>
    <phoneticPr fontId="2" type="noConversion"/>
  </si>
  <si>
    <t>화재보험</t>
    <phoneticPr fontId="2" type="noConversion"/>
  </si>
  <si>
    <t>재난보험</t>
    <phoneticPr fontId="2" type="noConversion"/>
  </si>
  <si>
    <t>승강기보험</t>
    <phoneticPr fontId="2" type="noConversion"/>
  </si>
  <si>
    <t>주기</t>
    <phoneticPr fontId="2" type="noConversion"/>
  </si>
  <si>
    <t>바이럴마케팅</t>
    <phoneticPr fontId="2" type="noConversion"/>
  </si>
  <si>
    <t>야놀자광고</t>
    <phoneticPr fontId="2" type="noConversion"/>
  </si>
  <si>
    <t>여기어때광고</t>
    <phoneticPr fontId="2" type="noConversion"/>
  </si>
  <si>
    <t>키폰</t>
    <phoneticPr fontId="2" type="noConversion"/>
  </si>
  <si>
    <t>CMS</t>
    <phoneticPr fontId="2" type="noConversion"/>
  </si>
  <si>
    <t>PMS</t>
    <phoneticPr fontId="2" type="noConversion"/>
  </si>
  <si>
    <t>세탁비</t>
    <phoneticPr fontId="2" type="noConversion"/>
  </si>
  <si>
    <t>관리비</t>
    <phoneticPr fontId="2" type="noConversion"/>
  </si>
  <si>
    <t>급여</t>
    <phoneticPr fontId="2" type="noConversion"/>
  </si>
  <si>
    <t>쿠팡</t>
    <phoneticPr fontId="2" type="noConversion"/>
  </si>
  <si>
    <t>스낵바</t>
    <phoneticPr fontId="2" type="noConversion"/>
  </si>
  <si>
    <t>각종수수료</t>
    <phoneticPr fontId="2" type="noConversion"/>
  </si>
  <si>
    <t>가스요금</t>
    <phoneticPr fontId="2" type="noConversion"/>
  </si>
  <si>
    <t>전기요금</t>
    <phoneticPr fontId="2" type="noConversion"/>
  </si>
  <si>
    <t>수도요금</t>
    <phoneticPr fontId="2" type="noConversion"/>
  </si>
  <si>
    <t>청소 소모품</t>
    <phoneticPr fontId="2" type="noConversion"/>
  </si>
  <si>
    <t>사무 소모품</t>
    <phoneticPr fontId="2" type="noConversion"/>
  </si>
  <si>
    <t>임대료</t>
    <phoneticPr fontId="2" type="noConversion"/>
  </si>
  <si>
    <t>청소 알바</t>
    <phoneticPr fontId="2" type="noConversion"/>
  </si>
  <si>
    <t>프런트 알바</t>
    <phoneticPr fontId="2" type="noConversion"/>
  </si>
  <si>
    <t>4대 보험</t>
    <phoneticPr fontId="2" type="noConversion"/>
  </si>
  <si>
    <t>기타 수당</t>
    <phoneticPr fontId="2" type="noConversion"/>
  </si>
  <si>
    <t>부가세</t>
    <phoneticPr fontId="2" type="noConversion"/>
  </si>
  <si>
    <t>소득세</t>
    <phoneticPr fontId="2" type="noConversion"/>
  </si>
  <si>
    <t>면허세</t>
    <phoneticPr fontId="2" type="noConversion"/>
  </si>
  <si>
    <t>비품(유통)</t>
    <phoneticPr fontId="2" type="noConversion"/>
  </si>
  <si>
    <t>린넨</t>
    <phoneticPr fontId="2" type="noConversion"/>
  </si>
  <si>
    <t>시설 수선비</t>
    <phoneticPr fontId="2" type="noConversion"/>
  </si>
  <si>
    <t>단말기</t>
    <phoneticPr fontId="2" type="noConversion"/>
  </si>
  <si>
    <t>구분</t>
    <phoneticPr fontId="2" type="noConversion"/>
  </si>
  <si>
    <t>total</t>
    <phoneticPr fontId="2" type="noConversion"/>
  </si>
  <si>
    <t>출력</t>
    <phoneticPr fontId="2" type="noConversion"/>
  </si>
  <si>
    <t>엑셀 다운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</si>
</sst>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yyyy/mm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3" fillId="0" borderId="0" xfId="1" applyFont="1" applyAlignment="1">
      <alignment vertical="center"/>
    </xf>
    <xf numFmtId="0" fontId="3" fillId="0" borderId="0" xfId="0" applyFont="1">
      <alignment vertical="center"/>
    </xf>
    <xf numFmtId="41" fontId="4" fillId="0" borderId="0" xfId="1" applyFont="1">
      <alignment vertical="center"/>
    </xf>
    <xf numFmtId="0" fontId="4" fillId="0" borderId="0" xfId="0" applyFont="1" applyAlignment="1">
      <alignment horizontal="center" vertical="center"/>
    </xf>
    <xf numFmtId="41" fontId="4" fillId="0" borderId="0" xfId="1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41" fontId="4" fillId="0" borderId="0" xfId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1" fontId="3" fillId="0" borderId="0" xfId="1" applyFont="1" applyAlignment="1">
      <alignment horizontal="center" vertical="center"/>
    </xf>
    <xf numFmtId="41" fontId="4" fillId="0" borderId="0" xfId="0" applyNumberFormat="1" applyFont="1">
      <alignment vertical="center"/>
    </xf>
    <xf numFmtId="41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177" fontId="4" fillId="0" borderId="1" xfId="1" applyNumberFormat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41" fontId="4" fillId="0" borderId="2" xfId="0" applyNumberFormat="1" applyFont="1" applyBorder="1" applyAlignment="1">
      <alignment horizontal="center" vertical="center"/>
    </xf>
    <xf numFmtId="41" fontId="4" fillId="0" borderId="3" xfId="0" applyNumberFormat="1" applyFont="1" applyBorder="1" applyAlignment="1">
      <alignment horizontal="center" vertical="center"/>
    </xf>
    <xf numFmtId="41" fontId="3" fillId="0" borderId="1" xfId="1" applyFont="1" applyBorder="1" applyAlignment="1">
      <alignment vertical="center"/>
    </xf>
    <xf numFmtId="41" fontId="4" fillId="0" borderId="1" xfId="1" applyFont="1" applyBorder="1" applyAlignment="1">
      <alignment vertical="center"/>
    </xf>
    <xf numFmtId="41" fontId="4" fillId="0" borderId="1" xfId="1" applyFont="1" applyBorder="1" applyAlignment="1">
      <alignment horizontal="center" vertical="center" wrapText="1"/>
    </xf>
    <xf numFmtId="41" fontId="4" fillId="0" borderId="1" xfId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20</xdr:row>
      <xdr:rowOff>38100</xdr:rowOff>
    </xdr:from>
    <xdr:to>
      <xdr:col>16</xdr:col>
      <xdr:colOff>655320</xdr:colOff>
      <xdr:row>36</xdr:row>
      <xdr:rowOff>7620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805B741-F8CC-2E43-5412-37311E718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472940"/>
          <a:ext cx="13129260" cy="3383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15</xdr:col>
      <xdr:colOff>9525</xdr:colOff>
      <xdr:row>50</xdr:row>
      <xdr:rowOff>9525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D55A063-65DA-F106-91C2-8F5DFAA34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9300"/>
          <a:ext cx="11277600" cy="515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0</xdr:rowOff>
    </xdr:from>
    <xdr:to>
      <xdr:col>43</xdr:col>
      <xdr:colOff>9525</xdr:colOff>
      <xdr:row>76</xdr:row>
      <xdr:rowOff>9525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A56E38B-B641-C28A-5DC6-975BC68A7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29450"/>
          <a:ext cx="35013900" cy="6181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34</xdr:row>
      <xdr:rowOff>0</xdr:rowOff>
    </xdr:from>
    <xdr:to>
      <xdr:col>12</xdr:col>
      <xdr:colOff>424815</xdr:colOff>
      <xdr:row>57</xdr:row>
      <xdr:rowOff>5715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25262B8-0AC3-7612-EC9F-61A73FEA5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7775" y="5829300"/>
          <a:ext cx="4381500" cy="395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19</xdr:col>
      <xdr:colOff>104775</xdr:colOff>
      <xdr:row>23</xdr:row>
      <xdr:rowOff>9525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DA54C8B-896D-15A0-EA4B-E46EFEC2E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71450"/>
          <a:ext cx="3533775" cy="3781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0</xdr:rowOff>
    </xdr:from>
    <xdr:to>
      <xdr:col>5</xdr:col>
      <xdr:colOff>9525</xdr:colOff>
      <xdr:row>69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9946FBC-2EB0-5A5B-D094-625BC4D5C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53200"/>
          <a:ext cx="4200525" cy="536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4</xdr:col>
      <xdr:colOff>9525</xdr:colOff>
      <xdr:row>35</xdr:row>
      <xdr:rowOff>9525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39CB562-75D3-88C4-AAAB-D8F30374A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3038475" cy="2581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C843-2589-4ED1-B5A6-9917D25BD4D3}">
  <dimension ref="A3:P18"/>
  <sheetViews>
    <sheetView showGridLines="0" tabSelected="1" topLeftCell="A9" workbookViewId="0">
      <selection activeCell="G14" sqref="G14"/>
    </sheetView>
  </sheetViews>
  <sheetFormatPr defaultRowHeight="16.5" x14ac:dyDescent="0.3"/>
  <cols>
    <col min="1" max="1" width="9" style="1"/>
    <col min="2" max="12" width="10.875" style="3" customWidth="1"/>
    <col min="13" max="14" width="11.5" style="3" customWidth="1"/>
    <col min="15" max="15" width="8.5" style="3" customWidth="1"/>
    <col min="16" max="16" width="11.75" style="3" customWidth="1"/>
  </cols>
  <sheetData>
    <row r="3" spans="1:16" x14ac:dyDescent="0.3">
      <c r="D3" s="4" t="s">
        <v>97</v>
      </c>
      <c r="E3" s="4" t="s">
        <v>98</v>
      </c>
    </row>
    <row r="4" spans="1:16" ht="30" customHeight="1" x14ac:dyDescent="0.3">
      <c r="A4" s="1" t="s">
        <v>26</v>
      </c>
      <c r="B4" s="3" t="s">
        <v>36</v>
      </c>
    </row>
    <row r="5" spans="1:16" x14ac:dyDescent="0.3">
      <c r="A5" s="2"/>
      <c r="B5" s="22" t="s">
        <v>0</v>
      </c>
      <c r="C5" s="22" t="s">
        <v>1</v>
      </c>
      <c r="D5" s="22" t="s">
        <v>2</v>
      </c>
      <c r="E5" s="22" t="s">
        <v>3</v>
      </c>
      <c r="F5" s="22" t="s">
        <v>4</v>
      </c>
      <c r="G5" s="22" t="s">
        <v>5</v>
      </c>
      <c r="H5" s="22" t="s">
        <v>6</v>
      </c>
      <c r="I5" s="22" t="s">
        <v>7</v>
      </c>
      <c r="J5" s="22" t="s">
        <v>8</v>
      </c>
      <c r="K5" s="22" t="s">
        <v>9</v>
      </c>
      <c r="L5" s="22" t="s">
        <v>10</v>
      </c>
      <c r="M5" s="22" t="s">
        <v>11</v>
      </c>
      <c r="N5" s="22" t="s">
        <v>12</v>
      </c>
      <c r="O5" s="22" t="s">
        <v>40</v>
      </c>
      <c r="P5" s="22" t="s">
        <v>14</v>
      </c>
    </row>
    <row r="6" spans="1:16" x14ac:dyDescent="0.3">
      <c r="A6" s="2" t="s">
        <v>13</v>
      </c>
      <c r="B6" s="22">
        <v>200000</v>
      </c>
      <c r="C6" s="22">
        <v>3000000</v>
      </c>
      <c r="D6" s="22">
        <v>5800000</v>
      </c>
      <c r="E6" s="22">
        <v>8600000</v>
      </c>
      <c r="F6" s="22">
        <v>11400000</v>
      </c>
      <c r="G6" s="22">
        <v>14200000</v>
      </c>
      <c r="H6" s="22">
        <v>17000000</v>
      </c>
      <c r="I6" s="22">
        <v>19800000</v>
      </c>
      <c r="J6" s="22">
        <v>22600000</v>
      </c>
      <c r="K6" s="22">
        <v>25400000</v>
      </c>
      <c r="L6" s="22">
        <v>28200000</v>
      </c>
      <c r="M6" s="22">
        <v>31000000</v>
      </c>
      <c r="N6" s="22">
        <v>33800000</v>
      </c>
      <c r="O6" s="22"/>
      <c r="P6" s="22">
        <f>SUM(B6:N6)</f>
        <v>221000000</v>
      </c>
    </row>
    <row r="7" spans="1:16" x14ac:dyDescent="0.3">
      <c r="A7" s="2" t="s">
        <v>15</v>
      </c>
      <c r="B7" s="22">
        <v>300000</v>
      </c>
      <c r="C7" s="22">
        <v>4000000</v>
      </c>
      <c r="D7" s="22">
        <v>7700000</v>
      </c>
      <c r="E7" s="22">
        <v>11400000</v>
      </c>
      <c r="F7" s="22">
        <v>15100000</v>
      </c>
      <c r="G7" s="22">
        <v>18800000</v>
      </c>
      <c r="H7" s="22">
        <v>22500000</v>
      </c>
      <c r="I7" s="22">
        <v>26200000</v>
      </c>
      <c r="J7" s="22">
        <v>29900000</v>
      </c>
      <c r="K7" s="22">
        <v>33600000</v>
      </c>
      <c r="L7" s="22">
        <v>37300000</v>
      </c>
      <c r="M7" s="22">
        <v>41000000</v>
      </c>
      <c r="N7" s="22">
        <v>44700000</v>
      </c>
      <c r="O7" s="22"/>
      <c r="P7" s="22">
        <f t="shared" ref="P7:P17" si="0">SUM(B7:N7)</f>
        <v>292500000</v>
      </c>
    </row>
    <row r="8" spans="1:16" x14ac:dyDescent="0.3">
      <c r="A8" s="2" t="s">
        <v>16</v>
      </c>
      <c r="B8" s="22">
        <v>200000</v>
      </c>
      <c r="C8" s="22">
        <v>3000000</v>
      </c>
      <c r="D8" s="22">
        <v>5800000</v>
      </c>
      <c r="E8" s="22">
        <v>8600000</v>
      </c>
      <c r="F8" s="22">
        <v>11400000</v>
      </c>
      <c r="G8" s="22">
        <v>14200000</v>
      </c>
      <c r="H8" s="22">
        <v>17000000</v>
      </c>
      <c r="I8" s="22">
        <v>19800000</v>
      </c>
      <c r="J8" s="22">
        <v>22600000</v>
      </c>
      <c r="K8" s="22">
        <v>25400000</v>
      </c>
      <c r="L8" s="22">
        <v>28200000</v>
      </c>
      <c r="M8" s="22">
        <v>31000000</v>
      </c>
      <c r="N8" s="22">
        <v>33800000</v>
      </c>
      <c r="O8" s="22"/>
      <c r="P8" s="22">
        <f t="shared" si="0"/>
        <v>221000000</v>
      </c>
    </row>
    <row r="9" spans="1:16" x14ac:dyDescent="0.3">
      <c r="A9" s="2" t="s">
        <v>17</v>
      </c>
      <c r="B9" s="22" t="s">
        <v>30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>
        <f t="shared" si="0"/>
        <v>0</v>
      </c>
    </row>
    <row r="10" spans="1:16" x14ac:dyDescent="0.3">
      <c r="A10" s="2" t="s">
        <v>18</v>
      </c>
      <c r="B10" s="22" t="s">
        <v>30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>
        <f t="shared" si="0"/>
        <v>0</v>
      </c>
    </row>
    <row r="11" spans="1:16" x14ac:dyDescent="0.3">
      <c r="A11" s="2" t="s">
        <v>19</v>
      </c>
      <c r="B11" s="22" t="s">
        <v>30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>
        <f t="shared" si="0"/>
        <v>0</v>
      </c>
    </row>
    <row r="12" spans="1:16" x14ac:dyDescent="0.3">
      <c r="A12" s="2" t="s">
        <v>20</v>
      </c>
      <c r="B12" s="22" t="s">
        <v>30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>
        <f t="shared" si="0"/>
        <v>0</v>
      </c>
    </row>
    <row r="13" spans="1:16" x14ac:dyDescent="0.3">
      <c r="A13" s="2" t="s">
        <v>21</v>
      </c>
      <c r="B13" s="22" t="s">
        <v>30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>
        <f t="shared" si="0"/>
        <v>0</v>
      </c>
    </row>
    <row r="14" spans="1:16" x14ac:dyDescent="0.3">
      <c r="A14" s="2" t="s">
        <v>22</v>
      </c>
      <c r="B14" s="22" t="s">
        <v>30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>
        <f t="shared" si="0"/>
        <v>0</v>
      </c>
    </row>
    <row r="15" spans="1:16" x14ac:dyDescent="0.3">
      <c r="A15" s="2" t="s">
        <v>23</v>
      </c>
      <c r="B15" s="22" t="s">
        <v>30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>
        <f t="shared" si="0"/>
        <v>0</v>
      </c>
    </row>
    <row r="16" spans="1:16" x14ac:dyDescent="0.3">
      <c r="A16" s="2" t="s">
        <v>24</v>
      </c>
      <c r="B16" s="22" t="s">
        <v>30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>
        <f t="shared" si="0"/>
        <v>0</v>
      </c>
    </row>
    <row r="17" spans="1:16" x14ac:dyDescent="0.3">
      <c r="A17" s="2" t="s">
        <v>25</v>
      </c>
      <c r="B17" s="22" t="s">
        <v>30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>
        <f t="shared" si="0"/>
        <v>0</v>
      </c>
    </row>
    <row r="18" spans="1:16" x14ac:dyDescent="0.3">
      <c r="A18" s="2" t="s">
        <v>14</v>
      </c>
      <c r="B18" s="22">
        <f>SUM(B6:B17)</f>
        <v>700000</v>
      </c>
      <c r="C18" s="22">
        <f t="shared" ref="C18:P18" si="1">SUM(C6:C17)</f>
        <v>10000000</v>
      </c>
      <c r="D18" s="22">
        <f t="shared" si="1"/>
        <v>19300000</v>
      </c>
      <c r="E18" s="22">
        <f t="shared" si="1"/>
        <v>28600000</v>
      </c>
      <c r="F18" s="22">
        <f t="shared" si="1"/>
        <v>37900000</v>
      </c>
      <c r="G18" s="22">
        <f t="shared" si="1"/>
        <v>47200000</v>
      </c>
      <c r="H18" s="22">
        <f t="shared" si="1"/>
        <v>56500000</v>
      </c>
      <c r="I18" s="22">
        <f t="shared" si="1"/>
        <v>65800000</v>
      </c>
      <c r="J18" s="22">
        <f t="shared" si="1"/>
        <v>75100000</v>
      </c>
      <c r="K18" s="22">
        <f t="shared" si="1"/>
        <v>84400000</v>
      </c>
      <c r="L18" s="22">
        <f t="shared" si="1"/>
        <v>93700000</v>
      </c>
      <c r="M18" s="22">
        <f t="shared" si="1"/>
        <v>103000000</v>
      </c>
      <c r="N18" s="22">
        <f t="shared" si="1"/>
        <v>112300000</v>
      </c>
      <c r="O18" s="22">
        <f t="shared" si="1"/>
        <v>0</v>
      </c>
      <c r="P18" s="22">
        <f t="shared" si="1"/>
        <v>734500000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3DAB-FAA5-4A32-83BE-83F9416BE242}">
  <dimension ref="A3:P18"/>
  <sheetViews>
    <sheetView showGridLines="0" topLeftCell="A16" workbookViewId="0">
      <selection activeCell="A21" sqref="A21"/>
    </sheetView>
  </sheetViews>
  <sheetFormatPr defaultRowHeight="13.5" x14ac:dyDescent="0.3"/>
  <cols>
    <col min="1" max="1" width="9.625" style="6" bestFit="1" customWidth="1"/>
    <col min="2" max="15" width="9.875" style="5" customWidth="1"/>
    <col min="16" max="16" width="9" style="5"/>
    <col min="17" max="16384" width="9" style="4"/>
  </cols>
  <sheetData>
    <row r="3" spans="1:15" x14ac:dyDescent="0.3">
      <c r="A3" s="4" t="s">
        <v>34</v>
      </c>
      <c r="D3" s="4" t="s">
        <v>97</v>
      </c>
      <c r="E3" s="4" t="s">
        <v>98</v>
      </c>
    </row>
    <row r="4" spans="1:15" x14ac:dyDescent="0.3">
      <c r="A4" s="6" t="s">
        <v>31</v>
      </c>
      <c r="B4" s="7" t="s">
        <v>36</v>
      </c>
    </row>
    <row r="5" spans="1:15" ht="27" customHeight="1" x14ac:dyDescent="0.3">
      <c r="A5" s="8"/>
      <c r="B5" s="9" t="s">
        <v>0</v>
      </c>
      <c r="C5" s="9" t="s">
        <v>1</v>
      </c>
      <c r="D5" s="9" t="s">
        <v>2</v>
      </c>
      <c r="E5" s="9" t="s">
        <v>3</v>
      </c>
      <c r="F5" s="9" t="s">
        <v>4</v>
      </c>
      <c r="G5" s="9" t="s">
        <v>5</v>
      </c>
      <c r="H5" s="9" t="s">
        <v>6</v>
      </c>
      <c r="I5" s="9" t="s">
        <v>7</v>
      </c>
      <c r="J5" s="9" t="s">
        <v>8</v>
      </c>
      <c r="K5" s="9" t="s">
        <v>9</v>
      </c>
      <c r="L5" s="9" t="s">
        <v>10</v>
      </c>
      <c r="M5" s="9" t="s">
        <v>11</v>
      </c>
      <c r="N5" s="9" t="s">
        <v>12</v>
      </c>
      <c r="O5" s="9" t="s">
        <v>14</v>
      </c>
    </row>
    <row r="6" spans="1:15" ht="27" customHeight="1" x14ac:dyDescent="0.3">
      <c r="A6" s="8" t="s">
        <v>41</v>
      </c>
      <c r="B6" s="9">
        <v>10</v>
      </c>
      <c r="C6" s="9">
        <v>11</v>
      </c>
      <c r="D6" s="9">
        <v>3</v>
      </c>
      <c r="E6" s="9">
        <v>4</v>
      </c>
      <c r="F6" s="9">
        <v>5</v>
      </c>
      <c r="G6" s="9">
        <v>6</v>
      </c>
      <c r="H6" s="9">
        <v>7</v>
      </c>
      <c r="I6" s="9">
        <v>8</v>
      </c>
      <c r="J6" s="9">
        <v>9</v>
      </c>
      <c r="K6" s="9">
        <v>10</v>
      </c>
      <c r="L6" s="9">
        <v>11</v>
      </c>
      <c r="M6" s="9">
        <v>12</v>
      </c>
      <c r="N6" s="9"/>
      <c r="O6" s="9">
        <f>SUM(B6:N6)</f>
        <v>96</v>
      </c>
    </row>
    <row r="7" spans="1:15" ht="27" customHeight="1" x14ac:dyDescent="0.3">
      <c r="A7" s="8" t="s">
        <v>27</v>
      </c>
      <c r="B7" s="9">
        <v>500000</v>
      </c>
      <c r="C7" s="9">
        <v>600000</v>
      </c>
      <c r="D7" s="9"/>
      <c r="E7" s="9">
        <v>600000</v>
      </c>
      <c r="F7" s="9"/>
      <c r="G7" s="9">
        <v>600000</v>
      </c>
      <c r="H7" s="9"/>
      <c r="I7" s="9">
        <v>600000</v>
      </c>
      <c r="J7" s="9"/>
      <c r="K7" s="9">
        <v>600000</v>
      </c>
      <c r="L7" s="9"/>
      <c r="M7" s="9">
        <v>600000</v>
      </c>
      <c r="N7" s="9"/>
      <c r="O7" s="9">
        <f t="shared" ref="O7:O10" si="0">SUM(B7:N7)</f>
        <v>4100000</v>
      </c>
    </row>
    <row r="8" spans="1:15" ht="27" customHeight="1" x14ac:dyDescent="0.3">
      <c r="A8" s="8" t="s">
        <v>42</v>
      </c>
      <c r="B8" s="9">
        <v>0</v>
      </c>
      <c r="C8" s="9">
        <v>1</v>
      </c>
      <c r="D8" s="9">
        <v>3</v>
      </c>
      <c r="E8" s="9">
        <v>5</v>
      </c>
      <c r="F8" s="9">
        <v>7</v>
      </c>
      <c r="G8" s="9">
        <v>9</v>
      </c>
      <c r="H8" s="9">
        <v>11</v>
      </c>
      <c r="I8" s="9">
        <v>13</v>
      </c>
      <c r="J8" s="9">
        <v>15</v>
      </c>
      <c r="K8" s="9">
        <v>17</v>
      </c>
      <c r="L8" s="9">
        <v>19</v>
      </c>
      <c r="M8" s="9">
        <v>21</v>
      </c>
      <c r="N8" s="9"/>
      <c r="O8" s="9">
        <f t="shared" si="0"/>
        <v>121</v>
      </c>
    </row>
    <row r="9" spans="1:15" ht="27" customHeight="1" x14ac:dyDescent="0.3">
      <c r="A9" s="8" t="s">
        <v>28</v>
      </c>
      <c r="B9" s="9">
        <v>0</v>
      </c>
      <c r="C9" s="9">
        <v>30000</v>
      </c>
      <c r="D9" s="9">
        <v>90000</v>
      </c>
      <c r="E9" s="9">
        <v>150000</v>
      </c>
      <c r="F9" s="9">
        <v>210000</v>
      </c>
      <c r="G9" s="9">
        <v>270000</v>
      </c>
      <c r="H9" s="9">
        <v>330000</v>
      </c>
      <c r="I9" s="9">
        <v>390000</v>
      </c>
      <c r="J9" s="9">
        <v>450000</v>
      </c>
      <c r="K9" s="9">
        <v>510000</v>
      </c>
      <c r="L9" s="9">
        <v>570000</v>
      </c>
      <c r="M9" s="9">
        <v>630000</v>
      </c>
      <c r="N9" s="9"/>
      <c r="O9" s="9">
        <f t="shared" si="0"/>
        <v>3630000</v>
      </c>
    </row>
    <row r="10" spans="1:15" ht="27" customHeight="1" x14ac:dyDescent="0.3">
      <c r="A10" s="8" t="s">
        <v>29</v>
      </c>
      <c r="B10" s="9">
        <f>B7+B9</f>
        <v>500000</v>
      </c>
      <c r="C10" s="9">
        <f t="shared" ref="C10:M10" si="1">C7+C9</f>
        <v>630000</v>
      </c>
      <c r="D10" s="9">
        <f t="shared" si="1"/>
        <v>90000</v>
      </c>
      <c r="E10" s="9">
        <f t="shared" si="1"/>
        <v>750000</v>
      </c>
      <c r="F10" s="9">
        <f t="shared" si="1"/>
        <v>210000</v>
      </c>
      <c r="G10" s="9">
        <f t="shared" si="1"/>
        <v>870000</v>
      </c>
      <c r="H10" s="9">
        <f t="shared" si="1"/>
        <v>330000</v>
      </c>
      <c r="I10" s="9">
        <f t="shared" si="1"/>
        <v>990000</v>
      </c>
      <c r="J10" s="9">
        <f t="shared" si="1"/>
        <v>450000</v>
      </c>
      <c r="K10" s="9">
        <f t="shared" si="1"/>
        <v>1110000</v>
      </c>
      <c r="L10" s="9">
        <f t="shared" si="1"/>
        <v>570000</v>
      </c>
      <c r="M10" s="9">
        <f t="shared" si="1"/>
        <v>1230000</v>
      </c>
      <c r="N10" s="9"/>
      <c r="O10" s="9">
        <f t="shared" si="0"/>
        <v>7730000</v>
      </c>
    </row>
    <row r="11" spans="1:15" ht="27" customHeight="1" x14ac:dyDescent="0.3"/>
    <row r="12" spans="1:15" ht="27" customHeight="1" x14ac:dyDescent="0.3">
      <c r="A12" s="6" t="s">
        <v>32</v>
      </c>
      <c r="B12" s="5" t="s">
        <v>33</v>
      </c>
      <c r="C12" s="5" t="s">
        <v>35</v>
      </c>
    </row>
    <row r="13" spans="1:15" ht="27" customHeight="1" x14ac:dyDescent="0.3">
      <c r="A13" s="8"/>
      <c r="B13" s="9" t="s">
        <v>0</v>
      </c>
      <c r="C13" s="9" t="s">
        <v>1</v>
      </c>
      <c r="D13" s="9" t="s">
        <v>2</v>
      </c>
      <c r="E13" s="9" t="s">
        <v>3</v>
      </c>
      <c r="F13" s="9" t="s">
        <v>4</v>
      </c>
      <c r="G13" s="9" t="s">
        <v>5</v>
      </c>
      <c r="H13" s="9" t="s">
        <v>6</v>
      </c>
      <c r="I13" s="9" t="s">
        <v>7</v>
      </c>
      <c r="J13" s="9" t="s">
        <v>8</v>
      </c>
      <c r="K13" s="9" t="s">
        <v>9</v>
      </c>
      <c r="L13" s="9" t="s">
        <v>10</v>
      </c>
      <c r="M13" s="9" t="s">
        <v>11</v>
      </c>
      <c r="N13" s="9" t="s">
        <v>12</v>
      </c>
      <c r="O13" s="9" t="s">
        <v>14</v>
      </c>
    </row>
    <row r="14" spans="1:15" ht="27" customHeight="1" x14ac:dyDescent="0.3">
      <c r="A14" s="8" t="s">
        <v>41</v>
      </c>
      <c r="B14" s="9">
        <v>10</v>
      </c>
      <c r="C14" s="9">
        <v>11</v>
      </c>
      <c r="D14" s="9">
        <v>3</v>
      </c>
      <c r="E14" s="9">
        <v>4</v>
      </c>
      <c r="F14" s="9">
        <v>5</v>
      </c>
      <c r="G14" s="9">
        <v>6</v>
      </c>
      <c r="H14" s="9">
        <v>7</v>
      </c>
      <c r="I14" s="9">
        <v>8</v>
      </c>
      <c r="J14" s="9">
        <v>9</v>
      </c>
      <c r="K14" s="9">
        <v>10</v>
      </c>
      <c r="L14" s="9">
        <v>11</v>
      </c>
      <c r="M14" s="9">
        <v>12</v>
      </c>
      <c r="N14" s="9"/>
      <c r="O14" s="9">
        <f>SUM(B14:N14)</f>
        <v>96</v>
      </c>
    </row>
    <row r="15" spans="1:15" ht="27" customHeight="1" x14ac:dyDescent="0.3">
      <c r="A15" s="8" t="s">
        <v>27</v>
      </c>
      <c r="B15" s="9">
        <v>500000</v>
      </c>
      <c r="C15" s="9">
        <v>600000</v>
      </c>
      <c r="D15" s="9"/>
      <c r="E15" s="9">
        <v>600000</v>
      </c>
      <c r="F15" s="9"/>
      <c r="G15" s="9">
        <v>600000</v>
      </c>
      <c r="H15" s="9"/>
      <c r="I15" s="9">
        <v>600000</v>
      </c>
      <c r="J15" s="9"/>
      <c r="K15" s="9">
        <v>600000</v>
      </c>
      <c r="L15" s="9"/>
      <c r="M15" s="9">
        <v>600000</v>
      </c>
      <c r="N15" s="9"/>
      <c r="O15" s="9">
        <f t="shared" ref="O15:O18" si="2">SUM(B15:N15)</f>
        <v>4100000</v>
      </c>
    </row>
    <row r="16" spans="1:15" ht="27" customHeight="1" x14ac:dyDescent="0.3">
      <c r="A16" s="8" t="s">
        <v>42</v>
      </c>
      <c r="B16" s="9">
        <v>0</v>
      </c>
      <c r="C16" s="9">
        <v>1</v>
      </c>
      <c r="D16" s="9">
        <v>3</v>
      </c>
      <c r="E16" s="9">
        <v>5</v>
      </c>
      <c r="F16" s="9">
        <v>7</v>
      </c>
      <c r="G16" s="9">
        <v>9</v>
      </c>
      <c r="H16" s="9">
        <v>11</v>
      </c>
      <c r="I16" s="9">
        <v>13</v>
      </c>
      <c r="J16" s="9">
        <v>15</v>
      </c>
      <c r="K16" s="9">
        <v>17</v>
      </c>
      <c r="L16" s="9">
        <v>19</v>
      </c>
      <c r="M16" s="9">
        <v>21</v>
      </c>
      <c r="N16" s="9"/>
      <c r="O16" s="9">
        <f t="shared" si="2"/>
        <v>121</v>
      </c>
    </row>
    <row r="17" spans="1:15" ht="27" customHeight="1" x14ac:dyDescent="0.3">
      <c r="A17" s="8" t="s">
        <v>28</v>
      </c>
      <c r="B17" s="9">
        <v>0</v>
      </c>
      <c r="C17" s="9">
        <v>30000</v>
      </c>
      <c r="D17" s="9">
        <v>90000</v>
      </c>
      <c r="E17" s="9">
        <v>150000</v>
      </c>
      <c r="F17" s="9">
        <v>210000</v>
      </c>
      <c r="G17" s="9">
        <v>270000</v>
      </c>
      <c r="H17" s="9">
        <v>330000</v>
      </c>
      <c r="I17" s="9">
        <v>390000</v>
      </c>
      <c r="J17" s="9">
        <v>450000</v>
      </c>
      <c r="K17" s="9">
        <v>510000</v>
      </c>
      <c r="L17" s="9">
        <v>570000</v>
      </c>
      <c r="M17" s="9">
        <v>630000</v>
      </c>
      <c r="N17" s="9"/>
      <c r="O17" s="9">
        <f t="shared" si="2"/>
        <v>3630000</v>
      </c>
    </row>
    <row r="18" spans="1:15" ht="27" customHeight="1" x14ac:dyDescent="0.3">
      <c r="A18" s="8" t="s">
        <v>29</v>
      </c>
      <c r="B18" s="9">
        <f>B15+B17</f>
        <v>500000</v>
      </c>
      <c r="C18" s="9">
        <f t="shared" ref="C18" si="3">C15+C17</f>
        <v>630000</v>
      </c>
      <c r="D18" s="9">
        <f t="shared" ref="D18" si="4">D15+D17</f>
        <v>90000</v>
      </c>
      <c r="E18" s="9">
        <f t="shared" ref="E18" si="5">E15+E17</f>
        <v>750000</v>
      </c>
      <c r="F18" s="9">
        <f t="shared" ref="F18" si="6">F15+F17</f>
        <v>210000</v>
      </c>
      <c r="G18" s="9">
        <f t="shared" ref="G18" si="7">G15+G17</f>
        <v>870000</v>
      </c>
      <c r="H18" s="9">
        <f t="shared" ref="H18" si="8">H15+H17</f>
        <v>330000</v>
      </c>
      <c r="I18" s="9">
        <f t="shared" ref="I18" si="9">I15+I17</f>
        <v>990000</v>
      </c>
      <c r="J18" s="9">
        <f t="shared" ref="J18" si="10">J15+J17</f>
        <v>450000</v>
      </c>
      <c r="K18" s="9">
        <f t="shared" ref="K18" si="11">K15+K17</f>
        <v>1110000</v>
      </c>
      <c r="L18" s="9">
        <f t="shared" ref="L18" si="12">L15+L17</f>
        <v>570000</v>
      </c>
      <c r="M18" s="9">
        <f t="shared" ref="M18" si="13">M15+M17</f>
        <v>1230000</v>
      </c>
      <c r="N18" s="9"/>
      <c r="O18" s="9">
        <f t="shared" si="2"/>
        <v>7730000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3FBA0-EA93-4898-BF77-6EB2ED92BD15}">
  <dimension ref="A3:AQ38"/>
  <sheetViews>
    <sheetView showGridLines="0" topLeftCell="A30" workbookViewId="0">
      <selection activeCell="A41" sqref="A41"/>
    </sheetView>
  </sheetViews>
  <sheetFormatPr defaultRowHeight="13.5" x14ac:dyDescent="0.3"/>
  <cols>
    <col min="1" max="1" width="11.125" style="10" bestFit="1" customWidth="1"/>
    <col min="2" max="2" width="12.625" style="7" bestFit="1" customWidth="1"/>
    <col min="3" max="4" width="9.625" style="12" customWidth="1"/>
    <col min="5" max="5" width="10.875" style="7" bestFit="1" customWidth="1"/>
    <col min="6" max="7" width="10.25" style="12" bestFit="1" customWidth="1"/>
    <col min="8" max="8" width="12.75" style="7" bestFit="1" customWidth="1"/>
    <col min="9" max="10" width="10.25" style="12" bestFit="1" customWidth="1"/>
    <col min="11" max="11" width="13.125" style="7" bestFit="1" customWidth="1"/>
    <col min="12" max="13" width="10.25" style="7" bestFit="1" customWidth="1"/>
    <col min="14" max="14" width="11.875" style="7" bestFit="1" customWidth="1"/>
    <col min="15" max="16" width="10.25" style="7" bestFit="1" customWidth="1"/>
    <col min="17" max="17" width="11.875" style="7" bestFit="1" customWidth="1"/>
    <col min="18" max="19" width="10.25" style="7" bestFit="1" customWidth="1"/>
    <col min="20" max="20" width="11.875" style="7" bestFit="1" customWidth="1"/>
    <col min="21" max="22" width="10.25" style="7" bestFit="1" customWidth="1"/>
    <col min="23" max="23" width="11.875" style="7" bestFit="1" customWidth="1"/>
    <col min="24" max="25" width="10.25" style="7" bestFit="1" customWidth="1"/>
    <col min="26" max="26" width="12.625" style="7" bestFit="1" customWidth="1"/>
    <col min="27" max="28" width="10.25" style="7" bestFit="1" customWidth="1"/>
    <col min="29" max="29" width="11.875" style="7" bestFit="1" customWidth="1"/>
    <col min="30" max="31" width="10.25" style="7" bestFit="1" customWidth="1"/>
    <col min="32" max="32" width="11.875" style="7" bestFit="1" customWidth="1"/>
    <col min="33" max="34" width="10.25" style="7" bestFit="1" customWidth="1"/>
    <col min="35" max="35" width="11.875" style="7" customWidth="1"/>
    <col min="36" max="37" width="10.25" style="7" bestFit="1" customWidth="1"/>
    <col min="38" max="38" width="11.875" style="7" bestFit="1" customWidth="1"/>
    <col min="39" max="40" width="10.25" style="11" bestFit="1" customWidth="1"/>
    <col min="41" max="41" width="6.75" style="11" bestFit="1" customWidth="1"/>
    <col min="42" max="43" width="9.625" style="11" bestFit="1" customWidth="1"/>
    <col min="44" max="16384" width="9" style="11"/>
  </cols>
  <sheetData>
    <row r="3" spans="1:43" x14ac:dyDescent="0.3">
      <c r="A3" s="10" t="s">
        <v>44</v>
      </c>
    </row>
    <row r="4" spans="1:43" x14ac:dyDescent="0.3">
      <c r="A4" s="10" t="s">
        <v>43</v>
      </c>
      <c r="B4" s="7" t="s">
        <v>36</v>
      </c>
    </row>
    <row r="5" spans="1:43" x14ac:dyDescent="0.3">
      <c r="A5" s="9"/>
      <c r="B5" s="23" t="s">
        <v>0</v>
      </c>
      <c r="C5" s="9"/>
      <c r="D5" s="9"/>
      <c r="E5" s="23" t="s">
        <v>1</v>
      </c>
      <c r="F5" s="9"/>
      <c r="G5" s="9"/>
      <c r="H5" s="23" t="s">
        <v>2</v>
      </c>
      <c r="I5" s="9"/>
      <c r="J5" s="9"/>
      <c r="K5" s="23" t="s">
        <v>3</v>
      </c>
      <c r="L5" s="23"/>
      <c r="M5" s="23"/>
      <c r="N5" s="23" t="s">
        <v>4</v>
      </c>
      <c r="O5" s="23"/>
      <c r="P5" s="23"/>
      <c r="Q5" s="23" t="s">
        <v>5</v>
      </c>
      <c r="R5" s="23"/>
      <c r="S5" s="23"/>
      <c r="T5" s="23" t="s">
        <v>6</v>
      </c>
      <c r="U5" s="23"/>
      <c r="V5" s="23"/>
      <c r="W5" s="23" t="s">
        <v>7</v>
      </c>
      <c r="X5" s="23"/>
      <c r="Y5" s="23"/>
      <c r="Z5" s="23" t="s">
        <v>8</v>
      </c>
      <c r="AA5" s="23"/>
      <c r="AB5" s="23"/>
      <c r="AC5" s="23" t="s">
        <v>10</v>
      </c>
      <c r="AD5" s="23"/>
      <c r="AE5" s="23"/>
      <c r="AF5" s="23" t="s">
        <v>11</v>
      </c>
      <c r="AG5" s="23"/>
      <c r="AH5" s="23"/>
      <c r="AI5" s="23" t="s">
        <v>9</v>
      </c>
      <c r="AJ5" s="23"/>
      <c r="AK5" s="23"/>
      <c r="AL5" s="23" t="s">
        <v>12</v>
      </c>
      <c r="AM5" s="17"/>
      <c r="AN5" s="17"/>
      <c r="AO5" s="17" t="s">
        <v>40</v>
      </c>
      <c r="AP5" s="17"/>
      <c r="AQ5" s="17"/>
    </row>
    <row r="6" spans="1:43" ht="27" x14ac:dyDescent="0.3">
      <c r="A6" s="9"/>
      <c r="B6" s="23" t="s">
        <v>37</v>
      </c>
      <c r="C6" s="24" t="s">
        <v>39</v>
      </c>
      <c r="D6" s="24" t="s">
        <v>38</v>
      </c>
      <c r="E6" s="23" t="s">
        <v>37</v>
      </c>
      <c r="F6" s="24" t="s">
        <v>39</v>
      </c>
      <c r="G6" s="24" t="s">
        <v>38</v>
      </c>
      <c r="H6" s="23" t="s">
        <v>37</v>
      </c>
      <c r="I6" s="24" t="s">
        <v>39</v>
      </c>
      <c r="J6" s="24" t="s">
        <v>38</v>
      </c>
      <c r="K6" s="23" t="s">
        <v>37</v>
      </c>
      <c r="L6" s="25" t="s">
        <v>39</v>
      </c>
      <c r="M6" s="25" t="s">
        <v>38</v>
      </c>
      <c r="N6" s="23" t="s">
        <v>37</v>
      </c>
      <c r="O6" s="25" t="s">
        <v>39</v>
      </c>
      <c r="P6" s="25" t="s">
        <v>38</v>
      </c>
      <c r="Q6" s="23" t="s">
        <v>37</v>
      </c>
      <c r="R6" s="25" t="s">
        <v>39</v>
      </c>
      <c r="S6" s="25" t="s">
        <v>38</v>
      </c>
      <c r="T6" s="23" t="s">
        <v>37</v>
      </c>
      <c r="U6" s="25" t="s">
        <v>39</v>
      </c>
      <c r="V6" s="25" t="s">
        <v>38</v>
      </c>
      <c r="W6" s="23" t="s">
        <v>37</v>
      </c>
      <c r="X6" s="25" t="s">
        <v>39</v>
      </c>
      <c r="Y6" s="25" t="s">
        <v>38</v>
      </c>
      <c r="Z6" s="23" t="s">
        <v>37</v>
      </c>
      <c r="AA6" s="25" t="s">
        <v>39</v>
      </c>
      <c r="AB6" s="25" t="s">
        <v>38</v>
      </c>
      <c r="AC6" s="23" t="s">
        <v>37</v>
      </c>
      <c r="AD6" s="25" t="s">
        <v>39</v>
      </c>
      <c r="AE6" s="25" t="s">
        <v>38</v>
      </c>
      <c r="AF6" s="23" t="s">
        <v>37</v>
      </c>
      <c r="AG6" s="25" t="s">
        <v>39</v>
      </c>
      <c r="AH6" s="25" t="s">
        <v>38</v>
      </c>
      <c r="AI6" s="23" t="s">
        <v>37</v>
      </c>
      <c r="AJ6" s="25" t="s">
        <v>39</v>
      </c>
      <c r="AK6" s="25" t="s">
        <v>38</v>
      </c>
      <c r="AL6" s="23" t="s">
        <v>37</v>
      </c>
      <c r="AM6" s="25" t="s">
        <v>39</v>
      </c>
      <c r="AN6" s="25" t="s">
        <v>38</v>
      </c>
      <c r="AO6" s="23" t="s">
        <v>37</v>
      </c>
      <c r="AP6" s="25" t="s">
        <v>39</v>
      </c>
      <c r="AQ6" s="25" t="s">
        <v>38</v>
      </c>
    </row>
    <row r="7" spans="1:43" x14ac:dyDescent="0.3">
      <c r="A7" s="19">
        <v>45658</v>
      </c>
      <c r="B7" s="23">
        <v>200000</v>
      </c>
      <c r="C7" s="9"/>
      <c r="D7" s="9"/>
      <c r="E7" s="23">
        <v>3000000</v>
      </c>
      <c r="F7" s="9"/>
      <c r="G7" s="9"/>
      <c r="H7" s="23">
        <v>5800000</v>
      </c>
      <c r="I7" s="9"/>
      <c r="J7" s="9"/>
      <c r="K7" s="23">
        <v>8600000</v>
      </c>
      <c r="L7" s="23"/>
      <c r="M7" s="23"/>
      <c r="N7" s="23">
        <v>11400000</v>
      </c>
      <c r="O7" s="23"/>
      <c r="P7" s="23"/>
      <c r="Q7" s="23">
        <v>14200000</v>
      </c>
      <c r="R7" s="23"/>
      <c r="S7" s="23"/>
      <c r="T7" s="23">
        <v>17000000</v>
      </c>
      <c r="U7" s="23"/>
      <c r="V7" s="23"/>
      <c r="W7" s="23">
        <v>19800000</v>
      </c>
      <c r="X7" s="23"/>
      <c r="Y7" s="23"/>
      <c r="Z7" s="23">
        <v>22600000</v>
      </c>
      <c r="AA7" s="23"/>
      <c r="AB7" s="23"/>
      <c r="AC7" s="23">
        <v>28200000</v>
      </c>
      <c r="AD7" s="23"/>
      <c r="AE7" s="23"/>
      <c r="AF7" s="23">
        <v>31000000</v>
      </c>
      <c r="AG7" s="23"/>
      <c r="AH7" s="23"/>
      <c r="AI7" s="23">
        <v>25400000</v>
      </c>
      <c r="AJ7" s="23"/>
      <c r="AK7" s="23"/>
      <c r="AL7" s="23">
        <v>33800000</v>
      </c>
      <c r="AM7" s="17"/>
      <c r="AN7" s="17"/>
      <c r="AO7" s="17"/>
      <c r="AP7" s="17"/>
      <c r="AQ7" s="17"/>
    </row>
    <row r="8" spans="1:43" x14ac:dyDescent="0.3">
      <c r="A8" s="19">
        <v>45659</v>
      </c>
      <c r="B8" s="23">
        <v>300000</v>
      </c>
      <c r="C8" s="9"/>
      <c r="D8" s="9"/>
      <c r="E8" s="23">
        <v>4000000</v>
      </c>
      <c r="F8" s="9"/>
      <c r="G8" s="9"/>
      <c r="H8" s="23">
        <v>7700000</v>
      </c>
      <c r="I8" s="9"/>
      <c r="J8" s="9"/>
      <c r="K8" s="23">
        <v>11400000</v>
      </c>
      <c r="L8" s="23"/>
      <c r="M8" s="23"/>
      <c r="N8" s="23">
        <v>15100000</v>
      </c>
      <c r="O8" s="23"/>
      <c r="P8" s="23"/>
      <c r="Q8" s="23">
        <v>18800000</v>
      </c>
      <c r="R8" s="23"/>
      <c r="S8" s="23"/>
      <c r="T8" s="23">
        <v>22500000</v>
      </c>
      <c r="U8" s="23"/>
      <c r="V8" s="23"/>
      <c r="W8" s="23">
        <v>26200000</v>
      </c>
      <c r="X8" s="23"/>
      <c r="Y8" s="23"/>
      <c r="Z8" s="23">
        <v>29900000</v>
      </c>
      <c r="AA8" s="23"/>
      <c r="AB8" s="23"/>
      <c r="AC8" s="23">
        <v>37300000</v>
      </c>
      <c r="AD8" s="23"/>
      <c r="AE8" s="23"/>
      <c r="AF8" s="23">
        <v>41000000</v>
      </c>
      <c r="AG8" s="23"/>
      <c r="AH8" s="23"/>
      <c r="AI8" s="23">
        <v>33600000</v>
      </c>
      <c r="AJ8" s="23"/>
      <c r="AK8" s="23"/>
      <c r="AL8" s="23">
        <v>44700000</v>
      </c>
      <c r="AM8" s="17"/>
      <c r="AN8" s="17"/>
      <c r="AO8" s="17"/>
      <c r="AP8" s="17"/>
      <c r="AQ8" s="17"/>
    </row>
    <row r="9" spans="1:43" x14ac:dyDescent="0.3">
      <c r="A9" s="19">
        <v>45660</v>
      </c>
      <c r="B9" s="23">
        <v>200000</v>
      </c>
      <c r="C9" s="9"/>
      <c r="D9" s="9"/>
      <c r="E9" s="23">
        <v>3000000</v>
      </c>
      <c r="F9" s="9"/>
      <c r="G9" s="9"/>
      <c r="H9" s="23">
        <v>5800000</v>
      </c>
      <c r="I9" s="9"/>
      <c r="J9" s="9"/>
      <c r="K9" s="23">
        <v>8600000</v>
      </c>
      <c r="L9" s="23"/>
      <c r="M9" s="23"/>
      <c r="N9" s="23">
        <v>11400000</v>
      </c>
      <c r="O9" s="23"/>
      <c r="P9" s="23"/>
      <c r="Q9" s="23">
        <v>14200000</v>
      </c>
      <c r="R9" s="23"/>
      <c r="S9" s="23"/>
      <c r="T9" s="23">
        <v>17000000</v>
      </c>
      <c r="U9" s="23"/>
      <c r="V9" s="23"/>
      <c r="W9" s="23">
        <v>19800000</v>
      </c>
      <c r="X9" s="23"/>
      <c r="Y9" s="23"/>
      <c r="Z9" s="23">
        <v>22600000</v>
      </c>
      <c r="AA9" s="23"/>
      <c r="AB9" s="23"/>
      <c r="AC9" s="23">
        <v>28200000</v>
      </c>
      <c r="AD9" s="23"/>
      <c r="AE9" s="23"/>
      <c r="AF9" s="23">
        <v>31000000</v>
      </c>
      <c r="AG9" s="23"/>
      <c r="AH9" s="23"/>
      <c r="AI9" s="23">
        <v>25400000</v>
      </c>
      <c r="AJ9" s="23"/>
      <c r="AK9" s="23"/>
      <c r="AL9" s="23">
        <v>33800000</v>
      </c>
      <c r="AM9" s="17"/>
      <c r="AN9" s="17"/>
      <c r="AO9" s="17"/>
      <c r="AP9" s="17"/>
      <c r="AQ9" s="17"/>
    </row>
    <row r="10" spans="1:43" x14ac:dyDescent="0.3">
      <c r="A10" s="19">
        <v>45661</v>
      </c>
      <c r="B10" s="23" t="s">
        <v>30</v>
      </c>
      <c r="C10" s="9"/>
      <c r="D10" s="9"/>
      <c r="E10" s="23"/>
      <c r="F10" s="9"/>
      <c r="G10" s="9"/>
      <c r="H10" s="23"/>
      <c r="I10" s="9"/>
      <c r="J10" s="9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17"/>
      <c r="AN10" s="17"/>
      <c r="AO10" s="17"/>
      <c r="AP10" s="17"/>
      <c r="AQ10" s="17"/>
    </row>
    <row r="11" spans="1:43" x14ac:dyDescent="0.3">
      <c r="A11" s="19">
        <v>45662</v>
      </c>
      <c r="B11" s="23" t="s">
        <v>30</v>
      </c>
      <c r="C11" s="9"/>
      <c r="D11" s="9"/>
      <c r="E11" s="23"/>
      <c r="F11" s="9"/>
      <c r="G11" s="9"/>
      <c r="H11" s="23"/>
      <c r="I11" s="9"/>
      <c r="J11" s="9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17"/>
      <c r="AN11" s="17"/>
      <c r="AO11" s="17"/>
      <c r="AP11" s="17"/>
      <c r="AQ11" s="17"/>
    </row>
    <row r="12" spans="1:43" x14ac:dyDescent="0.3">
      <c r="A12" s="19">
        <v>45663</v>
      </c>
      <c r="B12" s="23" t="s">
        <v>30</v>
      </c>
      <c r="C12" s="9"/>
      <c r="D12" s="9"/>
      <c r="E12" s="23"/>
      <c r="F12" s="9"/>
      <c r="G12" s="9"/>
      <c r="H12" s="23"/>
      <c r="I12" s="9"/>
      <c r="J12" s="9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17"/>
      <c r="AN12" s="17"/>
      <c r="AO12" s="17"/>
      <c r="AP12" s="17"/>
      <c r="AQ12" s="17"/>
    </row>
    <row r="13" spans="1:43" x14ac:dyDescent="0.3">
      <c r="A13" s="19">
        <v>45664</v>
      </c>
      <c r="B13" s="23" t="s">
        <v>30</v>
      </c>
      <c r="C13" s="9"/>
      <c r="D13" s="9"/>
      <c r="E13" s="23"/>
      <c r="F13" s="9"/>
      <c r="G13" s="9"/>
      <c r="H13" s="23"/>
      <c r="I13" s="9"/>
      <c r="J13" s="9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17"/>
      <c r="AN13" s="17"/>
      <c r="AO13" s="17"/>
      <c r="AP13" s="17"/>
      <c r="AQ13" s="17"/>
    </row>
    <row r="14" spans="1:43" x14ac:dyDescent="0.3">
      <c r="A14" s="19">
        <v>45665</v>
      </c>
      <c r="B14" s="23" t="s">
        <v>30</v>
      </c>
      <c r="C14" s="9"/>
      <c r="D14" s="9"/>
      <c r="E14" s="23"/>
      <c r="F14" s="9"/>
      <c r="G14" s="9"/>
      <c r="H14" s="23"/>
      <c r="I14" s="9"/>
      <c r="J14" s="9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17"/>
      <c r="AN14" s="17"/>
      <c r="AO14" s="17"/>
      <c r="AP14" s="17"/>
      <c r="AQ14" s="17"/>
    </row>
    <row r="15" spans="1:43" x14ac:dyDescent="0.3">
      <c r="A15" s="19">
        <v>45666</v>
      </c>
      <c r="B15" s="23" t="s">
        <v>30</v>
      </c>
      <c r="C15" s="9"/>
      <c r="D15" s="9"/>
      <c r="E15" s="23"/>
      <c r="F15" s="9"/>
      <c r="G15" s="9"/>
      <c r="H15" s="23"/>
      <c r="I15" s="9"/>
      <c r="J15" s="9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17"/>
      <c r="AN15" s="17"/>
      <c r="AO15" s="17"/>
      <c r="AP15" s="17"/>
      <c r="AQ15" s="17"/>
    </row>
    <row r="16" spans="1:43" x14ac:dyDescent="0.3">
      <c r="A16" s="19">
        <v>45667</v>
      </c>
      <c r="B16" s="23" t="s">
        <v>30</v>
      </c>
      <c r="C16" s="9"/>
      <c r="D16" s="9"/>
      <c r="E16" s="23"/>
      <c r="F16" s="9"/>
      <c r="G16" s="9"/>
      <c r="H16" s="23"/>
      <c r="I16" s="9"/>
      <c r="J16" s="9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17"/>
      <c r="AN16" s="17"/>
      <c r="AO16" s="17"/>
      <c r="AP16" s="17"/>
      <c r="AQ16" s="17"/>
    </row>
    <row r="17" spans="1:43" x14ac:dyDescent="0.3">
      <c r="A17" s="19">
        <v>45668</v>
      </c>
      <c r="B17" s="23" t="s">
        <v>30</v>
      </c>
      <c r="C17" s="9"/>
      <c r="D17" s="9"/>
      <c r="E17" s="23"/>
      <c r="F17" s="9"/>
      <c r="G17" s="9"/>
      <c r="H17" s="23"/>
      <c r="I17" s="9"/>
      <c r="J17" s="9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17"/>
      <c r="AN17" s="17"/>
      <c r="AO17" s="17"/>
      <c r="AP17" s="17"/>
      <c r="AQ17" s="17"/>
    </row>
    <row r="18" spans="1:43" x14ac:dyDescent="0.3">
      <c r="A18" s="19">
        <v>45669</v>
      </c>
      <c r="B18" s="23" t="s">
        <v>30</v>
      </c>
      <c r="C18" s="9"/>
      <c r="D18" s="9"/>
      <c r="E18" s="23"/>
      <c r="F18" s="9"/>
      <c r="G18" s="9"/>
      <c r="H18" s="23"/>
      <c r="I18" s="9"/>
      <c r="J18" s="9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17"/>
      <c r="AN18" s="17"/>
      <c r="AO18" s="17"/>
      <c r="AP18" s="17"/>
      <c r="AQ18" s="17"/>
    </row>
    <row r="19" spans="1:43" x14ac:dyDescent="0.3">
      <c r="A19" s="19">
        <v>45670</v>
      </c>
      <c r="B19" s="23"/>
      <c r="C19" s="9"/>
      <c r="D19" s="9"/>
      <c r="E19" s="23"/>
      <c r="F19" s="9"/>
      <c r="G19" s="9"/>
      <c r="H19" s="23"/>
      <c r="I19" s="9"/>
      <c r="J19" s="9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17"/>
      <c r="AN19" s="17"/>
      <c r="AO19" s="17"/>
      <c r="AP19" s="17"/>
      <c r="AQ19" s="17"/>
    </row>
    <row r="20" spans="1:43" x14ac:dyDescent="0.3">
      <c r="A20" s="19">
        <v>45671</v>
      </c>
      <c r="B20" s="23"/>
      <c r="C20" s="9"/>
      <c r="D20" s="9"/>
      <c r="E20" s="23"/>
      <c r="F20" s="9"/>
      <c r="G20" s="9"/>
      <c r="H20" s="23"/>
      <c r="I20" s="9"/>
      <c r="J20" s="9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17"/>
      <c r="AN20" s="17"/>
      <c r="AO20" s="17"/>
      <c r="AP20" s="17"/>
      <c r="AQ20" s="17"/>
    </row>
    <row r="21" spans="1:43" x14ac:dyDescent="0.3">
      <c r="A21" s="19">
        <v>45672</v>
      </c>
      <c r="B21" s="23"/>
      <c r="C21" s="9"/>
      <c r="D21" s="9"/>
      <c r="E21" s="23"/>
      <c r="F21" s="9"/>
      <c r="G21" s="9"/>
      <c r="H21" s="23"/>
      <c r="I21" s="9"/>
      <c r="J21" s="9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17"/>
      <c r="AN21" s="17"/>
      <c r="AO21" s="17"/>
      <c r="AP21" s="17"/>
      <c r="AQ21" s="17"/>
    </row>
    <row r="22" spans="1:43" x14ac:dyDescent="0.3">
      <c r="A22" s="19">
        <v>45673</v>
      </c>
      <c r="B22" s="23"/>
      <c r="C22" s="9"/>
      <c r="D22" s="9"/>
      <c r="E22" s="23"/>
      <c r="F22" s="9"/>
      <c r="G22" s="9"/>
      <c r="H22" s="23"/>
      <c r="I22" s="9"/>
      <c r="J22" s="9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17"/>
      <c r="AN22" s="17"/>
      <c r="AO22" s="17"/>
      <c r="AP22" s="17"/>
      <c r="AQ22" s="17"/>
    </row>
    <row r="23" spans="1:43" x14ac:dyDescent="0.3">
      <c r="A23" s="19">
        <v>45674</v>
      </c>
      <c r="B23" s="23"/>
      <c r="C23" s="9"/>
      <c r="D23" s="9"/>
      <c r="E23" s="23"/>
      <c r="F23" s="9"/>
      <c r="G23" s="9"/>
      <c r="H23" s="23"/>
      <c r="I23" s="9"/>
      <c r="J23" s="9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17"/>
      <c r="AN23" s="17"/>
      <c r="AO23" s="17"/>
      <c r="AP23" s="17"/>
      <c r="AQ23" s="17"/>
    </row>
    <row r="24" spans="1:43" x14ac:dyDescent="0.3">
      <c r="A24" s="19">
        <v>45675</v>
      </c>
      <c r="B24" s="23"/>
      <c r="C24" s="9"/>
      <c r="D24" s="9"/>
      <c r="E24" s="23"/>
      <c r="F24" s="9"/>
      <c r="G24" s="9"/>
      <c r="H24" s="23"/>
      <c r="I24" s="9"/>
      <c r="J24" s="9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17"/>
      <c r="AN24" s="17"/>
      <c r="AO24" s="17"/>
      <c r="AP24" s="17"/>
      <c r="AQ24" s="17"/>
    </row>
    <row r="25" spans="1:43" x14ac:dyDescent="0.3">
      <c r="A25" s="19">
        <v>45676</v>
      </c>
      <c r="B25" s="23"/>
      <c r="C25" s="9"/>
      <c r="D25" s="9"/>
      <c r="E25" s="23"/>
      <c r="F25" s="9"/>
      <c r="G25" s="9"/>
      <c r="H25" s="23"/>
      <c r="I25" s="9"/>
      <c r="J25" s="9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17"/>
      <c r="AN25" s="17"/>
      <c r="AO25" s="17"/>
      <c r="AP25" s="17"/>
      <c r="AQ25" s="17"/>
    </row>
    <row r="26" spans="1:43" x14ac:dyDescent="0.3">
      <c r="A26" s="19">
        <v>45677</v>
      </c>
      <c r="B26" s="23"/>
      <c r="C26" s="9"/>
      <c r="D26" s="9"/>
      <c r="E26" s="23"/>
      <c r="F26" s="9"/>
      <c r="G26" s="9"/>
      <c r="H26" s="23"/>
      <c r="I26" s="9"/>
      <c r="J26" s="9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17"/>
      <c r="AN26" s="17"/>
      <c r="AO26" s="17"/>
      <c r="AP26" s="17"/>
      <c r="AQ26" s="17"/>
    </row>
    <row r="27" spans="1:43" x14ac:dyDescent="0.3">
      <c r="A27" s="19">
        <v>45678</v>
      </c>
      <c r="B27" s="23"/>
      <c r="C27" s="9"/>
      <c r="D27" s="9"/>
      <c r="E27" s="23"/>
      <c r="F27" s="9"/>
      <c r="G27" s="9"/>
      <c r="H27" s="23"/>
      <c r="I27" s="9"/>
      <c r="J27" s="9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17"/>
      <c r="AN27" s="17"/>
      <c r="AO27" s="17"/>
      <c r="AP27" s="17"/>
      <c r="AQ27" s="17"/>
    </row>
    <row r="28" spans="1:43" x14ac:dyDescent="0.3">
      <c r="A28" s="19">
        <v>45679</v>
      </c>
      <c r="B28" s="23"/>
      <c r="C28" s="9"/>
      <c r="D28" s="9"/>
      <c r="E28" s="23"/>
      <c r="F28" s="9"/>
      <c r="G28" s="9"/>
      <c r="H28" s="23"/>
      <c r="I28" s="9"/>
      <c r="J28" s="9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17"/>
      <c r="AN28" s="17"/>
      <c r="AO28" s="17"/>
      <c r="AP28" s="17"/>
      <c r="AQ28" s="17"/>
    </row>
    <row r="29" spans="1:43" x14ac:dyDescent="0.3">
      <c r="A29" s="19">
        <v>45680</v>
      </c>
      <c r="B29" s="23"/>
      <c r="C29" s="9"/>
      <c r="D29" s="9"/>
      <c r="E29" s="23"/>
      <c r="F29" s="9"/>
      <c r="G29" s="9"/>
      <c r="H29" s="23"/>
      <c r="I29" s="9"/>
      <c r="J29" s="9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17"/>
      <c r="AN29" s="17"/>
      <c r="AO29" s="17"/>
      <c r="AP29" s="17"/>
      <c r="AQ29" s="17"/>
    </row>
    <row r="30" spans="1:43" x14ac:dyDescent="0.3">
      <c r="A30" s="19">
        <v>45681</v>
      </c>
      <c r="B30" s="23"/>
      <c r="C30" s="9"/>
      <c r="D30" s="9"/>
      <c r="E30" s="23"/>
      <c r="F30" s="9"/>
      <c r="G30" s="9"/>
      <c r="H30" s="23"/>
      <c r="I30" s="9"/>
      <c r="J30" s="9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17"/>
      <c r="AN30" s="17"/>
      <c r="AO30" s="17"/>
      <c r="AP30" s="17"/>
      <c r="AQ30" s="17"/>
    </row>
    <row r="31" spans="1:43" x14ac:dyDescent="0.3">
      <c r="A31" s="19">
        <v>45682</v>
      </c>
      <c r="B31" s="23"/>
      <c r="C31" s="9"/>
      <c r="D31" s="9"/>
      <c r="E31" s="23"/>
      <c r="F31" s="9"/>
      <c r="G31" s="9"/>
      <c r="H31" s="23"/>
      <c r="I31" s="9"/>
      <c r="J31" s="9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17"/>
      <c r="AN31" s="17"/>
      <c r="AO31" s="17"/>
      <c r="AP31" s="17"/>
      <c r="AQ31" s="17"/>
    </row>
    <row r="32" spans="1:43" x14ac:dyDescent="0.3">
      <c r="A32" s="19">
        <v>45683</v>
      </c>
      <c r="B32" s="23"/>
      <c r="C32" s="9"/>
      <c r="D32" s="9"/>
      <c r="E32" s="23"/>
      <c r="F32" s="9"/>
      <c r="G32" s="9"/>
      <c r="H32" s="23"/>
      <c r="I32" s="9"/>
      <c r="J32" s="9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17"/>
      <c r="AN32" s="17"/>
      <c r="AO32" s="17"/>
      <c r="AP32" s="17"/>
      <c r="AQ32" s="17"/>
    </row>
    <row r="33" spans="1:43" x14ac:dyDescent="0.3">
      <c r="A33" s="19">
        <v>45684</v>
      </c>
      <c r="B33" s="23"/>
      <c r="C33" s="9"/>
      <c r="D33" s="9"/>
      <c r="E33" s="23"/>
      <c r="F33" s="9"/>
      <c r="G33" s="9"/>
      <c r="H33" s="23"/>
      <c r="I33" s="9"/>
      <c r="J33" s="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17"/>
      <c r="AN33" s="17"/>
      <c r="AO33" s="17"/>
      <c r="AP33" s="17"/>
      <c r="AQ33" s="17"/>
    </row>
    <row r="34" spans="1:43" x14ac:dyDescent="0.3">
      <c r="A34" s="19">
        <v>45685</v>
      </c>
      <c r="B34" s="23"/>
      <c r="C34" s="9"/>
      <c r="D34" s="9"/>
      <c r="E34" s="23"/>
      <c r="F34" s="9"/>
      <c r="G34" s="9"/>
      <c r="H34" s="23"/>
      <c r="I34" s="9"/>
      <c r="J34" s="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17"/>
      <c r="AN34" s="17"/>
      <c r="AO34" s="17"/>
      <c r="AP34" s="17"/>
      <c r="AQ34" s="17"/>
    </row>
    <row r="35" spans="1:43" x14ac:dyDescent="0.3">
      <c r="A35" s="19">
        <v>45686</v>
      </c>
      <c r="B35" s="23"/>
      <c r="C35" s="9"/>
      <c r="D35" s="9"/>
      <c r="E35" s="23"/>
      <c r="F35" s="9"/>
      <c r="G35" s="9"/>
      <c r="H35" s="23"/>
      <c r="I35" s="9"/>
      <c r="J35" s="9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17"/>
      <c r="AN35" s="17"/>
      <c r="AO35" s="17"/>
      <c r="AP35" s="17"/>
      <c r="AQ35" s="17"/>
    </row>
    <row r="36" spans="1:43" x14ac:dyDescent="0.3">
      <c r="A36" s="19">
        <v>45687</v>
      </c>
      <c r="B36" s="23"/>
      <c r="C36" s="9"/>
      <c r="D36" s="9"/>
      <c r="E36" s="23"/>
      <c r="F36" s="9"/>
      <c r="G36" s="9"/>
      <c r="H36" s="23"/>
      <c r="I36" s="9"/>
      <c r="J36" s="9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17"/>
      <c r="AN36" s="17"/>
      <c r="AO36" s="17"/>
      <c r="AP36" s="17"/>
      <c r="AQ36" s="17"/>
    </row>
    <row r="37" spans="1:43" x14ac:dyDescent="0.3">
      <c r="A37" s="19">
        <v>45688</v>
      </c>
      <c r="B37" s="23"/>
      <c r="C37" s="9"/>
      <c r="D37" s="9"/>
      <c r="E37" s="23"/>
      <c r="F37" s="9"/>
      <c r="G37" s="9"/>
      <c r="H37" s="23"/>
      <c r="I37" s="9"/>
      <c r="J37" s="9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17"/>
      <c r="AN37" s="17"/>
      <c r="AO37" s="17"/>
      <c r="AP37" s="17"/>
      <c r="AQ37" s="17"/>
    </row>
    <row r="38" spans="1:43" x14ac:dyDescent="0.3">
      <c r="A38" s="26"/>
      <c r="B38" s="23">
        <f>SUM(B7:B37)</f>
        <v>700000</v>
      </c>
      <c r="C38" s="9">
        <f t="shared" ref="C38:AQ38" si="0">SUM(C7:C37)</f>
        <v>0</v>
      </c>
      <c r="D38" s="9">
        <f t="shared" si="0"/>
        <v>0</v>
      </c>
      <c r="E38" s="23">
        <f t="shared" si="0"/>
        <v>10000000</v>
      </c>
      <c r="F38" s="9">
        <f t="shared" si="0"/>
        <v>0</v>
      </c>
      <c r="G38" s="9">
        <f t="shared" si="0"/>
        <v>0</v>
      </c>
      <c r="H38" s="23">
        <f t="shared" si="0"/>
        <v>19300000</v>
      </c>
      <c r="I38" s="9">
        <f t="shared" si="0"/>
        <v>0</v>
      </c>
      <c r="J38" s="9">
        <f t="shared" si="0"/>
        <v>0</v>
      </c>
      <c r="K38" s="23">
        <f t="shared" si="0"/>
        <v>28600000</v>
      </c>
      <c r="L38" s="23">
        <f t="shared" si="0"/>
        <v>0</v>
      </c>
      <c r="M38" s="23">
        <f t="shared" si="0"/>
        <v>0</v>
      </c>
      <c r="N38" s="23">
        <f t="shared" si="0"/>
        <v>37900000</v>
      </c>
      <c r="O38" s="23">
        <f t="shared" si="0"/>
        <v>0</v>
      </c>
      <c r="P38" s="23">
        <f t="shared" si="0"/>
        <v>0</v>
      </c>
      <c r="Q38" s="23">
        <f t="shared" si="0"/>
        <v>47200000</v>
      </c>
      <c r="R38" s="23">
        <f t="shared" si="0"/>
        <v>0</v>
      </c>
      <c r="S38" s="23">
        <f t="shared" si="0"/>
        <v>0</v>
      </c>
      <c r="T38" s="23">
        <f t="shared" si="0"/>
        <v>56500000</v>
      </c>
      <c r="U38" s="23">
        <f t="shared" si="0"/>
        <v>0</v>
      </c>
      <c r="V38" s="23">
        <f t="shared" si="0"/>
        <v>0</v>
      </c>
      <c r="W38" s="23">
        <f t="shared" si="0"/>
        <v>65800000</v>
      </c>
      <c r="X38" s="23">
        <f t="shared" si="0"/>
        <v>0</v>
      </c>
      <c r="Y38" s="23">
        <f t="shared" si="0"/>
        <v>0</v>
      </c>
      <c r="Z38" s="23">
        <f t="shared" si="0"/>
        <v>75100000</v>
      </c>
      <c r="AA38" s="23">
        <f t="shared" si="0"/>
        <v>0</v>
      </c>
      <c r="AB38" s="23">
        <f t="shared" si="0"/>
        <v>0</v>
      </c>
      <c r="AC38" s="23">
        <f t="shared" si="0"/>
        <v>93700000</v>
      </c>
      <c r="AD38" s="23">
        <f t="shared" si="0"/>
        <v>0</v>
      </c>
      <c r="AE38" s="23">
        <f t="shared" si="0"/>
        <v>0</v>
      </c>
      <c r="AF38" s="23">
        <f t="shared" si="0"/>
        <v>103000000</v>
      </c>
      <c r="AG38" s="23">
        <f t="shared" si="0"/>
        <v>0</v>
      </c>
      <c r="AH38" s="23">
        <f t="shared" si="0"/>
        <v>0</v>
      </c>
      <c r="AI38" s="23">
        <f t="shared" si="0"/>
        <v>84400000</v>
      </c>
      <c r="AJ38" s="23">
        <f t="shared" si="0"/>
        <v>0</v>
      </c>
      <c r="AK38" s="23">
        <f t="shared" si="0"/>
        <v>0</v>
      </c>
      <c r="AL38" s="23">
        <f t="shared" si="0"/>
        <v>112300000</v>
      </c>
      <c r="AM38" s="23">
        <f t="shared" si="0"/>
        <v>0</v>
      </c>
      <c r="AN38" s="23">
        <f t="shared" si="0"/>
        <v>0</v>
      </c>
      <c r="AO38" s="23">
        <f t="shared" si="0"/>
        <v>0</v>
      </c>
      <c r="AP38" s="23">
        <f t="shared" si="0"/>
        <v>0</v>
      </c>
      <c r="AQ38" s="23">
        <f t="shared" si="0"/>
        <v>0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2EA3-DBF8-4C98-8FD5-F5281F7AD447}">
  <dimension ref="A2:AP37"/>
  <sheetViews>
    <sheetView showGridLines="0" workbookViewId="0">
      <selection activeCell="H13" sqref="H13"/>
    </sheetView>
  </sheetViews>
  <sheetFormatPr defaultRowHeight="13.5" x14ac:dyDescent="0.3"/>
  <cols>
    <col min="1" max="1" width="11.125" style="10" bestFit="1" customWidth="1"/>
    <col min="2" max="2" width="9.625" style="3" bestFit="1" customWidth="1"/>
    <col min="3" max="3" width="9.625" style="3" customWidth="1"/>
    <col min="4" max="10" width="9" style="4"/>
    <col min="11" max="11" width="15.875" style="4" bestFit="1" customWidth="1"/>
    <col min="12" max="12" width="9" style="4"/>
    <col min="13" max="13" width="12.375" style="4" bestFit="1" customWidth="1"/>
    <col min="14" max="16384" width="9" style="4"/>
  </cols>
  <sheetData>
    <row r="2" spans="1:13" x14ac:dyDescent="0.3">
      <c r="J2" s="4" t="s">
        <v>53</v>
      </c>
      <c r="K2" s="4" t="s">
        <v>46</v>
      </c>
      <c r="L2" s="4" t="s">
        <v>54</v>
      </c>
      <c r="M2" s="4" t="s">
        <v>46</v>
      </c>
    </row>
    <row r="3" spans="1:13" x14ac:dyDescent="0.3">
      <c r="K3" s="4" t="s">
        <v>48</v>
      </c>
      <c r="M3" s="4" t="s">
        <v>48</v>
      </c>
    </row>
    <row r="4" spans="1:13" x14ac:dyDescent="0.3">
      <c r="A4" s="10" t="s">
        <v>45</v>
      </c>
      <c r="B4" s="3" t="s">
        <v>52</v>
      </c>
      <c r="K4" s="4" t="s">
        <v>55</v>
      </c>
      <c r="M4" s="4" t="s">
        <v>72</v>
      </c>
    </row>
    <row r="5" spans="1:13" x14ac:dyDescent="0.3">
      <c r="A5" s="10" t="s">
        <v>43</v>
      </c>
      <c r="B5" s="3" t="s">
        <v>36</v>
      </c>
      <c r="E5" s="4" t="s">
        <v>97</v>
      </c>
      <c r="F5" s="4" t="s">
        <v>98</v>
      </c>
      <c r="K5" s="4" t="s">
        <v>56</v>
      </c>
      <c r="M5" s="4" t="s">
        <v>91</v>
      </c>
    </row>
    <row r="6" spans="1:13" x14ac:dyDescent="0.3">
      <c r="A6" s="9"/>
      <c r="B6" s="22" t="s">
        <v>46</v>
      </c>
      <c r="C6" s="22" t="s">
        <v>49</v>
      </c>
      <c r="D6" s="17" t="s">
        <v>47</v>
      </c>
      <c r="E6" s="27" t="s">
        <v>51</v>
      </c>
      <c r="F6" s="27" t="s">
        <v>65</v>
      </c>
      <c r="K6" s="4" t="s">
        <v>50</v>
      </c>
      <c r="M6" s="4" t="s">
        <v>78</v>
      </c>
    </row>
    <row r="7" spans="1:13" x14ac:dyDescent="0.3">
      <c r="A7" s="19">
        <v>45658</v>
      </c>
      <c r="B7" s="27" t="s">
        <v>48</v>
      </c>
      <c r="C7" s="22"/>
      <c r="D7" s="27" t="s">
        <v>48</v>
      </c>
      <c r="E7" s="27"/>
      <c r="F7" s="27"/>
      <c r="K7" s="4" t="s">
        <v>57</v>
      </c>
      <c r="M7" s="4" t="s">
        <v>79</v>
      </c>
    </row>
    <row r="8" spans="1:13" x14ac:dyDescent="0.3">
      <c r="A8" s="19">
        <v>45659</v>
      </c>
      <c r="B8" s="22"/>
      <c r="C8" s="22"/>
      <c r="D8" s="27" t="s">
        <v>11</v>
      </c>
      <c r="E8" s="27"/>
      <c r="F8" s="27"/>
      <c r="K8" s="4" t="s">
        <v>58</v>
      </c>
      <c r="M8" s="4" t="s">
        <v>80</v>
      </c>
    </row>
    <row r="9" spans="1:13" x14ac:dyDescent="0.3">
      <c r="A9" s="19">
        <v>45660</v>
      </c>
      <c r="B9" s="22"/>
      <c r="C9" s="22"/>
      <c r="D9" s="27" t="s">
        <v>10</v>
      </c>
      <c r="E9" s="27"/>
      <c r="F9" s="27"/>
      <c r="K9" s="4" t="s">
        <v>59</v>
      </c>
      <c r="M9" s="4" t="s">
        <v>74</v>
      </c>
    </row>
    <row r="10" spans="1:13" x14ac:dyDescent="0.3">
      <c r="A10" s="19">
        <v>45661</v>
      </c>
      <c r="B10" s="22"/>
      <c r="C10" s="22"/>
      <c r="D10" s="27" t="s">
        <v>9</v>
      </c>
      <c r="E10" s="27"/>
      <c r="F10" s="27"/>
      <c r="K10" s="4" t="s">
        <v>60</v>
      </c>
      <c r="M10" s="4" t="s">
        <v>84</v>
      </c>
    </row>
    <row r="11" spans="1:13" x14ac:dyDescent="0.3">
      <c r="A11" s="19">
        <v>45662</v>
      </c>
      <c r="B11" s="22"/>
      <c r="C11" s="22"/>
      <c r="D11" s="27"/>
      <c r="E11" s="27"/>
      <c r="F11" s="27"/>
      <c r="K11" s="4" t="s">
        <v>61</v>
      </c>
      <c r="M11" s="4" t="s">
        <v>75</v>
      </c>
    </row>
    <row r="12" spans="1:13" x14ac:dyDescent="0.3">
      <c r="A12" s="19">
        <v>45663</v>
      </c>
      <c r="B12" s="22"/>
      <c r="C12" s="22"/>
      <c r="D12" s="27"/>
      <c r="E12" s="27"/>
      <c r="F12" s="27"/>
      <c r="K12" s="4" t="s">
        <v>62</v>
      </c>
      <c r="M12" s="4" t="s">
        <v>76</v>
      </c>
    </row>
    <row r="13" spans="1:13" x14ac:dyDescent="0.3">
      <c r="A13" s="19">
        <v>45664</v>
      </c>
      <c r="B13" s="22"/>
      <c r="C13" s="22"/>
      <c r="D13" s="27"/>
      <c r="E13" s="27"/>
      <c r="F13" s="27"/>
      <c r="K13" s="4" t="s">
        <v>63</v>
      </c>
      <c r="M13" s="4" t="s">
        <v>77</v>
      </c>
    </row>
    <row r="14" spans="1:13" x14ac:dyDescent="0.3">
      <c r="A14" s="19">
        <v>45665</v>
      </c>
      <c r="B14" s="22"/>
      <c r="C14" s="22"/>
      <c r="D14" s="27"/>
      <c r="E14" s="27"/>
      <c r="F14" s="27"/>
      <c r="K14" s="4" t="s">
        <v>64</v>
      </c>
      <c r="M14" s="4" t="s">
        <v>81</v>
      </c>
    </row>
    <row r="15" spans="1:13" x14ac:dyDescent="0.3">
      <c r="A15" s="19">
        <v>45666</v>
      </c>
      <c r="B15" s="22"/>
      <c r="C15" s="22"/>
      <c r="D15" s="27"/>
      <c r="E15" s="27"/>
      <c r="F15" s="27"/>
      <c r="K15" s="4" t="s">
        <v>66</v>
      </c>
      <c r="M15" s="4" t="s">
        <v>93</v>
      </c>
    </row>
    <row r="16" spans="1:13" x14ac:dyDescent="0.3">
      <c r="A16" s="19">
        <v>45667</v>
      </c>
      <c r="B16" s="22"/>
      <c r="C16" s="22"/>
      <c r="D16" s="27"/>
      <c r="E16" s="27"/>
      <c r="F16" s="27"/>
      <c r="K16" s="4" t="s">
        <v>67</v>
      </c>
      <c r="M16" s="4" t="s">
        <v>82</v>
      </c>
    </row>
    <row r="17" spans="1:42" s="3" customFormat="1" x14ac:dyDescent="0.3">
      <c r="A17" s="19">
        <v>45668</v>
      </c>
      <c r="B17" s="22"/>
      <c r="C17" s="22"/>
      <c r="D17" s="27"/>
      <c r="E17" s="27"/>
      <c r="F17" s="27"/>
      <c r="G17" s="4"/>
      <c r="H17" s="4"/>
      <c r="I17" s="4"/>
      <c r="J17" s="4"/>
      <c r="K17" s="4" t="s">
        <v>68</v>
      </c>
      <c r="L17" s="4"/>
      <c r="M17" s="4" t="s">
        <v>85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s="3" customFormat="1" x14ac:dyDescent="0.3">
      <c r="A18" s="19">
        <v>45669</v>
      </c>
      <c r="B18" s="22"/>
      <c r="C18" s="22"/>
      <c r="D18" s="27"/>
      <c r="E18" s="27"/>
      <c r="F18" s="27"/>
      <c r="G18" s="4"/>
      <c r="H18" s="4"/>
      <c r="I18" s="4"/>
      <c r="J18" s="4"/>
      <c r="K18" s="4" t="s">
        <v>69</v>
      </c>
      <c r="L18" s="4"/>
      <c r="M18" s="4" t="s">
        <v>86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s="3" customFormat="1" x14ac:dyDescent="0.3">
      <c r="A19" s="19">
        <v>45670</v>
      </c>
      <c r="B19" s="22"/>
      <c r="C19" s="22"/>
      <c r="D19" s="27"/>
      <c r="E19" s="27"/>
      <c r="F19" s="27"/>
      <c r="G19" s="4"/>
      <c r="H19" s="4"/>
      <c r="I19" s="4"/>
      <c r="J19" s="4"/>
      <c r="K19" s="4" t="s">
        <v>70</v>
      </c>
      <c r="L19" s="4"/>
      <c r="M19" s="4" t="s">
        <v>87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2" s="3" customFormat="1" x14ac:dyDescent="0.3">
      <c r="A20" s="19">
        <v>45671</v>
      </c>
      <c r="B20" s="22"/>
      <c r="C20" s="22"/>
      <c r="D20" s="27"/>
      <c r="E20" s="27"/>
      <c r="F20" s="27"/>
      <c r="G20" s="4"/>
      <c r="H20" s="4"/>
      <c r="I20" s="4"/>
      <c r="J20" s="4"/>
      <c r="K20" s="4" t="s">
        <v>71</v>
      </c>
      <c r="L20" s="4"/>
      <c r="M20" s="4" t="s">
        <v>88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spans="1:42" s="3" customFormat="1" x14ac:dyDescent="0.3">
      <c r="A21" s="19">
        <v>45672</v>
      </c>
      <c r="B21" s="22"/>
      <c r="C21" s="22"/>
      <c r="D21" s="27"/>
      <c r="E21" s="27"/>
      <c r="F21" s="27"/>
      <c r="G21" s="4"/>
      <c r="H21" s="4"/>
      <c r="I21" s="4"/>
      <c r="J21" s="4"/>
      <c r="K21" s="4" t="s">
        <v>73</v>
      </c>
      <c r="L21" s="4"/>
      <c r="M21" s="4" t="s">
        <v>89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1:42" s="3" customFormat="1" x14ac:dyDescent="0.3">
      <c r="A22" s="19">
        <v>45673</v>
      </c>
      <c r="B22" s="22"/>
      <c r="C22" s="22"/>
      <c r="D22" s="27"/>
      <c r="E22" s="27"/>
      <c r="F22" s="27"/>
      <c r="G22" s="4"/>
      <c r="H22" s="4"/>
      <c r="I22" s="4"/>
      <c r="J22" s="4"/>
      <c r="K22" s="4" t="s">
        <v>83</v>
      </c>
      <c r="L22" s="4"/>
      <c r="M22" s="4" t="s">
        <v>90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spans="1:42" s="3" customFormat="1" x14ac:dyDescent="0.3">
      <c r="A23" s="19">
        <v>45674</v>
      </c>
      <c r="B23" s="22"/>
      <c r="C23" s="22"/>
      <c r="D23" s="27"/>
      <c r="E23" s="27"/>
      <c r="F23" s="27"/>
      <c r="G23" s="4"/>
      <c r="H23" s="4"/>
      <c r="I23" s="4"/>
      <c r="J23" s="4"/>
      <c r="K23" s="4" t="s">
        <v>94</v>
      </c>
      <c r="L23" s="4"/>
      <c r="M23" s="4" t="s">
        <v>92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spans="1:42" s="3" customFormat="1" x14ac:dyDescent="0.3">
      <c r="A24" s="19">
        <v>45675</v>
      </c>
      <c r="B24" s="22"/>
      <c r="C24" s="22"/>
      <c r="D24" s="27"/>
      <c r="E24" s="27"/>
      <c r="F24" s="2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pans="1:42" s="3" customFormat="1" x14ac:dyDescent="0.3">
      <c r="A25" s="19">
        <v>45676</v>
      </c>
      <c r="B25" s="22"/>
      <c r="C25" s="22"/>
      <c r="D25" s="27"/>
      <c r="E25" s="27"/>
      <c r="F25" s="2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 spans="1:42" s="3" customFormat="1" x14ac:dyDescent="0.3">
      <c r="A26" s="19">
        <v>45677</v>
      </c>
      <c r="B26" s="22"/>
      <c r="C26" s="22"/>
      <c r="D26" s="27"/>
      <c r="E26" s="27"/>
      <c r="F26" s="2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 spans="1:42" s="3" customFormat="1" x14ac:dyDescent="0.3">
      <c r="A27" s="19">
        <v>45678</v>
      </c>
      <c r="B27" s="22"/>
      <c r="C27" s="22"/>
      <c r="D27" s="27"/>
      <c r="E27" s="27"/>
      <c r="F27" s="2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spans="1:42" s="3" customFormat="1" x14ac:dyDescent="0.3">
      <c r="A28" s="19">
        <v>45679</v>
      </c>
      <c r="B28" s="22"/>
      <c r="C28" s="22"/>
      <c r="D28" s="27"/>
      <c r="E28" s="27"/>
      <c r="F28" s="2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</row>
    <row r="29" spans="1:42" s="3" customFormat="1" x14ac:dyDescent="0.3">
      <c r="A29" s="19">
        <v>45680</v>
      </c>
      <c r="B29" s="22"/>
      <c r="C29" s="22"/>
      <c r="D29" s="27"/>
      <c r="E29" s="27"/>
      <c r="F29" s="2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spans="1:42" s="3" customFormat="1" x14ac:dyDescent="0.3">
      <c r="A30" s="19">
        <v>45681</v>
      </c>
      <c r="B30" s="22"/>
      <c r="C30" s="22"/>
      <c r="D30" s="27"/>
      <c r="E30" s="27"/>
      <c r="F30" s="2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1:42" s="3" customFormat="1" x14ac:dyDescent="0.3">
      <c r="A31" s="19">
        <v>45682</v>
      </c>
      <c r="B31" s="22"/>
      <c r="C31" s="22"/>
      <c r="D31" s="27"/>
      <c r="E31" s="27"/>
      <c r="F31" s="2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spans="1:42" s="3" customFormat="1" x14ac:dyDescent="0.3">
      <c r="A32" s="19">
        <v>45683</v>
      </c>
      <c r="B32" s="22"/>
      <c r="C32" s="22"/>
      <c r="D32" s="27"/>
      <c r="E32" s="27"/>
      <c r="F32" s="2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spans="1:42" s="3" customFormat="1" x14ac:dyDescent="0.3">
      <c r="A33" s="19">
        <v>45684</v>
      </c>
      <c r="B33" s="22"/>
      <c r="C33" s="22"/>
      <c r="D33" s="27"/>
      <c r="E33" s="27"/>
      <c r="F33" s="2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1:42" s="3" customFormat="1" x14ac:dyDescent="0.3">
      <c r="A34" s="13">
        <v>45685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spans="1:42" s="3" customFormat="1" x14ac:dyDescent="0.3">
      <c r="A35" s="13">
        <v>45686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spans="1:42" s="3" customFormat="1" x14ac:dyDescent="0.3">
      <c r="A36" s="13">
        <v>45687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1:42" s="3" customFormat="1" x14ac:dyDescent="0.3">
      <c r="A37" s="13">
        <v>45688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F643E-32D4-4C3C-8599-976722A88676}">
  <dimension ref="A2:L38"/>
  <sheetViews>
    <sheetView topLeftCell="A28" workbookViewId="0">
      <selection activeCell="A39" sqref="A39"/>
    </sheetView>
  </sheetViews>
  <sheetFormatPr defaultRowHeight="13.5" x14ac:dyDescent="0.3"/>
  <cols>
    <col min="1" max="1" width="11.125" style="10" bestFit="1" customWidth="1"/>
    <col min="2" max="2" width="15.875" style="14" bestFit="1" customWidth="1"/>
    <col min="3" max="3" width="9.625" style="14" customWidth="1"/>
    <col min="4" max="4" width="9.375" style="4" bestFit="1" customWidth="1"/>
    <col min="5" max="7" width="9" style="4"/>
    <col min="8" max="8" width="15.875" style="4" bestFit="1" customWidth="1"/>
    <col min="9" max="11" width="9" style="4"/>
    <col min="12" max="12" width="12.375" style="4" bestFit="1" customWidth="1"/>
    <col min="13" max="16384" width="9" style="4"/>
  </cols>
  <sheetData>
    <row r="2" spans="1:12" x14ac:dyDescent="0.3">
      <c r="G2" s="4" t="s">
        <v>53</v>
      </c>
      <c r="H2" s="4" t="s">
        <v>46</v>
      </c>
      <c r="K2" s="4" t="s">
        <v>54</v>
      </c>
      <c r="L2" s="4" t="s">
        <v>46</v>
      </c>
    </row>
    <row r="3" spans="1:12" x14ac:dyDescent="0.3">
      <c r="A3" s="10" t="s">
        <v>45</v>
      </c>
      <c r="H3" s="4" t="s">
        <v>48</v>
      </c>
      <c r="L3" s="4" t="s">
        <v>48</v>
      </c>
    </row>
    <row r="4" spans="1:12" x14ac:dyDescent="0.3">
      <c r="A4" s="10" t="s">
        <v>43</v>
      </c>
      <c r="B4" s="14" t="s">
        <v>36</v>
      </c>
      <c r="D4" s="4" t="s">
        <v>97</v>
      </c>
      <c r="E4" s="4" t="s">
        <v>98</v>
      </c>
      <c r="H4" s="4" t="s">
        <v>55</v>
      </c>
      <c r="L4" s="4" t="s">
        <v>72</v>
      </c>
    </row>
    <row r="5" spans="1:12" x14ac:dyDescent="0.3">
      <c r="A5" s="4" t="s">
        <v>48</v>
      </c>
      <c r="D5" s="15"/>
      <c r="H5" s="4" t="s">
        <v>56</v>
      </c>
      <c r="L5" s="4" t="s">
        <v>91</v>
      </c>
    </row>
    <row r="6" spans="1:12" x14ac:dyDescent="0.3">
      <c r="A6" s="9" t="s">
        <v>95</v>
      </c>
      <c r="B6" s="9" t="s">
        <v>46</v>
      </c>
      <c r="C6" s="9" t="s">
        <v>51</v>
      </c>
      <c r="D6" s="16"/>
      <c r="E6" s="16"/>
      <c r="H6" s="4" t="s">
        <v>50</v>
      </c>
      <c r="L6" s="4" t="s">
        <v>78</v>
      </c>
    </row>
    <row r="7" spans="1:12" ht="16.5" customHeight="1" x14ac:dyDescent="0.3">
      <c r="A7" s="20" t="s">
        <v>96</v>
      </c>
      <c r="B7" s="21"/>
      <c r="C7" s="16">
        <f>C34+C19</f>
        <v>590000</v>
      </c>
      <c r="D7" s="16"/>
      <c r="E7" s="16"/>
      <c r="H7" s="4" t="s">
        <v>57</v>
      </c>
      <c r="L7" s="4" t="s">
        <v>79</v>
      </c>
    </row>
    <row r="8" spans="1:12" x14ac:dyDescent="0.3">
      <c r="A8" s="18" t="s">
        <v>53</v>
      </c>
      <c r="B8" s="8" t="s">
        <v>50</v>
      </c>
      <c r="C8" s="9">
        <v>200000</v>
      </c>
      <c r="D8" s="16"/>
      <c r="E8" s="17"/>
      <c r="H8" s="4" t="s">
        <v>58</v>
      </c>
      <c r="L8" s="4" t="s">
        <v>80</v>
      </c>
    </row>
    <row r="9" spans="1:12" x14ac:dyDescent="0.3">
      <c r="A9" s="18"/>
      <c r="B9" s="8" t="s">
        <v>57</v>
      </c>
      <c r="C9" s="9">
        <v>300000</v>
      </c>
      <c r="D9" s="16"/>
      <c r="E9" s="17"/>
      <c r="H9" s="4" t="s">
        <v>59</v>
      </c>
      <c r="L9" s="4" t="s">
        <v>74</v>
      </c>
    </row>
    <row r="10" spans="1:12" x14ac:dyDescent="0.3">
      <c r="A10" s="18"/>
      <c r="B10" s="8" t="s">
        <v>58</v>
      </c>
      <c r="C10" s="9">
        <v>30000</v>
      </c>
      <c r="D10" s="16"/>
      <c r="E10" s="17"/>
      <c r="H10" s="4" t="s">
        <v>60</v>
      </c>
      <c r="L10" s="4" t="s">
        <v>84</v>
      </c>
    </row>
    <row r="11" spans="1:12" x14ac:dyDescent="0.3">
      <c r="A11" s="18"/>
      <c r="B11" s="8" t="s">
        <v>59</v>
      </c>
      <c r="C11" s="9">
        <v>20000</v>
      </c>
      <c r="D11" s="16"/>
      <c r="E11" s="17"/>
      <c r="H11" s="4" t="s">
        <v>61</v>
      </c>
      <c r="L11" s="4" t="s">
        <v>75</v>
      </c>
    </row>
    <row r="12" spans="1:12" x14ac:dyDescent="0.3">
      <c r="A12" s="18"/>
      <c r="B12" s="8" t="s">
        <v>60</v>
      </c>
      <c r="C12" s="9"/>
      <c r="D12" s="16"/>
      <c r="E12" s="17"/>
      <c r="H12" s="4" t="s">
        <v>62</v>
      </c>
      <c r="L12" s="4" t="s">
        <v>76</v>
      </c>
    </row>
    <row r="13" spans="1:12" x14ac:dyDescent="0.3">
      <c r="A13" s="18"/>
      <c r="B13" s="8" t="s">
        <v>61</v>
      </c>
      <c r="C13" s="9"/>
      <c r="D13" s="16"/>
      <c r="E13" s="17"/>
      <c r="H13" s="4" t="s">
        <v>63</v>
      </c>
      <c r="L13" s="4" t="s">
        <v>77</v>
      </c>
    </row>
    <row r="14" spans="1:12" x14ac:dyDescent="0.3">
      <c r="A14" s="18"/>
      <c r="B14" s="8" t="s">
        <v>62</v>
      </c>
      <c r="C14" s="9"/>
      <c r="D14" s="16"/>
      <c r="E14" s="17"/>
      <c r="H14" s="4" t="s">
        <v>64</v>
      </c>
      <c r="L14" s="4" t="s">
        <v>81</v>
      </c>
    </row>
    <row r="15" spans="1:12" x14ac:dyDescent="0.3">
      <c r="A15" s="18"/>
      <c r="B15" s="8" t="s">
        <v>63</v>
      </c>
      <c r="C15" s="9"/>
      <c r="D15" s="16"/>
      <c r="E15" s="17"/>
      <c r="H15" s="4" t="s">
        <v>66</v>
      </c>
      <c r="L15" s="4" t="s">
        <v>93</v>
      </c>
    </row>
    <row r="16" spans="1:12" x14ac:dyDescent="0.3">
      <c r="A16" s="18"/>
      <c r="B16" s="9" t="s">
        <v>30</v>
      </c>
      <c r="C16" s="9"/>
      <c r="D16" s="16"/>
      <c r="E16" s="17"/>
      <c r="H16" s="4" t="s">
        <v>67</v>
      </c>
      <c r="L16" s="4" t="s">
        <v>82</v>
      </c>
    </row>
    <row r="17" spans="1:12" x14ac:dyDescent="0.3">
      <c r="A17" s="18"/>
      <c r="B17" s="9" t="s">
        <v>30</v>
      </c>
      <c r="C17" s="9"/>
      <c r="D17" s="16"/>
      <c r="E17" s="17"/>
      <c r="H17" s="4" t="s">
        <v>68</v>
      </c>
      <c r="L17" s="4" t="s">
        <v>85</v>
      </c>
    </row>
    <row r="18" spans="1:12" x14ac:dyDescent="0.3">
      <c r="A18" s="18"/>
      <c r="B18" s="9" t="s">
        <v>30</v>
      </c>
      <c r="C18" s="9"/>
      <c r="D18" s="17"/>
      <c r="E18" s="17"/>
      <c r="H18" s="4" t="s">
        <v>69</v>
      </c>
      <c r="L18" s="4" t="s">
        <v>86</v>
      </c>
    </row>
    <row r="19" spans="1:12" x14ac:dyDescent="0.3">
      <c r="A19" s="18"/>
      <c r="B19" s="9" t="s">
        <v>29</v>
      </c>
      <c r="C19" s="9">
        <f>SUM(C8:C16)</f>
        <v>550000</v>
      </c>
      <c r="D19" s="17"/>
      <c r="E19" s="17"/>
      <c r="H19" s="4" t="s">
        <v>70</v>
      </c>
      <c r="L19" s="4" t="s">
        <v>87</v>
      </c>
    </row>
    <row r="20" spans="1:12" x14ac:dyDescent="0.3">
      <c r="A20" s="8" t="s">
        <v>54</v>
      </c>
      <c r="B20" s="8" t="s">
        <v>72</v>
      </c>
      <c r="C20" s="9"/>
      <c r="D20" s="17"/>
      <c r="E20" s="17"/>
      <c r="H20" s="4" t="s">
        <v>71</v>
      </c>
      <c r="L20" s="4" t="s">
        <v>88</v>
      </c>
    </row>
    <row r="21" spans="1:12" x14ac:dyDescent="0.3">
      <c r="A21" s="19"/>
      <c r="B21" s="8" t="s">
        <v>91</v>
      </c>
      <c r="C21" s="9">
        <v>20000</v>
      </c>
      <c r="D21" s="17"/>
      <c r="E21" s="17"/>
      <c r="H21" s="4" t="s">
        <v>73</v>
      </c>
      <c r="L21" s="4" t="s">
        <v>89</v>
      </c>
    </row>
    <row r="22" spans="1:12" x14ac:dyDescent="0.3">
      <c r="A22" s="19"/>
      <c r="B22" s="8" t="s">
        <v>78</v>
      </c>
      <c r="C22" s="9">
        <v>20000</v>
      </c>
      <c r="D22" s="17"/>
      <c r="E22" s="17"/>
      <c r="H22" s="4" t="s">
        <v>83</v>
      </c>
      <c r="L22" s="4" t="s">
        <v>90</v>
      </c>
    </row>
    <row r="23" spans="1:12" x14ac:dyDescent="0.3">
      <c r="A23" s="19"/>
      <c r="B23" s="8" t="s">
        <v>79</v>
      </c>
      <c r="C23" s="9">
        <v>20000</v>
      </c>
      <c r="D23" s="17"/>
      <c r="E23" s="17"/>
      <c r="H23" s="4" t="s">
        <v>94</v>
      </c>
      <c r="L23" s="4" t="s">
        <v>92</v>
      </c>
    </row>
    <row r="24" spans="1:12" x14ac:dyDescent="0.3">
      <c r="A24" s="19"/>
      <c r="B24" s="8" t="s">
        <v>80</v>
      </c>
      <c r="C24" s="9"/>
      <c r="D24" s="17"/>
      <c r="E24" s="17"/>
      <c r="H24" s="4" t="s">
        <v>30</v>
      </c>
      <c r="L24" s="4" t="s">
        <v>30</v>
      </c>
    </row>
    <row r="25" spans="1:12" x14ac:dyDescent="0.3">
      <c r="A25" s="19"/>
      <c r="B25" s="8" t="s">
        <v>74</v>
      </c>
      <c r="C25" s="9">
        <v>20000</v>
      </c>
      <c r="D25" s="17"/>
      <c r="E25" s="17"/>
      <c r="H25" s="4" t="s">
        <v>30</v>
      </c>
      <c r="L25" s="4" t="s">
        <v>30</v>
      </c>
    </row>
    <row r="26" spans="1:12" x14ac:dyDescent="0.3">
      <c r="A26" s="19"/>
      <c r="B26" s="8" t="s">
        <v>84</v>
      </c>
      <c r="C26" s="9"/>
      <c r="D26" s="17"/>
      <c r="E26" s="17"/>
      <c r="H26" s="4" t="s">
        <v>30</v>
      </c>
      <c r="L26" s="4" t="s">
        <v>30</v>
      </c>
    </row>
    <row r="27" spans="1:12" x14ac:dyDescent="0.3">
      <c r="A27" s="19"/>
      <c r="B27" s="8" t="s">
        <v>75</v>
      </c>
      <c r="C27" s="9"/>
      <c r="D27" s="17"/>
      <c r="E27" s="17"/>
      <c r="H27" s="4" t="s">
        <v>30</v>
      </c>
      <c r="L27" s="4" t="s">
        <v>30</v>
      </c>
    </row>
    <row r="28" spans="1:12" x14ac:dyDescent="0.3">
      <c r="A28" s="19"/>
      <c r="B28" s="8" t="s">
        <v>76</v>
      </c>
      <c r="C28" s="9"/>
      <c r="D28" s="17"/>
      <c r="E28" s="17"/>
      <c r="H28" s="4" t="s">
        <v>30</v>
      </c>
      <c r="L28" s="4" t="s">
        <v>30</v>
      </c>
    </row>
    <row r="29" spans="1:12" x14ac:dyDescent="0.3">
      <c r="A29" s="19"/>
      <c r="B29" s="8" t="s">
        <v>77</v>
      </c>
      <c r="C29" s="9"/>
      <c r="D29" s="17"/>
      <c r="E29" s="17"/>
      <c r="L29" s="4" t="s">
        <v>30</v>
      </c>
    </row>
    <row r="30" spans="1:12" x14ac:dyDescent="0.3">
      <c r="A30" s="19"/>
      <c r="B30" s="8" t="s">
        <v>81</v>
      </c>
      <c r="C30" s="9"/>
      <c r="D30" s="17"/>
      <c r="E30" s="17"/>
    </row>
    <row r="31" spans="1:12" x14ac:dyDescent="0.3">
      <c r="A31" s="19"/>
      <c r="B31" s="9" t="s">
        <v>30</v>
      </c>
      <c r="C31" s="9"/>
      <c r="D31" s="17"/>
      <c r="E31" s="17"/>
    </row>
    <row r="32" spans="1:12" x14ac:dyDescent="0.3">
      <c r="A32" s="19"/>
      <c r="B32" s="9" t="s">
        <v>30</v>
      </c>
      <c r="C32" s="9"/>
      <c r="D32" s="17"/>
      <c r="E32" s="17"/>
    </row>
    <row r="33" spans="1:5" x14ac:dyDescent="0.3">
      <c r="A33" s="19"/>
      <c r="B33" s="9" t="s">
        <v>30</v>
      </c>
      <c r="C33" s="9"/>
      <c r="D33" s="17"/>
      <c r="E33" s="17"/>
    </row>
    <row r="34" spans="1:5" x14ac:dyDescent="0.3">
      <c r="A34" s="19"/>
      <c r="B34" s="9" t="s">
        <v>29</v>
      </c>
      <c r="C34" s="9">
        <f>SUM(C23:C31)</f>
        <v>40000</v>
      </c>
      <c r="D34" s="17"/>
      <c r="E34" s="17"/>
    </row>
    <row r="35" spans="1:5" x14ac:dyDescent="0.3">
      <c r="A35" s="13"/>
    </row>
    <row r="36" spans="1:5" x14ac:dyDescent="0.3">
      <c r="A36" s="13"/>
    </row>
    <row r="37" spans="1:5" x14ac:dyDescent="0.3">
      <c r="A37" s="13"/>
    </row>
    <row r="38" spans="1:5" x14ac:dyDescent="0.3">
      <c r="A38" s="13"/>
    </row>
  </sheetData>
  <mergeCells count="1">
    <mergeCell ref="A7:B7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F9CD5-F008-43E5-85BA-D1F8846ACF44}">
  <dimension ref="A2:O37"/>
  <sheetViews>
    <sheetView workbookViewId="0">
      <selection activeCell="I17" sqref="I17"/>
    </sheetView>
  </sheetViews>
  <sheetFormatPr defaultRowHeight="13.5" x14ac:dyDescent="0.3"/>
  <cols>
    <col min="1" max="1" width="11.125" style="10" bestFit="1" customWidth="1"/>
    <col min="2" max="2" width="9.625" style="3" bestFit="1" customWidth="1"/>
    <col min="3" max="3" width="9.625" style="3" customWidth="1"/>
    <col min="4" max="4" width="9.375" style="4" bestFit="1" customWidth="1"/>
    <col min="5" max="10" width="9" style="4"/>
    <col min="11" max="11" width="15.875" style="4" bestFit="1" customWidth="1"/>
    <col min="12" max="14" width="9" style="4"/>
    <col min="15" max="15" width="12.375" style="4" bestFit="1" customWidth="1"/>
    <col min="16" max="16384" width="9" style="4"/>
  </cols>
  <sheetData>
    <row r="2" spans="1:15" x14ac:dyDescent="0.3">
      <c r="J2" s="4" t="s">
        <v>53</v>
      </c>
      <c r="K2" s="4" t="s">
        <v>46</v>
      </c>
      <c r="N2" s="4" t="s">
        <v>54</v>
      </c>
      <c r="O2" s="4" t="s">
        <v>46</v>
      </c>
    </row>
    <row r="3" spans="1:15" x14ac:dyDescent="0.3">
      <c r="K3" s="4" t="s">
        <v>48</v>
      </c>
      <c r="O3" s="4" t="s">
        <v>48</v>
      </c>
    </row>
    <row r="4" spans="1:15" x14ac:dyDescent="0.3">
      <c r="A4" s="10" t="s">
        <v>45</v>
      </c>
      <c r="K4" s="4" t="s">
        <v>55</v>
      </c>
      <c r="O4" s="4" t="s">
        <v>72</v>
      </c>
    </row>
    <row r="5" spans="1:15" x14ac:dyDescent="0.3">
      <c r="A5" s="10" t="s">
        <v>26</v>
      </c>
      <c r="B5" s="3" t="s">
        <v>36</v>
      </c>
      <c r="C5" s="4" t="s">
        <v>97</v>
      </c>
      <c r="D5" s="4" t="s">
        <v>98</v>
      </c>
      <c r="K5" s="4" t="s">
        <v>56</v>
      </c>
      <c r="O5" s="4" t="s">
        <v>91</v>
      </c>
    </row>
    <row r="6" spans="1:15" x14ac:dyDescent="0.3">
      <c r="A6" s="9"/>
      <c r="B6" s="22" t="s">
        <v>53</v>
      </c>
      <c r="C6" s="22" t="s">
        <v>54</v>
      </c>
      <c r="D6" s="17" t="s">
        <v>14</v>
      </c>
      <c r="K6" s="4" t="s">
        <v>50</v>
      </c>
      <c r="O6" s="4" t="s">
        <v>78</v>
      </c>
    </row>
    <row r="7" spans="1:15" x14ac:dyDescent="0.3">
      <c r="A7" s="18">
        <v>45658</v>
      </c>
      <c r="B7" s="22">
        <v>200000</v>
      </c>
      <c r="C7" s="22">
        <v>300000</v>
      </c>
      <c r="D7" s="16">
        <f>C7+B7</f>
        <v>500000</v>
      </c>
      <c r="K7" s="4" t="s">
        <v>57</v>
      </c>
      <c r="O7" s="4" t="s">
        <v>79</v>
      </c>
    </row>
    <row r="8" spans="1:15" x14ac:dyDescent="0.3">
      <c r="A8" s="18">
        <v>45689</v>
      </c>
      <c r="B8" s="22">
        <v>200000</v>
      </c>
      <c r="C8" s="22">
        <v>300000</v>
      </c>
      <c r="D8" s="16">
        <f t="shared" ref="D8:D16" si="0">C8+B8</f>
        <v>500000</v>
      </c>
      <c r="K8" s="4" t="s">
        <v>58</v>
      </c>
      <c r="O8" s="4" t="s">
        <v>80</v>
      </c>
    </row>
    <row r="9" spans="1:15" x14ac:dyDescent="0.3">
      <c r="A9" s="18">
        <v>45717</v>
      </c>
      <c r="B9" s="22">
        <v>200000</v>
      </c>
      <c r="C9" s="22">
        <v>300000</v>
      </c>
      <c r="D9" s="16">
        <f t="shared" si="0"/>
        <v>500000</v>
      </c>
      <c r="K9" s="4" t="s">
        <v>59</v>
      </c>
      <c r="O9" s="4" t="s">
        <v>74</v>
      </c>
    </row>
    <row r="10" spans="1:15" x14ac:dyDescent="0.3">
      <c r="A10" s="18">
        <v>45748</v>
      </c>
      <c r="B10" s="22">
        <v>200000</v>
      </c>
      <c r="C10" s="22">
        <v>300000</v>
      </c>
      <c r="D10" s="16">
        <f t="shared" si="0"/>
        <v>500000</v>
      </c>
      <c r="K10" s="4" t="s">
        <v>60</v>
      </c>
      <c r="O10" s="4" t="s">
        <v>84</v>
      </c>
    </row>
    <row r="11" spans="1:15" x14ac:dyDescent="0.3">
      <c r="A11" s="18">
        <v>45778</v>
      </c>
      <c r="B11" s="22">
        <v>200000</v>
      </c>
      <c r="C11" s="22">
        <v>300000</v>
      </c>
      <c r="D11" s="16">
        <f t="shared" si="0"/>
        <v>500000</v>
      </c>
      <c r="K11" s="4" t="s">
        <v>61</v>
      </c>
      <c r="O11" s="4" t="s">
        <v>75</v>
      </c>
    </row>
    <row r="12" spans="1:15" x14ac:dyDescent="0.3">
      <c r="A12" s="18">
        <v>45809</v>
      </c>
      <c r="B12" s="22">
        <v>200000</v>
      </c>
      <c r="C12" s="22">
        <v>300000</v>
      </c>
      <c r="D12" s="16">
        <f t="shared" si="0"/>
        <v>500000</v>
      </c>
      <c r="K12" s="4" t="s">
        <v>62</v>
      </c>
      <c r="O12" s="4" t="s">
        <v>76</v>
      </c>
    </row>
    <row r="13" spans="1:15" x14ac:dyDescent="0.3">
      <c r="A13" s="18">
        <v>45839</v>
      </c>
      <c r="B13" s="22">
        <v>200000</v>
      </c>
      <c r="C13" s="22">
        <v>300000</v>
      </c>
      <c r="D13" s="16">
        <f t="shared" si="0"/>
        <v>500000</v>
      </c>
      <c r="K13" s="4" t="s">
        <v>63</v>
      </c>
      <c r="O13" s="4" t="s">
        <v>77</v>
      </c>
    </row>
    <row r="14" spans="1:15" x14ac:dyDescent="0.3">
      <c r="A14" s="18">
        <v>45870</v>
      </c>
      <c r="B14" s="22">
        <v>200000</v>
      </c>
      <c r="C14" s="22">
        <v>300000</v>
      </c>
      <c r="D14" s="16">
        <f t="shared" si="0"/>
        <v>500000</v>
      </c>
      <c r="K14" s="4" t="s">
        <v>64</v>
      </c>
      <c r="O14" s="4" t="s">
        <v>81</v>
      </c>
    </row>
    <row r="15" spans="1:15" x14ac:dyDescent="0.3">
      <c r="A15" s="18">
        <v>45901</v>
      </c>
      <c r="B15" s="22">
        <v>200000</v>
      </c>
      <c r="C15" s="22">
        <v>300000</v>
      </c>
      <c r="D15" s="16">
        <f t="shared" si="0"/>
        <v>500000</v>
      </c>
      <c r="K15" s="4" t="s">
        <v>66</v>
      </c>
      <c r="O15" s="4" t="s">
        <v>93</v>
      </c>
    </row>
    <row r="16" spans="1:15" x14ac:dyDescent="0.3">
      <c r="A16" s="18">
        <v>45931</v>
      </c>
      <c r="B16" s="22">
        <v>200000</v>
      </c>
      <c r="C16" s="22">
        <v>300000</v>
      </c>
      <c r="D16" s="16">
        <f t="shared" si="0"/>
        <v>500000</v>
      </c>
      <c r="K16" s="4" t="s">
        <v>67</v>
      </c>
      <c r="O16" s="4" t="s">
        <v>82</v>
      </c>
    </row>
    <row r="17" spans="1:15" x14ac:dyDescent="0.3">
      <c r="A17" s="18">
        <v>45962</v>
      </c>
      <c r="B17" s="22"/>
      <c r="C17" s="22"/>
      <c r="D17" s="27"/>
      <c r="K17" s="4" t="s">
        <v>68</v>
      </c>
      <c r="O17" s="4" t="s">
        <v>85</v>
      </c>
    </row>
    <row r="18" spans="1:15" x14ac:dyDescent="0.3">
      <c r="A18" s="18">
        <v>45992</v>
      </c>
      <c r="B18" s="22"/>
      <c r="C18" s="22"/>
      <c r="D18" s="27"/>
      <c r="K18" s="4" t="s">
        <v>69</v>
      </c>
      <c r="O18" s="4" t="s">
        <v>86</v>
      </c>
    </row>
    <row r="19" spans="1:15" x14ac:dyDescent="0.3">
      <c r="A19" s="13"/>
      <c r="K19" s="4" t="s">
        <v>70</v>
      </c>
      <c r="O19" s="4" t="s">
        <v>87</v>
      </c>
    </row>
    <row r="20" spans="1:15" x14ac:dyDescent="0.3">
      <c r="A20" s="13"/>
      <c r="K20" s="4" t="s">
        <v>71</v>
      </c>
      <c r="O20" s="4" t="s">
        <v>88</v>
      </c>
    </row>
    <row r="21" spans="1:15" x14ac:dyDescent="0.3">
      <c r="A21" s="13"/>
      <c r="K21" s="4" t="s">
        <v>73</v>
      </c>
      <c r="O21" s="4" t="s">
        <v>89</v>
      </c>
    </row>
    <row r="22" spans="1:15" x14ac:dyDescent="0.3">
      <c r="A22" s="13"/>
      <c r="K22" s="4" t="s">
        <v>83</v>
      </c>
      <c r="O22" s="4" t="s">
        <v>90</v>
      </c>
    </row>
    <row r="23" spans="1:15" x14ac:dyDescent="0.3">
      <c r="A23" s="13"/>
      <c r="K23" s="4" t="s">
        <v>94</v>
      </c>
      <c r="O23" s="4" t="s">
        <v>92</v>
      </c>
    </row>
    <row r="24" spans="1:15" x14ac:dyDescent="0.3">
      <c r="A24" s="13"/>
    </row>
    <row r="25" spans="1:15" x14ac:dyDescent="0.3">
      <c r="A25" s="13"/>
    </row>
    <row r="26" spans="1:15" x14ac:dyDescent="0.3">
      <c r="A26" s="13"/>
    </row>
    <row r="27" spans="1:15" x14ac:dyDescent="0.3">
      <c r="A27" s="13"/>
    </row>
    <row r="28" spans="1:15" x14ac:dyDescent="0.3">
      <c r="A28" s="13"/>
    </row>
    <row r="29" spans="1:15" x14ac:dyDescent="0.3">
      <c r="A29" s="13"/>
    </row>
    <row r="30" spans="1:15" x14ac:dyDescent="0.3">
      <c r="A30" s="13"/>
    </row>
    <row r="31" spans="1:15" x14ac:dyDescent="0.3">
      <c r="A31" s="13"/>
    </row>
    <row r="32" spans="1:15" x14ac:dyDescent="0.3">
      <c r="A32" s="13"/>
    </row>
    <row r="33" spans="1:1" x14ac:dyDescent="0.3">
      <c r="A33" s="13"/>
    </row>
    <row r="34" spans="1:1" x14ac:dyDescent="0.3">
      <c r="A34" s="13"/>
    </row>
    <row r="35" spans="1:1" x14ac:dyDescent="0.3">
      <c r="A35" s="13"/>
    </row>
    <row r="36" spans="1:1" x14ac:dyDescent="0.3">
      <c r="A36" s="13"/>
    </row>
    <row r="37" spans="1:1" x14ac:dyDescent="0.3">
      <c r="A37" s="13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연간 매출</vt:lpstr>
      <vt:lpstr>월간</vt:lpstr>
      <vt:lpstr>캐쉬</vt:lpstr>
      <vt:lpstr>원가 세부입력</vt:lpstr>
      <vt:lpstr>원가 연 (2)</vt:lpstr>
      <vt:lpstr>원가 연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sookb</dc:creator>
  <cp:lastModifiedBy>sookb</cp:lastModifiedBy>
  <dcterms:created xsi:type="dcterms:W3CDTF">2025-10-19T05:59:50Z</dcterms:created>
  <dcterms:modified xsi:type="dcterms:W3CDTF">2025-10-20T09:58:25Z</dcterms:modified>
</cp:coreProperties>
</file>