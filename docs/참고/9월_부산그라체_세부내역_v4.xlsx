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공용 드라이브\스테이지_Work\🏨 프로젝트\ㄱ 프로젝트_공통\매장관리\9월 결산\부산 그라체\CM_작업중\V1\"/>
    </mc:Choice>
  </mc:AlternateContent>
  <xr:revisionPtr revIDLastSave="0" documentId="13_ncr:1_{A75785BD-52D2-4F98-A59B-298B70D5174B}" xr6:coauthVersionLast="47" xr6:coauthVersionMax="47" xr10:uidLastSave="{00000000-0000-0000-0000-000000000000}"/>
  <bookViews>
    <workbookView xWindow="-120" yWindow="-120" windowWidth="29040" windowHeight="15720" tabRatio="1000" activeTab="8" xr2:uid="{0C556F78-31AC-4E86-BF79-B57CC286C544}"/>
  </bookViews>
  <sheets>
    <sheet name="summary1" sheetId="15" r:id="rId1"/>
    <sheet name="summary2" sheetId="16" r:id="rId2"/>
    <sheet name="summary3" sheetId="17" r:id="rId3"/>
    <sheet name="summary4" sheetId="18" r:id="rId4"/>
    <sheet name="summary5" sheetId="19" r:id="rId5"/>
    <sheet name="summary6" sheetId="11" r:id="rId6"/>
    <sheet name="summary7" sheetId="12" r:id="rId7"/>
    <sheet name="summary8" sheetId="13" r:id="rId8"/>
    <sheet name="summary9" sheetId="14" r:id="rId9"/>
    <sheet name="summary10" sheetId="9" r:id="rId10"/>
    <sheet name="summary11" sheetId="10" r:id="rId11"/>
    <sheet name="summary12" sheetId="8" r:id="rId12"/>
    <sheet name="Sheet1 (2)" sheetId="2" r:id="rId13"/>
  </sheets>
  <definedNames>
    <definedName name="_xlnm.Print_Area" localSheetId="12">'Sheet1 (2)'!$A$1:$F$47,'Sheet1 (2)'!$A$48:$H$88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4" l="1"/>
  <c r="C57" i="14"/>
  <c r="B97" i="19" l="1"/>
  <c r="B95" i="19"/>
  <c r="B92" i="19"/>
  <c r="B90" i="19"/>
  <c r="B87" i="19"/>
  <c r="B82" i="19"/>
  <c r="B79" i="19"/>
  <c r="B73" i="19"/>
  <c r="B100" i="19" s="1"/>
  <c r="B68" i="19"/>
  <c r="B66" i="19"/>
  <c r="B64" i="19"/>
  <c r="B60" i="19"/>
  <c r="C57" i="19"/>
  <c r="C7" i="19" s="1"/>
  <c r="B57" i="19"/>
  <c r="B7" i="19" s="1"/>
  <c r="C26" i="19"/>
  <c r="C6" i="19" s="1"/>
  <c r="C8" i="19" s="1"/>
  <c r="C5" i="19" s="1"/>
  <c r="B26" i="19"/>
  <c r="B6" i="19" s="1"/>
  <c r="B97" i="18"/>
  <c r="B95" i="18"/>
  <c r="B92" i="18"/>
  <c r="B90" i="18"/>
  <c r="B87" i="18"/>
  <c r="B82" i="18"/>
  <c r="B79" i="18"/>
  <c r="B100" i="18" s="1"/>
  <c r="B73" i="18"/>
  <c r="B68" i="18"/>
  <c r="B66" i="18"/>
  <c r="B64" i="18"/>
  <c r="B60" i="18"/>
  <c r="B70" i="18" s="1"/>
  <c r="C57" i="18"/>
  <c r="C7" i="18" s="1"/>
  <c r="B57" i="18"/>
  <c r="C26" i="18"/>
  <c r="C6" i="18" s="1"/>
  <c r="B26" i="18"/>
  <c r="B6" i="18" s="1"/>
  <c r="B7" i="18"/>
  <c r="B97" i="17"/>
  <c r="B95" i="17"/>
  <c r="B92" i="17"/>
  <c r="B90" i="17"/>
  <c r="B87" i="17"/>
  <c r="B82" i="17"/>
  <c r="B79" i="17"/>
  <c r="B73" i="17"/>
  <c r="B68" i="17"/>
  <c r="B66" i="17"/>
  <c r="B64" i="17"/>
  <c r="B60" i="17"/>
  <c r="C57" i="17"/>
  <c r="C7" i="17" s="1"/>
  <c r="B57" i="17"/>
  <c r="B7" i="17" s="1"/>
  <c r="C26" i="17"/>
  <c r="B26" i="17"/>
  <c r="B6" i="17" s="1"/>
  <c r="C6" i="17"/>
  <c r="B97" i="16"/>
  <c r="B95" i="16"/>
  <c r="B92" i="16"/>
  <c r="B90" i="16"/>
  <c r="B87" i="16"/>
  <c r="B82" i="16"/>
  <c r="B79" i="16"/>
  <c r="B73" i="16"/>
  <c r="B68" i="16"/>
  <c r="B66" i="16"/>
  <c r="B64" i="16"/>
  <c r="B60" i="16"/>
  <c r="C57" i="16"/>
  <c r="B57" i="16"/>
  <c r="B7" i="16" s="1"/>
  <c r="C26" i="16"/>
  <c r="C6" i="16" s="1"/>
  <c r="B26" i="16"/>
  <c r="B6" i="16" s="1"/>
  <c r="B8" i="16" s="1"/>
  <c r="B5" i="16" s="1"/>
  <c r="C7" i="16"/>
  <c r="B97" i="15"/>
  <c r="B95" i="15"/>
  <c r="B92" i="15"/>
  <c r="B90" i="15"/>
  <c r="B87" i="15"/>
  <c r="B82" i="15"/>
  <c r="B79" i="15"/>
  <c r="B73" i="15"/>
  <c r="B68" i="15"/>
  <c r="B66" i="15"/>
  <c r="B64" i="15"/>
  <c r="B60" i="15"/>
  <c r="B70" i="15" s="1"/>
  <c r="C57" i="15"/>
  <c r="C7" i="15" s="1"/>
  <c r="B57" i="15"/>
  <c r="B7" i="15" s="1"/>
  <c r="C26" i="15"/>
  <c r="C6" i="15" s="1"/>
  <c r="B26" i="15"/>
  <c r="B6" i="15" s="1"/>
  <c r="B8" i="15" s="1"/>
  <c r="B5" i="15" s="1"/>
  <c r="B97" i="14"/>
  <c r="B95" i="14"/>
  <c r="B92" i="14"/>
  <c r="B90" i="14"/>
  <c r="B87" i="14"/>
  <c r="B82" i="14"/>
  <c r="B79" i="14"/>
  <c r="B73" i="14"/>
  <c r="B68" i="14"/>
  <c r="B66" i="14"/>
  <c r="B64" i="14"/>
  <c r="B60" i="14"/>
  <c r="C7" i="14"/>
  <c r="B7" i="14"/>
  <c r="C26" i="14"/>
  <c r="C6" i="14" s="1"/>
  <c r="B26" i="14"/>
  <c r="B6" i="14" s="1"/>
  <c r="B97" i="13"/>
  <c r="B95" i="13"/>
  <c r="B92" i="13"/>
  <c r="B90" i="13"/>
  <c r="B87" i="13"/>
  <c r="B82" i="13"/>
  <c r="B79" i="13"/>
  <c r="B73" i="13"/>
  <c r="B68" i="13"/>
  <c r="B66" i="13"/>
  <c r="B64" i="13"/>
  <c r="B60" i="13"/>
  <c r="B70" i="13" s="1"/>
  <c r="C57" i="13"/>
  <c r="C7" i="13" s="1"/>
  <c r="B57" i="13"/>
  <c r="B7" i="13" s="1"/>
  <c r="C26" i="13"/>
  <c r="C6" i="13" s="1"/>
  <c r="B26" i="13"/>
  <c r="B6" i="13" s="1"/>
  <c r="B97" i="12"/>
  <c r="B95" i="12"/>
  <c r="B92" i="12"/>
  <c r="B90" i="12"/>
  <c r="B87" i="12"/>
  <c r="B82" i="12"/>
  <c r="B79" i="12"/>
  <c r="B73" i="12"/>
  <c r="B100" i="12" s="1"/>
  <c r="B68" i="12"/>
  <c r="B70" i="12" s="1"/>
  <c r="B66" i="12"/>
  <c r="B64" i="12"/>
  <c r="B60" i="12"/>
  <c r="C57" i="12"/>
  <c r="C7" i="12" s="1"/>
  <c r="B57" i="12"/>
  <c r="C26" i="12"/>
  <c r="C6" i="12" s="1"/>
  <c r="B26" i="12"/>
  <c r="B6" i="12" s="1"/>
  <c r="B7" i="12"/>
  <c r="B97" i="11"/>
  <c r="B95" i="11"/>
  <c r="B92" i="11"/>
  <c r="B90" i="11"/>
  <c r="B87" i="11"/>
  <c r="B82" i="11"/>
  <c r="B79" i="11"/>
  <c r="B73" i="11"/>
  <c r="B68" i="11"/>
  <c r="B66" i="11"/>
  <c r="B64" i="11"/>
  <c r="B60" i="11"/>
  <c r="B70" i="11" s="1"/>
  <c r="C57" i="11"/>
  <c r="B57" i="11"/>
  <c r="B7" i="11" s="1"/>
  <c r="C26" i="11"/>
  <c r="C6" i="11" s="1"/>
  <c r="C8" i="11" s="1"/>
  <c r="C5" i="11" s="1"/>
  <c r="B26" i="11"/>
  <c r="B6" i="11" s="1"/>
  <c r="C7" i="11"/>
  <c r="B97" i="10"/>
  <c r="B95" i="10"/>
  <c r="B92" i="10"/>
  <c r="B90" i="10"/>
  <c r="B87" i="10"/>
  <c r="B82" i="10"/>
  <c r="B79" i="10"/>
  <c r="B73" i="10"/>
  <c r="B68" i="10"/>
  <c r="B66" i="10"/>
  <c r="B64" i="10"/>
  <c r="B60" i="10"/>
  <c r="C57" i="10"/>
  <c r="C7" i="10" s="1"/>
  <c r="B57" i="10"/>
  <c r="B7" i="10" s="1"/>
  <c r="C26" i="10"/>
  <c r="C6" i="10" s="1"/>
  <c r="B26" i="10"/>
  <c r="B6" i="10" s="1"/>
  <c r="B97" i="9"/>
  <c r="B95" i="9"/>
  <c r="B92" i="9"/>
  <c r="B90" i="9"/>
  <c r="B87" i="9"/>
  <c r="B82" i="9"/>
  <c r="B79" i="9"/>
  <c r="B73" i="9"/>
  <c r="B70" i="9"/>
  <c r="B68" i="9"/>
  <c r="B66" i="9"/>
  <c r="B64" i="9"/>
  <c r="B60" i="9"/>
  <c r="C57" i="9"/>
  <c r="C7" i="9" s="1"/>
  <c r="B57" i="9"/>
  <c r="B7" i="9" s="1"/>
  <c r="C26" i="9"/>
  <c r="C6" i="9" s="1"/>
  <c r="B26" i="9"/>
  <c r="B6" i="9" s="1"/>
  <c r="B8" i="9" s="1"/>
  <c r="B5" i="9" s="1"/>
  <c r="B97" i="8"/>
  <c r="B95" i="8"/>
  <c r="B92" i="8"/>
  <c r="B90" i="8"/>
  <c r="B87" i="8"/>
  <c r="B82" i="8"/>
  <c r="B79" i="8"/>
  <c r="B73" i="8"/>
  <c r="B68" i="8"/>
  <c r="B66" i="8"/>
  <c r="B64" i="8"/>
  <c r="B60" i="8"/>
  <c r="C57" i="8"/>
  <c r="C7" i="8" s="1"/>
  <c r="B57" i="8"/>
  <c r="B7" i="8" s="1"/>
  <c r="C26" i="8"/>
  <c r="C6" i="8" s="1"/>
  <c r="B26" i="8"/>
  <c r="B6" i="8" s="1"/>
  <c r="C8" i="14" l="1"/>
  <c r="C5" i="14" s="1"/>
  <c r="B8" i="14"/>
  <c r="B5" i="14" s="1"/>
  <c r="B70" i="10"/>
  <c r="B100" i="14"/>
  <c r="B70" i="17"/>
  <c r="B70" i="19"/>
  <c r="B100" i="10"/>
  <c r="B100" i="17"/>
  <c r="B70" i="8"/>
  <c r="B100" i="15"/>
  <c r="B8" i="12"/>
  <c r="B5" i="12" s="1"/>
  <c r="C8" i="12"/>
  <c r="C5" i="12" s="1"/>
  <c r="C8" i="16"/>
  <c r="C5" i="16" s="1"/>
  <c r="B100" i="8"/>
  <c r="B8" i="10"/>
  <c r="B5" i="10" s="1"/>
  <c r="B100" i="13"/>
  <c r="B70" i="14"/>
  <c r="B70" i="16"/>
  <c r="B8" i="8"/>
  <c r="B5" i="8" s="1"/>
  <c r="B100" i="9"/>
  <c r="B100" i="11"/>
  <c r="B100" i="16"/>
  <c r="C8" i="10"/>
  <c r="C5" i="10" s="1"/>
  <c r="C8" i="17"/>
  <c r="C5" i="17" s="1"/>
  <c r="B8" i="17"/>
  <c r="B5" i="17" s="1"/>
  <c r="C8" i="18"/>
  <c r="C5" i="18" s="1"/>
  <c r="B8" i="18"/>
  <c r="B5" i="18" s="1"/>
  <c r="B8" i="13"/>
  <c r="B5" i="13" s="1"/>
  <c r="C8" i="13"/>
  <c r="C5" i="13" s="1"/>
  <c r="C8" i="9"/>
  <c r="C5" i="9" s="1"/>
  <c r="C8" i="8"/>
  <c r="C5" i="8" s="1"/>
  <c r="C8" i="15"/>
  <c r="C5" i="15" s="1"/>
  <c r="B8" i="19"/>
  <c r="B5" i="19" s="1"/>
  <c r="B8" i="11"/>
  <c r="B5" i="11" s="1"/>
  <c r="C80" i="2" l="1"/>
  <c r="C68" i="2"/>
  <c r="C59" i="2"/>
  <c r="C58" i="2" s="1"/>
  <c r="C51" i="2"/>
  <c r="C45" i="2"/>
  <c r="C43" i="2"/>
  <c r="C41" i="2"/>
  <c r="C37" i="2"/>
  <c r="C47" i="2" s="1"/>
  <c r="C35" i="2" s="1"/>
  <c r="C33" i="2"/>
  <c r="C16" i="2" s="1"/>
  <c r="C18" i="2"/>
  <c r="C88" i="2" l="1"/>
  <c r="C9" i="2"/>
  <c r="C11" i="2" l="1"/>
  <c r="C13" i="2" s="1"/>
  <c r="C7" i="2" s="1"/>
  <c r="C49" i="2"/>
</calcChain>
</file>

<file path=xl/sharedStrings.xml><?xml version="1.0" encoding="utf-8"?>
<sst xmlns="http://schemas.openxmlformats.org/spreadsheetml/2006/main" count="1883" uniqueCount="206">
  <si>
    <t>린넨</t>
    <phoneticPr fontId="3" type="noConversion"/>
  </si>
  <si>
    <t>입주청소</t>
    <phoneticPr fontId="3" type="noConversion"/>
  </si>
  <si>
    <t>아웃소싱 업체</t>
    <phoneticPr fontId="3" type="noConversion"/>
  </si>
  <si>
    <t>내용</t>
  </si>
  <si>
    <t>업체명</t>
  </si>
  <si>
    <t>j유통</t>
    <phoneticPr fontId="3" type="noConversion"/>
  </si>
  <si>
    <t>비전광고</t>
    <phoneticPr fontId="3" type="noConversion"/>
  </si>
  <si>
    <t>토탈엠알오</t>
    <phoneticPr fontId="3" type="noConversion"/>
  </si>
  <si>
    <t>싸인물 제작</t>
    <phoneticPr fontId="3" type="noConversion"/>
  </si>
  <si>
    <t>객실용품/비품</t>
    <phoneticPr fontId="3" type="noConversion"/>
  </si>
  <si>
    <t>온라인 구매</t>
    <phoneticPr fontId="3" type="noConversion"/>
  </si>
  <si>
    <t>금액</t>
    <phoneticPr fontId="3" type="noConversion"/>
  </si>
  <si>
    <t>구분</t>
    <phoneticPr fontId="3" type="noConversion"/>
  </si>
  <si>
    <t>총합</t>
    <phoneticPr fontId="3" type="noConversion"/>
  </si>
  <si>
    <t>이불, 수건, 배개 등</t>
    <phoneticPr fontId="3" type="noConversion"/>
  </si>
  <si>
    <t>입간판, 아크릴, 안내판 등</t>
    <phoneticPr fontId="3" type="noConversion"/>
  </si>
  <si>
    <t>욕실화, 케이블, 면도기, 스킨 등</t>
    <phoneticPr fontId="3" type="noConversion"/>
  </si>
  <si>
    <t>티슈, 칫솔, 비누, 생수 등</t>
    <phoneticPr fontId="3" type="noConversion"/>
  </si>
  <si>
    <t>디퓨저, 탈취제, 수납함 등</t>
    <phoneticPr fontId="3" type="noConversion"/>
  </si>
  <si>
    <t>STAYG 운영 보고서</t>
    <phoneticPr fontId="3" type="noConversion"/>
  </si>
  <si>
    <t>인건비</t>
    <phoneticPr fontId="3" type="noConversion"/>
  </si>
  <si>
    <t>청소 아르바이트</t>
  </si>
  <si>
    <t>당번 아르바이트</t>
  </si>
  <si>
    <t>월추가 수당</t>
  </si>
  <si>
    <t>청소(다힘)</t>
  </si>
  <si>
    <t>황경현팀장</t>
  </si>
  <si>
    <t>이정경 매니저</t>
  </si>
  <si>
    <t>박민지 매니저</t>
  </si>
  <si>
    <t>7월 지출</t>
    <phoneticPr fontId="3" type="noConversion"/>
  </si>
  <si>
    <t>세탁관리</t>
  </si>
  <si>
    <t>방역</t>
  </si>
  <si>
    <t>중개수수료</t>
  </si>
  <si>
    <t>사무실 보증금</t>
  </si>
  <si>
    <t>월차임</t>
  </si>
  <si>
    <t>카드매출 수수료</t>
  </si>
  <si>
    <t>cms 호텔스토리 구축</t>
  </si>
  <si>
    <t>cms 호텔스토리 사용료</t>
  </si>
  <si>
    <t>RF도어락 카드</t>
  </si>
  <si>
    <t>관리비</t>
  </si>
  <si>
    <t>여기어때 광고</t>
  </si>
  <si>
    <t>야놀자 광고료</t>
  </si>
  <si>
    <t>등록면허세</t>
  </si>
  <si>
    <t>고정지출</t>
    <phoneticPr fontId="3" type="noConversion"/>
  </si>
  <si>
    <t>직원 식대</t>
  </si>
  <si>
    <t>각종 소모품</t>
  </si>
  <si>
    <t>건물인테리어수선비</t>
  </si>
  <si>
    <t>스낵바(마트)</t>
  </si>
  <si>
    <t>쿠팡 소모품</t>
  </si>
  <si>
    <t>기타잡비</t>
  </si>
  <si>
    <t>초기 일회성 발생비용</t>
    <phoneticPr fontId="3" type="noConversion"/>
  </si>
  <si>
    <t>7월 매출</t>
    <phoneticPr fontId="3" type="noConversion"/>
  </si>
  <si>
    <t>현금</t>
  </si>
  <si>
    <t>카드</t>
  </si>
  <si>
    <t>계좌</t>
  </si>
  <si>
    <t>야놀자 모텔</t>
  </si>
  <si>
    <t>여기어때모텔</t>
  </si>
  <si>
    <t>야놀자 호텔</t>
  </si>
  <si>
    <t>여기어때 호텔</t>
  </si>
  <si>
    <t>네이버</t>
  </si>
  <si>
    <t>아고다</t>
  </si>
  <si>
    <t>부킹닷컴</t>
  </si>
  <si>
    <t>트립</t>
  </si>
  <si>
    <t>에어비앤비</t>
  </si>
  <si>
    <t>익스피디아</t>
  </si>
  <si>
    <t>매출</t>
    <phoneticPr fontId="3" type="noConversion"/>
  </si>
  <si>
    <t>지출</t>
    <phoneticPr fontId="3" type="noConversion"/>
  </si>
  <si>
    <t>순익</t>
    <phoneticPr fontId="3" type="noConversion"/>
  </si>
  <si>
    <t>초기 셋업비용</t>
    <phoneticPr fontId="3" type="noConversion"/>
  </si>
  <si>
    <t>요약</t>
    <phoneticPr fontId="3" type="noConversion"/>
  </si>
  <si>
    <t>*지출에 포함</t>
    <phoneticPr fontId="3" type="noConversion"/>
  </si>
  <si>
    <t>객실비품</t>
    <phoneticPr fontId="3" type="noConversion"/>
  </si>
  <si>
    <t>객식용품</t>
    <phoneticPr fontId="3" type="noConversion"/>
  </si>
  <si>
    <t>비품/용품</t>
    <phoneticPr fontId="3" type="noConversion"/>
  </si>
  <si>
    <t>셋업비용</t>
    <phoneticPr fontId="3" type="noConversion"/>
  </si>
  <si>
    <r>
      <t xml:space="preserve">유동지출
</t>
    </r>
    <r>
      <rPr>
        <b/>
        <sz val="11"/>
        <color rgb="FF000000"/>
        <rFont val="굴림"/>
        <family val="3"/>
        <charset val="129"/>
      </rPr>
      <t>(사업자카드포함)</t>
    </r>
    <phoneticPr fontId="3" type="noConversion"/>
  </si>
  <si>
    <t>부산 그라체 7월</t>
    <phoneticPr fontId="3" type="noConversion"/>
  </si>
  <si>
    <t xml:space="preserve"> </t>
    <phoneticPr fontId="3" type="noConversion"/>
  </si>
  <si>
    <t>summary</t>
    <phoneticPr fontId="3" type="noConversion"/>
  </si>
  <si>
    <t>(A)매출</t>
    <phoneticPr fontId="3" type="noConversion"/>
  </si>
  <si>
    <t>야놀자(모텔)</t>
  </si>
  <si>
    <t>트립닷컴</t>
  </si>
  <si>
    <t>야놀자(호텔)</t>
  </si>
  <si>
    <t>하나방역</t>
  </si>
  <si>
    <t>비고</t>
    <phoneticPr fontId="3" type="noConversion"/>
  </si>
  <si>
    <t>(B)지출</t>
    <phoneticPr fontId="3" type="noConversion"/>
  </si>
  <si>
    <t>(C)순익</t>
    <phoneticPr fontId="3" type="noConversion"/>
  </si>
  <si>
    <t>메이드 급여</t>
    <phoneticPr fontId="3" type="noConversion"/>
  </si>
  <si>
    <t>세탁비</t>
    <phoneticPr fontId="3" type="noConversion"/>
  </si>
  <si>
    <t>(A) 매출</t>
    <phoneticPr fontId="3" type="noConversion"/>
  </si>
  <si>
    <t>8월</t>
  </si>
  <si>
    <t xml:space="preserve">부산 그라체 </t>
    <phoneticPr fontId="3" type="noConversion"/>
  </si>
  <si>
    <t>채널명</t>
    <phoneticPr fontId="3" type="noConversion"/>
  </si>
  <si>
    <t>사용 금액</t>
    <phoneticPr fontId="3" type="noConversion"/>
  </si>
  <si>
    <t>본사 인력
인건비</t>
    <phoneticPr fontId="3" type="noConversion"/>
  </si>
  <si>
    <t>출장 OT비용</t>
    <phoneticPr fontId="3" type="noConversion"/>
  </si>
  <si>
    <t>출장 숙박비</t>
    <phoneticPr fontId="3" type="noConversion"/>
  </si>
  <si>
    <t>출장비</t>
    <phoneticPr fontId="3" type="noConversion"/>
  </si>
  <si>
    <t>출장 식대</t>
    <phoneticPr fontId="3" type="noConversion"/>
  </si>
  <si>
    <t>출장 교통비(유류비)</t>
    <phoneticPr fontId="3" type="noConversion"/>
  </si>
  <si>
    <t>프런트 셋업</t>
    <phoneticPr fontId="3" type="noConversion"/>
  </si>
  <si>
    <t>프런트 셋업</t>
  </si>
  <si>
    <t>PC 2대 구매,사무용품등</t>
    <phoneticPr fontId="3" type="noConversion"/>
  </si>
  <si>
    <t>온라인 판매</t>
  </si>
  <si>
    <t>바이럴마케팅</t>
  </si>
  <si>
    <t>레뷰</t>
    <phoneticPr fontId="3" type="noConversion"/>
  </si>
  <si>
    <t>와이즈</t>
  </si>
  <si>
    <t>외부 사진업체</t>
  </si>
  <si>
    <t>사진촬영 및 포토샵</t>
  </si>
  <si>
    <t>ota</t>
  </si>
  <si>
    <t>셋팅 구축비</t>
    <phoneticPr fontId="3" type="noConversion"/>
  </si>
  <si>
    <t>객실용품 구매</t>
  </si>
  <si>
    <t>트윈객실 14실</t>
  </si>
  <si>
    <t xml:space="preserve">린넨시트,패드류 2배수 </t>
  </si>
  <si>
    <t>세탁,주방용품</t>
    <phoneticPr fontId="3" type="noConversion"/>
  </si>
  <si>
    <t>이전 비품 인수</t>
    <phoneticPr fontId="3" type="noConversion"/>
  </si>
  <si>
    <t>네오스테이</t>
  </si>
  <si>
    <t>비품실 도어락, 렉 인수금액</t>
    <phoneticPr fontId="3" type="noConversion"/>
  </si>
  <si>
    <t>직원용품 구매</t>
  </si>
  <si>
    <t>청소팀</t>
  </si>
  <si>
    <t>청소,세탁 카트(이동형)</t>
  </si>
  <si>
    <t>청소 휴게실</t>
  </si>
  <si>
    <t>메이드용 가구,선풍기등</t>
    <phoneticPr fontId="3" type="noConversion"/>
  </si>
  <si>
    <t>보험</t>
  </si>
  <si>
    <t>영업배상책임보험</t>
  </si>
  <si>
    <t>39실</t>
  </si>
  <si>
    <t>검수/검사</t>
  </si>
  <si>
    <t>전기안전검사 작업</t>
  </si>
  <si>
    <t>욕실 콘센트 교체작업</t>
  </si>
  <si>
    <t>수수료</t>
  </si>
  <si>
    <t>바이럴 마케팅</t>
    <phoneticPr fontId="3" type="noConversion"/>
  </si>
  <si>
    <t>객실 용품,비품</t>
    <phoneticPr fontId="3" type="noConversion"/>
  </si>
  <si>
    <t>영업신고증 준비</t>
    <phoneticPr fontId="3" type="noConversion"/>
  </si>
  <si>
    <t>추가 린넨</t>
    <phoneticPr fontId="3" type="noConversion"/>
  </si>
  <si>
    <t>김진광이사, 이강현이사,
 이준우팀장
6/18~6/20, 6/25~7/7</t>
    <phoneticPr fontId="3" type="noConversion"/>
  </si>
  <si>
    <t>각종 소모품 비</t>
    <phoneticPr fontId="3" type="noConversion"/>
  </si>
  <si>
    <t>프런트 임차료</t>
    <phoneticPr fontId="3" type="noConversion"/>
  </si>
  <si>
    <t>직원식대,마트</t>
    <phoneticPr fontId="3" type="noConversion"/>
  </si>
  <si>
    <t>각종 수수료</t>
    <phoneticPr fontId="3" type="noConversion"/>
  </si>
  <si>
    <t>cms</t>
    <phoneticPr fontId="3" type="noConversion"/>
  </si>
  <si>
    <t>카드 단말기</t>
    <phoneticPr fontId="3" type="noConversion"/>
  </si>
  <si>
    <t>싸인물 제작
입간판, 아크릴,
안내판 등</t>
    <phoneticPr fontId="3" type="noConversion"/>
  </si>
  <si>
    <t>프런트 제작, pc구매,가구, 가벽,프린터등</t>
    <phoneticPr fontId="3" type="noConversion"/>
  </si>
  <si>
    <t>2.스테이지 set-up(27,934,681원)</t>
    <phoneticPr fontId="3" type="noConversion"/>
  </si>
  <si>
    <t>본사 OTA, 마케팅, 매출, 지출 관리</t>
    <phoneticPr fontId="3" type="noConversion"/>
  </si>
  <si>
    <t>야놀자 광고료</t>
    <phoneticPr fontId="3" type="noConversion"/>
  </si>
  <si>
    <t>여기어때 광고료</t>
    <phoneticPr fontId="3" type="noConversion"/>
  </si>
  <si>
    <t>야놀자, 여기어때, 부킹닷컴,아고다 ,익스피디아 수수료</t>
    <phoneticPr fontId="3" type="noConversion"/>
  </si>
  <si>
    <t>내용</t>
    <phoneticPr fontId="3" type="noConversion"/>
  </si>
  <si>
    <t>주방 용품(2인 식기 세트, 주방 세트)</t>
    <phoneticPr fontId="3" type="noConversion"/>
  </si>
  <si>
    <t>여분 추가 구매</t>
    <phoneticPr fontId="3" type="noConversion"/>
  </si>
  <si>
    <t>이불, 시트, 커버, 페이스타월, 바디타월, 배개피, 가운등</t>
    <phoneticPr fontId="3" type="noConversion"/>
  </si>
  <si>
    <t>객실 내부, 입간파, 프런트 내부, 출입문등 제작</t>
    <phoneticPr fontId="3" type="noConversion"/>
  </si>
  <si>
    <t>토탈 mbo 어메니티 비품</t>
    <phoneticPr fontId="3" type="noConversion"/>
  </si>
  <si>
    <t>J유통 객실 비품</t>
    <phoneticPr fontId="3" type="noConversion"/>
  </si>
  <si>
    <t>전기안전검사료</t>
    <phoneticPr fontId="3" type="noConversion"/>
  </si>
  <si>
    <t>가구,쇼파,비품, 시트지,도장</t>
    <phoneticPr fontId="3" type="noConversion"/>
  </si>
  <si>
    <t>1.수분양자 셋업비용(25,704,200원)</t>
    <phoneticPr fontId="3" type="noConversion"/>
  </si>
  <si>
    <t>참고
1, 공용성 비용
(공용성 비용 8,363,000원, 8월 공용성비용 발생 226,000원 x 6세대 = 1,356,000원 / 37세대 / 36,649원 지급 예정 참고, 잔여 공용성 비용  7,007,000원)
2. 초기 수분양 셋업 client 비용부담 25,704,200원 중 7월분 정산금에서 선 차감 된 금액 10,386,452원, 잔여금 15,317,748원은 8월에 당월 정산금애서 차감 예정</t>
    <phoneticPr fontId="3" type="noConversion"/>
  </si>
  <si>
    <t>9월</t>
    <phoneticPr fontId="3" type="noConversion"/>
  </si>
  <si>
    <t>도시가스요금</t>
    <phoneticPr fontId="3" type="noConversion"/>
  </si>
  <si>
    <t>호텔나우</t>
    <phoneticPr fontId="3" type="noConversion"/>
  </si>
  <si>
    <t>여기어때(모텔)</t>
    <phoneticPr fontId="3" type="noConversion"/>
  </si>
  <si>
    <t>여기어때(호텔)</t>
    <phoneticPr fontId="3" type="noConversion"/>
  </si>
  <si>
    <t>8월분 43세대 관리비 (수도,전기, 보험등, 일반관리비 포함)</t>
    <phoneticPr fontId="3" type="noConversion"/>
  </si>
  <si>
    <t>43실 KT통신 TV,인터넷, 프런트 CCTV</t>
    <phoneticPr fontId="3" type="noConversion"/>
  </si>
  <si>
    <t>쿠팡, 온라인 주문건, 청소용품, 기타 용품</t>
    <phoneticPr fontId="3" type="noConversion"/>
  </si>
  <si>
    <t>객실 수건, 린넨류 추가 발주</t>
    <phoneticPr fontId="3" type="noConversion"/>
  </si>
  <si>
    <t>레뷰 , 와이즈</t>
    <phoneticPr fontId="3" type="noConversion"/>
  </si>
  <si>
    <t>토탈 MRO 객실 용품, 비품,어메니티</t>
    <phoneticPr fontId="3" type="noConversion"/>
  </si>
  <si>
    <t>드라이기 콘센트 이슈로 고객 보상금 합의금 지급</t>
    <phoneticPr fontId="3" type="noConversion"/>
  </si>
  <si>
    <t>부산도시가스</t>
    <phoneticPr fontId="3" type="noConversion"/>
  </si>
  <si>
    <t>SIGN물 제작,객실 보수등</t>
    <phoneticPr fontId="3" type="noConversion"/>
  </si>
  <si>
    <t>SJ산업</t>
    <phoneticPr fontId="3" type="noConversion"/>
  </si>
  <si>
    <t>추천패키지 30일</t>
    <phoneticPr fontId="3" type="noConversion"/>
  </si>
  <si>
    <t>항목</t>
    <phoneticPr fontId="3" type="noConversion"/>
  </si>
  <si>
    <t>총 43세대</t>
    <phoneticPr fontId="3" type="noConversion"/>
  </si>
  <si>
    <t>영업배상책임보험, 전기안전검사, 콘센트교체작업등</t>
    <phoneticPr fontId="3" type="noConversion"/>
  </si>
  <si>
    <t>울트라 노출 30일</t>
    <phoneticPr fontId="3" type="noConversion"/>
  </si>
  <si>
    <t>호텔스토리</t>
    <phoneticPr fontId="3" type="noConversion"/>
  </si>
  <si>
    <t>총매출내역</t>
    <phoneticPr fontId="3" type="noConversion"/>
  </si>
  <si>
    <t>8월</t>
    <phoneticPr fontId="3" type="noConversion"/>
  </si>
  <si>
    <t>지출 세부내역</t>
    <phoneticPr fontId="3" type="noConversion"/>
  </si>
  <si>
    <t>(B) 총 지출</t>
    <phoneticPr fontId="3" type="noConversion"/>
  </si>
  <si>
    <t>시설물 수선비</t>
    <phoneticPr fontId="3" type="noConversion"/>
  </si>
  <si>
    <t>사업자카드 사용, 일반쓰레기 종량제 봉투등</t>
    <phoneticPr fontId="3" type="noConversion"/>
  </si>
  <si>
    <t>기타</t>
    <phoneticPr fontId="3" type="noConversion"/>
  </si>
  <si>
    <t>43실 소독</t>
    <phoneticPr fontId="3" type="noConversion"/>
  </si>
  <si>
    <t>프런트 급여</t>
    <phoneticPr fontId="3" type="noConversion"/>
  </si>
  <si>
    <t>본사 고정비</t>
    <phoneticPr fontId="3" type="noConversion"/>
  </si>
  <si>
    <t>4대 보험등</t>
    <phoneticPr fontId="3" type="noConversion"/>
  </si>
  <si>
    <t>4대보험, 복리후생, 수당</t>
    <phoneticPr fontId="3" type="noConversion"/>
  </si>
  <si>
    <t>민원처리비</t>
    <phoneticPr fontId="3" type="noConversion"/>
  </si>
  <si>
    <t>수분양자 보장액</t>
    <phoneticPr fontId="3" type="noConversion"/>
  </si>
  <si>
    <t>TV,인터넷,통신</t>
    <phoneticPr fontId="3" type="noConversion"/>
  </si>
  <si>
    <t>야놀자, 여기어때, 부킹닷컴, 아고다, 익스피디아 수수료</t>
    <phoneticPr fontId="3" type="noConversion"/>
  </si>
  <si>
    <t>각종 소모품비</t>
    <phoneticPr fontId="3" type="noConversion"/>
  </si>
  <si>
    <t>객실 용품 및 비품</t>
    <phoneticPr fontId="3" type="noConversion"/>
  </si>
  <si>
    <t>식대 및 마트구입</t>
    <phoneticPr fontId="3" type="noConversion"/>
  </si>
  <si>
    <t>영업신고 관련비용</t>
    <phoneticPr fontId="3" type="noConversion"/>
  </si>
  <si>
    <t>추가 린넨 구입비</t>
    <phoneticPr fontId="3" type="noConversion"/>
  </si>
  <si>
    <t>4대보험 등</t>
    <phoneticPr fontId="3" type="noConversion"/>
  </si>
  <si>
    <t>CMS 이용료</t>
    <phoneticPr fontId="3" type="noConversion"/>
  </si>
  <si>
    <t>사인물 제작 및 객실 보수 등</t>
    <phoneticPr fontId="3" type="noConversion"/>
  </si>
  <si>
    <t>쿠팡 주문, 청소용품 등 구입</t>
    <phoneticPr fontId="3" type="noConversion"/>
  </si>
  <si>
    <t>본사 OTA 관리, 마케팅, 매출·지출 관리비</t>
    <phoneticPr fontId="3" type="noConversion"/>
  </si>
  <si>
    <t>사업자카드 사용, 일반쓰레기 종량제 봉투 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</si>
</sst>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0.0%"/>
    <numFmt numFmtId="177" formatCode="#,##0\ &quot;₩&quot;;[Red]\-\ #,##0\ &quot;₩&quot;;\-"/>
    <numFmt numFmtId="178" formatCode="_-\ #,##0_-;\-\ #,##0_-;_-\ &quot;-&quot;_-;_-@_-"/>
    <numFmt numFmtId="179" formatCode="&quot;₩&quot;_-\ #,##0_-;\-\ #,##0_-;_-\ &quot;-&quot;_-;_-@_-"/>
    <numFmt numFmtId="180" formatCode="&quot;₩&quot;* #,##0;[Red]&quot;₩&quot;* \-#,##0;\-"/>
  </numFmts>
  <fonts count="3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rgb="FF000000"/>
      <name val="굴림"/>
      <family val="3"/>
      <charset val="129"/>
    </font>
    <font>
      <sz val="10"/>
      <color rgb="FFFFFFFF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18"/>
      <color theme="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theme="1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b/>
      <sz val="14"/>
      <color rgb="FFFFFFFF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16"/>
      <color rgb="FFFFFFFF"/>
      <name val="맑은 고딕"/>
      <family val="3"/>
      <charset val="129"/>
      <scheme val="major"/>
    </font>
    <font>
      <b/>
      <sz val="16"/>
      <color rgb="FF00000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03A7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0" tint="-0.249977111117893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/>
      <bottom style="thin">
        <color theme="0" tint="-0.249977111117893"/>
      </bottom>
      <diagonal/>
    </border>
    <border>
      <left style="thin">
        <color theme="2"/>
      </left>
      <right/>
      <top style="thin">
        <color theme="0" tint="-0.249977111117893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0" tint="-0.249977111117893"/>
      </bottom>
      <diagonal/>
    </border>
    <border>
      <left/>
      <right style="thin">
        <color theme="2"/>
      </right>
      <top style="thin">
        <color theme="0" tint="-0.249977111117893"/>
      </top>
      <bottom/>
      <diagonal/>
    </border>
    <border>
      <left/>
      <right style="thin">
        <color theme="2"/>
      </right>
      <top/>
      <bottom style="thin">
        <color theme="0" tint="-0.249977111117893"/>
      </bottom>
      <diagonal/>
    </border>
    <border>
      <left style="thin">
        <color theme="2"/>
      </left>
      <right/>
      <top/>
      <bottom style="thin">
        <color theme="0" tint="-0.249977111117893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double">
        <color theme="4"/>
      </top>
      <bottom style="thin">
        <color theme="0" tint="-0.249977111117893"/>
      </bottom>
      <diagonal/>
    </border>
    <border>
      <left/>
      <right/>
      <top/>
      <bottom style="double">
        <color theme="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0" borderId="0"/>
    <xf numFmtId="9" fontId="1" fillId="0" borderId="0" applyFon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2" fontId="6" fillId="2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2" applyFont="1">
      <alignment vertical="center"/>
    </xf>
    <xf numFmtId="0" fontId="5" fillId="0" borderId="2" xfId="0" applyFont="1" applyBorder="1" applyAlignment="1">
      <alignment horizontal="center" vertical="center"/>
    </xf>
    <xf numFmtId="0" fontId="9" fillId="4" borderId="1" xfId="2" applyFont="1" applyFill="1" applyAlignment="1">
      <alignment horizontal="center" vertical="center"/>
    </xf>
    <xf numFmtId="42" fontId="9" fillId="4" borderId="1" xfId="2" applyNumberFormat="1" applyFont="1" applyFill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2" fillId="0" borderId="18" xfId="5" applyFont="1" applyBorder="1" applyAlignment="1">
      <alignment horizontal="center" vertical="center"/>
    </xf>
    <xf numFmtId="0" fontId="13" fillId="4" borderId="1" xfId="2" applyFont="1" applyFill="1" applyAlignment="1">
      <alignment horizontal="center" vertical="center"/>
    </xf>
    <xf numFmtId="0" fontId="12" fillId="0" borderId="0" xfId="5" applyFont="1" applyBorder="1" applyAlignment="1">
      <alignment vertical="center"/>
    </xf>
    <xf numFmtId="0" fontId="12" fillId="0" borderId="0" xfId="5" applyFont="1" applyBorder="1" applyAlignment="1">
      <alignment horizontal="center" vertical="center"/>
    </xf>
    <xf numFmtId="0" fontId="2" fillId="0" borderId="0" xfId="2" applyBorder="1">
      <alignment vertical="center"/>
    </xf>
    <xf numFmtId="42" fontId="15" fillId="3" borderId="8" xfId="1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42" fontId="17" fillId="0" borderId="10" xfId="1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2" fontId="17" fillId="0" borderId="9" xfId="1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2" fontId="17" fillId="0" borderId="11" xfId="1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2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2" fontId="15" fillId="3" borderId="9" xfId="1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42" fontId="17" fillId="0" borderId="14" xfId="1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42" fontId="15" fillId="0" borderId="16" xfId="1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2" fontId="17" fillId="5" borderId="10" xfId="1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9" fillId="4" borderId="1" xfId="2" applyFont="1" applyFill="1">
      <alignment vertical="center"/>
    </xf>
    <xf numFmtId="42" fontId="17" fillId="0" borderId="25" xfId="1" applyNumberFormat="1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1" fillId="4" borderId="1" xfId="2" applyFont="1" applyFill="1" applyAlignment="1">
      <alignment horizontal="right" vertical="center"/>
    </xf>
    <xf numFmtId="0" fontId="8" fillId="3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6" fontId="5" fillId="0" borderId="9" xfId="4" applyNumberFormat="1" applyFont="1" applyBorder="1" applyAlignment="1">
      <alignment horizontal="center" vertical="center"/>
    </xf>
    <xf numFmtId="176" fontId="5" fillId="0" borderId="14" xfId="4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2" fontId="17" fillId="5" borderId="11" xfId="1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2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2" fontId="26" fillId="0" borderId="27" xfId="6" applyFont="1" applyFill="1" applyBorder="1" applyAlignment="1">
      <alignment horizontal="center" vertical="center"/>
    </xf>
    <xf numFmtId="0" fontId="25" fillId="0" borderId="27" xfId="2" applyFont="1" applyFill="1" applyBorder="1" applyAlignment="1">
      <alignment horizontal="center" vertical="center" wrapText="1"/>
    </xf>
    <xf numFmtId="42" fontId="25" fillId="0" borderId="27" xfId="6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41" fontId="25" fillId="0" borderId="29" xfId="1" applyFont="1" applyFill="1" applyBorder="1" applyAlignment="1">
      <alignment horizontal="center" vertical="center"/>
    </xf>
    <xf numFmtId="42" fontId="25" fillId="0" borderId="29" xfId="0" applyNumberFormat="1" applyFont="1" applyBorder="1" applyAlignment="1">
      <alignment horizontal="center" vertical="center"/>
    </xf>
    <xf numFmtId="177" fontId="24" fillId="0" borderId="29" xfId="2" applyNumberFormat="1" applyFont="1" applyFill="1" applyBorder="1" applyAlignment="1">
      <alignment horizontal="center" vertical="center"/>
    </xf>
    <xf numFmtId="177" fontId="24" fillId="0" borderId="30" xfId="2" applyNumberFormat="1" applyFont="1" applyFill="1" applyBorder="1" applyAlignment="1">
      <alignment horizontal="center" vertical="center"/>
    </xf>
    <xf numFmtId="42" fontId="26" fillId="0" borderId="27" xfId="1" applyNumberFormat="1" applyFont="1" applyFill="1" applyBorder="1" applyAlignment="1">
      <alignment horizontal="center" vertical="center"/>
    </xf>
    <xf numFmtId="42" fontId="26" fillId="0" borderId="32" xfId="1" applyNumberFormat="1" applyFont="1" applyFill="1" applyBorder="1" applyAlignment="1">
      <alignment horizontal="center" vertical="center"/>
    </xf>
    <xf numFmtId="42" fontId="26" fillId="3" borderId="9" xfId="6" applyFont="1" applyFill="1" applyBorder="1" applyAlignment="1">
      <alignment horizontal="center" vertical="center"/>
    </xf>
    <xf numFmtId="42" fontId="26" fillId="3" borderId="9" xfId="1" applyNumberFormat="1" applyFont="1" applyFill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42" fontId="26" fillId="3" borderId="8" xfId="6" applyFont="1" applyFill="1" applyBorder="1" applyAlignment="1">
      <alignment horizontal="center" vertical="center"/>
    </xf>
    <xf numFmtId="42" fontId="26" fillId="3" borderId="8" xfId="1" applyNumberFormat="1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42" fontId="25" fillId="0" borderId="2" xfId="6" applyFont="1" applyBorder="1" applyAlignment="1">
      <alignment horizontal="center" vertical="center"/>
    </xf>
    <xf numFmtId="42" fontId="25" fillId="0" borderId="2" xfId="0" applyNumberFormat="1" applyFont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6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41" fontId="23" fillId="0" borderId="0" xfId="1" applyFont="1" applyAlignment="1">
      <alignment horizontal="center" vertical="center"/>
    </xf>
    <xf numFmtId="0" fontId="27" fillId="6" borderId="31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5" fillId="0" borderId="0" xfId="0" applyFont="1">
      <alignment vertical="center"/>
    </xf>
    <xf numFmtId="0" fontId="20" fillId="0" borderId="0" xfId="0" applyFont="1">
      <alignment vertical="center"/>
    </xf>
    <xf numFmtId="42" fontId="26" fillId="0" borderId="27" xfId="1" applyNumberFormat="1" applyFont="1" applyFill="1" applyBorder="1" applyAlignment="1">
      <alignment horizontal="center" vertical="center" wrapText="1"/>
    </xf>
    <xf numFmtId="42" fontId="25" fillId="0" borderId="0" xfId="6" applyFont="1" applyFill="1">
      <alignment vertical="center"/>
    </xf>
    <xf numFmtId="42" fontId="26" fillId="0" borderId="31" xfId="1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41" fontId="28" fillId="2" borderId="2" xfId="1" applyFont="1" applyFill="1" applyBorder="1" applyAlignment="1">
      <alignment horizontal="center" vertical="center"/>
    </xf>
    <xf numFmtId="42" fontId="28" fillId="2" borderId="2" xfId="1" applyNumberFormat="1" applyFont="1" applyFill="1" applyBorder="1" applyAlignment="1">
      <alignment horizontal="center" vertical="center" wrapText="1"/>
    </xf>
    <xf numFmtId="42" fontId="26" fillId="0" borderId="10" xfId="6" applyFont="1" applyFill="1" applyBorder="1" applyAlignment="1">
      <alignment horizontal="center" vertical="center"/>
    </xf>
    <xf numFmtId="42" fontId="26" fillId="0" borderId="10" xfId="1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42" fontId="26" fillId="0" borderId="9" xfId="6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42" fontId="26" fillId="0" borderId="11" xfId="6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42" fontId="26" fillId="0" borderId="14" xfId="6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2" fontId="26" fillId="0" borderId="23" xfId="6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2" fontId="26" fillId="0" borderId="25" xfId="6" applyFont="1" applyFill="1" applyBorder="1" applyAlignment="1">
      <alignment horizontal="center" vertical="center"/>
    </xf>
    <xf numFmtId="42" fontId="26" fillId="0" borderId="25" xfId="1" applyNumberFormat="1" applyFont="1" applyFill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42" fontId="26" fillId="0" borderId="23" xfId="1" applyNumberFormat="1" applyFont="1" applyFill="1" applyBorder="1" applyAlignment="1">
      <alignment horizontal="center" vertical="center"/>
    </xf>
    <xf numFmtId="41" fontId="23" fillId="0" borderId="0" xfId="0" applyNumberFormat="1" applyFont="1" applyAlignment="1">
      <alignment horizontal="center" vertical="center"/>
    </xf>
    <xf numFmtId="0" fontId="28" fillId="6" borderId="19" xfId="0" applyFont="1" applyFill="1" applyBorder="1" applyAlignment="1">
      <alignment horizontal="center" vertical="center"/>
    </xf>
    <xf numFmtId="41" fontId="28" fillId="6" borderId="19" xfId="1" applyFont="1" applyFill="1" applyBorder="1" applyAlignment="1">
      <alignment horizontal="center" vertical="center"/>
    </xf>
    <xf numFmtId="42" fontId="24" fillId="0" borderId="2" xfId="0" applyNumberFormat="1" applyFont="1" applyBorder="1" applyAlignment="1">
      <alignment horizontal="center" vertical="center"/>
    </xf>
    <xf numFmtId="44" fontId="25" fillId="0" borderId="2" xfId="0" applyNumberFormat="1" applyFont="1" applyBorder="1" applyAlignment="1">
      <alignment horizontal="center" vertical="center"/>
    </xf>
    <xf numFmtId="42" fontId="29" fillId="0" borderId="27" xfId="6" applyFont="1" applyFill="1" applyBorder="1" applyAlignment="1">
      <alignment horizontal="center" vertical="center"/>
    </xf>
    <xf numFmtId="178" fontId="24" fillId="0" borderId="27" xfId="6" applyNumberFormat="1" applyFont="1" applyFill="1" applyBorder="1" applyAlignment="1">
      <alignment vertical="center"/>
    </xf>
    <xf numFmtId="179" fontId="24" fillId="0" borderId="27" xfId="6" applyNumberFormat="1" applyFont="1" applyFill="1" applyBorder="1" applyAlignment="1">
      <alignment vertical="center"/>
    </xf>
    <xf numFmtId="41" fontId="25" fillId="0" borderId="27" xfId="1" applyFont="1" applyFill="1" applyBorder="1" applyAlignment="1">
      <alignment vertical="center"/>
    </xf>
    <xf numFmtId="41" fontId="24" fillId="0" borderId="27" xfId="1" applyFont="1" applyFill="1" applyBorder="1" applyAlignment="1">
      <alignment vertical="center"/>
    </xf>
    <xf numFmtId="42" fontId="25" fillId="0" borderId="27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7" fillId="6" borderId="28" xfId="0" applyFont="1" applyFill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center" vertical="center" wrapText="1"/>
    </xf>
    <xf numFmtId="42" fontId="28" fillId="6" borderId="27" xfId="1" applyNumberFormat="1" applyFont="1" applyFill="1" applyBorder="1" applyAlignment="1">
      <alignment horizontal="center" vertical="center"/>
    </xf>
    <xf numFmtId="0" fontId="28" fillId="6" borderId="27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/>
    </xf>
    <xf numFmtId="180" fontId="31" fillId="0" borderId="27" xfId="1" applyNumberFormat="1" applyFont="1" applyFill="1" applyBorder="1" applyAlignment="1">
      <alignment vertical="center"/>
    </xf>
    <xf numFmtId="180" fontId="22" fillId="0" borderId="27" xfId="1" applyNumberFormat="1" applyFont="1" applyFill="1" applyBorder="1" applyAlignment="1">
      <alignment vertical="center"/>
    </xf>
    <xf numFmtId="42" fontId="32" fillId="6" borderId="27" xfId="1" applyNumberFormat="1" applyFont="1" applyFill="1" applyBorder="1" applyAlignment="1">
      <alignment horizontal="center" vertical="center"/>
    </xf>
    <xf numFmtId="42" fontId="33" fillId="0" borderId="27" xfId="6" applyFont="1" applyFill="1" applyBorder="1" applyAlignment="1">
      <alignment horizontal="center" vertical="center"/>
    </xf>
    <xf numFmtId="42" fontId="34" fillId="0" borderId="27" xfId="6" applyFont="1" applyFill="1" applyBorder="1" applyAlignment="1">
      <alignment horizontal="center" vertical="center"/>
    </xf>
    <xf numFmtId="42" fontId="22" fillId="0" borderId="27" xfId="6" applyFont="1" applyFill="1" applyBorder="1" applyAlignment="1">
      <alignment horizontal="center" vertical="center"/>
    </xf>
    <xf numFmtId="41" fontId="22" fillId="0" borderId="29" xfId="1" applyFont="1" applyFill="1" applyBorder="1" applyAlignment="1">
      <alignment horizontal="center" vertical="center"/>
    </xf>
    <xf numFmtId="42" fontId="22" fillId="0" borderId="29" xfId="0" applyNumberFormat="1" applyFont="1" applyBorder="1" applyAlignment="1">
      <alignment horizontal="center" vertical="center"/>
    </xf>
    <xf numFmtId="0" fontId="30" fillId="6" borderId="29" xfId="0" applyFont="1" applyFill="1" applyBorder="1" applyAlignment="1">
      <alignment horizontal="center" vertical="center" wrapText="1"/>
    </xf>
    <xf numFmtId="42" fontId="33" fillId="0" borderId="27" xfId="1" applyNumberFormat="1" applyFont="1" applyFill="1" applyBorder="1" applyAlignment="1">
      <alignment horizontal="center" vertical="center"/>
    </xf>
    <xf numFmtId="42" fontId="33" fillId="0" borderId="32" xfId="1" applyNumberFormat="1" applyFont="1" applyFill="1" applyBorder="1" applyAlignment="1">
      <alignment horizontal="center" vertical="center"/>
    </xf>
    <xf numFmtId="42" fontId="33" fillId="0" borderId="31" xfId="1" applyNumberFormat="1" applyFont="1" applyFill="1" applyBorder="1" applyAlignment="1">
      <alignment horizontal="center" vertical="center"/>
    </xf>
    <xf numFmtId="42" fontId="33" fillId="0" borderId="0" xfId="1" applyNumberFormat="1" applyFont="1" applyFill="1" applyBorder="1" applyAlignment="1">
      <alignment horizontal="center" vertical="center"/>
    </xf>
    <xf numFmtId="42" fontId="22" fillId="0" borderId="27" xfId="6" applyFont="1" applyFill="1" applyBorder="1">
      <alignment vertical="center"/>
    </xf>
    <xf numFmtId="42" fontId="22" fillId="0" borderId="27" xfId="0" applyNumberFormat="1" applyFont="1" applyBorder="1" applyAlignment="1">
      <alignment horizontal="center" vertical="center"/>
    </xf>
    <xf numFmtId="41" fontId="32" fillId="2" borderId="2" xfId="1" applyFont="1" applyFill="1" applyBorder="1" applyAlignment="1">
      <alignment horizontal="center" vertical="center"/>
    </xf>
    <xf numFmtId="42" fontId="33" fillId="3" borderId="9" xfId="6" applyFont="1" applyFill="1" applyBorder="1" applyAlignment="1">
      <alignment horizontal="center" vertical="center"/>
    </xf>
    <xf numFmtId="42" fontId="33" fillId="3" borderId="9" xfId="1" applyNumberFormat="1" applyFont="1" applyFill="1" applyBorder="1" applyAlignment="1">
      <alignment horizontal="center" vertical="center"/>
    </xf>
    <xf numFmtId="42" fontId="33" fillId="0" borderId="10" xfId="6" applyFont="1" applyFill="1" applyBorder="1" applyAlignment="1">
      <alignment horizontal="center" vertical="center"/>
    </xf>
    <xf numFmtId="42" fontId="33" fillId="0" borderId="9" xfId="6" applyFont="1" applyFill="1" applyBorder="1" applyAlignment="1">
      <alignment horizontal="center" vertical="center"/>
    </xf>
    <xf numFmtId="42" fontId="33" fillId="3" borderId="8" xfId="6" applyFont="1" applyFill="1" applyBorder="1" applyAlignment="1">
      <alignment horizontal="center" vertical="center"/>
    </xf>
    <xf numFmtId="42" fontId="33" fillId="3" borderId="8" xfId="1" applyNumberFormat="1" applyFont="1" applyFill="1" applyBorder="1" applyAlignment="1">
      <alignment horizontal="center" vertical="center"/>
    </xf>
    <xf numFmtId="42" fontId="33" fillId="0" borderId="11" xfId="6" applyFont="1" applyFill="1" applyBorder="1" applyAlignment="1">
      <alignment horizontal="center" vertical="center"/>
    </xf>
    <xf numFmtId="42" fontId="33" fillId="0" borderId="14" xfId="6" applyFont="1" applyFill="1" applyBorder="1" applyAlignment="1">
      <alignment horizontal="center" vertical="center"/>
    </xf>
    <xf numFmtId="42" fontId="22" fillId="0" borderId="2" xfId="6" applyFont="1" applyBorder="1" applyAlignment="1">
      <alignment horizontal="center" vertical="center"/>
    </xf>
    <xf numFmtId="42" fontId="31" fillId="0" borderId="2" xfId="0" applyNumberFormat="1" applyFont="1" applyBorder="1" applyAlignment="1">
      <alignment horizontal="center" vertical="center"/>
    </xf>
    <xf numFmtId="41" fontId="32" fillId="6" borderId="19" xfId="1" applyFont="1" applyFill="1" applyBorder="1" applyAlignment="1">
      <alignment horizontal="center" vertical="center"/>
    </xf>
    <xf numFmtId="42" fontId="33" fillId="0" borderId="23" xfId="6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2" fontId="33" fillId="0" borderId="25" xfId="6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41" fontId="22" fillId="0" borderId="0" xfId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42" fontId="25" fillId="0" borderId="2" xfId="0" applyNumberFormat="1" applyFont="1" applyBorder="1" applyAlignment="1">
      <alignment horizontal="left" vertical="center" wrapText="1"/>
    </xf>
    <xf numFmtId="0" fontId="26" fillId="3" borderId="12" xfId="0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42" fontId="28" fillId="6" borderId="2" xfId="1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42" fontId="26" fillId="0" borderId="10" xfId="1" applyNumberFormat="1" applyFont="1" applyFill="1" applyBorder="1" applyAlignment="1">
      <alignment horizontal="center" vertical="center"/>
    </xf>
    <xf numFmtId="42" fontId="26" fillId="0" borderId="38" xfId="1" applyNumberFormat="1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41" fontId="25" fillId="0" borderId="27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77" fontId="24" fillId="0" borderId="27" xfId="2" applyNumberFormat="1" applyFont="1" applyFill="1" applyBorder="1" applyAlignment="1">
      <alignment horizontal="center" vertical="center"/>
    </xf>
    <xf numFmtId="0" fontId="27" fillId="6" borderId="28" xfId="0" applyFont="1" applyFill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center" vertical="center" wrapText="1"/>
    </xf>
    <xf numFmtId="42" fontId="25" fillId="0" borderId="27" xfId="0" applyNumberFormat="1" applyFont="1" applyBorder="1" applyAlignment="1">
      <alignment horizontal="center" vertical="center"/>
    </xf>
    <xf numFmtId="0" fontId="21" fillId="0" borderId="35" xfId="5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42" fontId="28" fillId="6" borderId="27" xfId="1" applyNumberFormat="1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42" fontId="25" fillId="0" borderId="28" xfId="0" applyNumberFormat="1" applyFont="1" applyBorder="1" applyAlignment="1">
      <alignment horizontal="center" vertical="center"/>
    </xf>
    <xf numFmtId="42" fontId="25" fillId="0" borderId="30" xfId="0" applyNumberFormat="1" applyFont="1" applyBorder="1" applyAlignment="1">
      <alignment horizontal="center" vertical="center"/>
    </xf>
    <xf numFmtId="41" fontId="25" fillId="0" borderId="28" xfId="0" applyNumberFormat="1" applyFont="1" applyBorder="1" applyAlignment="1">
      <alignment horizontal="center" vertical="center"/>
    </xf>
    <xf numFmtId="41" fontId="25" fillId="0" borderId="30" xfId="0" applyNumberFormat="1" applyFont="1" applyBorder="1" applyAlignment="1">
      <alignment horizontal="center" vertical="center"/>
    </xf>
    <xf numFmtId="42" fontId="32" fillId="6" borderId="27" xfId="1" applyNumberFormat="1" applyFont="1" applyFill="1" applyBorder="1" applyAlignment="1">
      <alignment horizontal="center" vertical="center"/>
    </xf>
    <xf numFmtId="0" fontId="12" fillId="0" borderId="17" xfId="5" applyFont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177" fontId="19" fillId="4" borderId="1" xfId="2" applyNumberFormat="1" applyFont="1" applyFill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177" fontId="16" fillId="0" borderId="19" xfId="0" applyNumberFormat="1" applyFont="1" applyBorder="1" applyAlignment="1">
      <alignment horizontal="center" vertical="center"/>
    </xf>
    <xf numFmtId="177" fontId="16" fillId="0" borderId="20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77" fontId="19" fillId="0" borderId="19" xfId="0" applyNumberFormat="1" applyFont="1" applyBorder="1" applyAlignment="1">
      <alignment horizontal="center" vertical="center"/>
    </xf>
    <xf numFmtId="177" fontId="19" fillId="0" borderId="20" xfId="0" applyNumberFormat="1" applyFont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</cellXfs>
  <cellStyles count="7">
    <cellStyle name="백분율" xfId="4" builtinId="5"/>
    <cellStyle name="쉼표 [0]" xfId="1" builtinId="6"/>
    <cellStyle name="요약" xfId="2" builtinId="25"/>
    <cellStyle name="제목 1" xfId="5" builtinId="16"/>
    <cellStyle name="통화 [0]" xfId="6" builtinId="7"/>
    <cellStyle name="표준" xfId="0" builtinId="0"/>
    <cellStyle name="표준 2" xfId="3" xr:uid="{CFA2C7BC-3FD7-4C4E-B54A-47CC1E2C55CD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09FE-67BB-4E79-8E80-599281E4D4A8}">
  <sheetPr>
    <pageSetUpPr fitToPage="1"/>
  </sheetPr>
  <dimension ref="A1:F107"/>
  <sheetViews>
    <sheetView showGridLines="0" topLeftCell="A45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59C2-13F5-47D3-9A0C-5D6E0F20825D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F930-3BC1-49F5-915F-C94F0875AB17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6931-983A-43E7-8293-36B4B033405C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E119-C0EB-4DDB-A6AF-CE75F8F6D855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7B1F-697A-478E-A39A-D5010F6B7A77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BE8E-D5D3-4E4B-9F70-3DD64966DBF3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3F3E-FB2B-4812-962E-F607E15944A7}">
  <sheetPr>
    <pageSetUpPr fitToPage="1"/>
  </sheetPr>
  <dimension ref="A1:F107"/>
  <sheetViews>
    <sheetView showGridLines="0" topLeftCell="A34" zoomScale="70" zoomScaleNormal="70" zoomScaleSheetLayoutView="70" workbookViewId="0">
      <selection activeCell="C46" sqref="C46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B8F1-F82A-425E-A8B3-4E3092F58A2D}">
  <sheetPr>
    <pageSetUpPr fitToPage="1"/>
  </sheetPr>
  <dimension ref="A1:F107"/>
  <sheetViews>
    <sheetView showGridLines="0" tabSelected="1" view="pageBreakPreview" topLeftCell="A42" zoomScale="70" zoomScaleNormal="70" zoomScaleSheetLayoutView="70" workbookViewId="0">
      <selection activeCell="C41" sqref="C41"/>
    </sheetView>
  </sheetViews>
  <sheetFormatPr defaultColWidth="9.140625" defaultRowHeight="26.25" x14ac:dyDescent="0.25"/>
  <cols>
    <col min="1" max="1" width="26" style="78" bestFit="1" customWidth="1"/>
    <col min="2" max="2" width="32.5703125" style="159" customWidth="1"/>
    <col min="3" max="3" width="39.5703125" style="160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126" t="s">
        <v>89</v>
      </c>
      <c r="C4" s="126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27">
        <f>B8</f>
        <v>24246701</v>
      </c>
      <c r="C5" s="127">
        <f>C8</f>
        <v>-8083605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28">
        <f>B26</f>
        <v>77461347</v>
      </c>
      <c r="C6" s="128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28">
        <f>B57</f>
        <v>53214646</v>
      </c>
      <c r="C7" s="128">
        <f>C57</f>
        <v>79220633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27">
        <f>B6-B7</f>
        <v>24246701</v>
      </c>
      <c r="C8" s="127">
        <f>C6-C7</f>
        <v>-8083605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204" t="s">
        <v>11</v>
      </c>
      <c r="C10" s="204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9" t="s">
        <v>180</v>
      </c>
      <c r="C11" s="129" t="s">
        <v>158</v>
      </c>
      <c r="D11" s="194"/>
      <c r="E11" s="195"/>
      <c r="F11" s="83"/>
    </row>
    <row r="12" spans="1:6" s="84" customFormat="1" ht="49.5" customHeight="1" x14ac:dyDescent="0.25">
      <c r="A12" s="55" t="s">
        <v>79</v>
      </c>
      <c r="B12" s="130">
        <v>17223000</v>
      </c>
      <c r="C12" s="131">
        <v>18985000</v>
      </c>
      <c r="D12" s="182"/>
      <c r="E12" s="182"/>
      <c r="F12" s="83"/>
    </row>
    <row r="13" spans="1:6" s="84" customFormat="1" ht="49.5" customHeight="1" x14ac:dyDescent="0.25">
      <c r="A13" s="55" t="s">
        <v>161</v>
      </c>
      <c r="B13" s="130">
        <v>26439000</v>
      </c>
      <c r="C13" s="131">
        <v>15275000</v>
      </c>
      <c r="D13" s="182"/>
      <c r="E13" s="182"/>
      <c r="F13" s="83"/>
    </row>
    <row r="14" spans="1:6" s="84" customFormat="1" ht="49.5" customHeight="1" x14ac:dyDescent="0.25">
      <c r="A14" s="55" t="s">
        <v>59</v>
      </c>
      <c r="B14" s="130">
        <v>11221710</v>
      </c>
      <c r="C14" s="131">
        <v>10162500</v>
      </c>
      <c r="D14" s="182"/>
      <c r="E14" s="182"/>
      <c r="F14" s="83"/>
    </row>
    <row r="15" spans="1:6" s="84" customFormat="1" ht="49.5" customHeight="1" x14ac:dyDescent="0.25">
      <c r="A15" s="55" t="s">
        <v>52</v>
      </c>
      <c r="B15" s="130">
        <v>5234000</v>
      </c>
      <c r="C15" s="130">
        <v>5666000</v>
      </c>
      <c r="D15" s="182"/>
      <c r="E15" s="182"/>
      <c r="F15" s="83"/>
    </row>
    <row r="16" spans="1:6" s="84" customFormat="1" ht="49.5" customHeight="1" x14ac:dyDescent="0.25">
      <c r="A16" s="55" t="s">
        <v>63</v>
      </c>
      <c r="B16" s="130">
        <v>832729</v>
      </c>
      <c r="C16" s="131">
        <v>4963462</v>
      </c>
      <c r="D16" s="182"/>
      <c r="E16" s="182"/>
      <c r="F16" s="83"/>
    </row>
    <row r="17" spans="1:6" s="84" customFormat="1" ht="49.5" customHeight="1" x14ac:dyDescent="0.25">
      <c r="A17" s="55" t="s">
        <v>58</v>
      </c>
      <c r="B17" s="130">
        <v>5026505</v>
      </c>
      <c r="C17" s="131">
        <v>4497845</v>
      </c>
      <c r="D17" s="182"/>
      <c r="E17" s="182"/>
      <c r="F17" s="83"/>
    </row>
    <row r="18" spans="1:6" s="84" customFormat="1" ht="49.5" customHeight="1" x14ac:dyDescent="0.25">
      <c r="A18" s="55" t="s">
        <v>81</v>
      </c>
      <c r="B18" s="130">
        <v>2253900</v>
      </c>
      <c r="C18" s="131">
        <v>3050900</v>
      </c>
      <c r="D18" s="182"/>
      <c r="E18" s="182"/>
      <c r="F18" s="83"/>
    </row>
    <row r="19" spans="1:6" s="84" customFormat="1" ht="49.5" customHeight="1" x14ac:dyDescent="0.25">
      <c r="A19" s="55" t="s">
        <v>53</v>
      </c>
      <c r="B19" s="130">
        <v>461000</v>
      </c>
      <c r="C19" s="130">
        <v>2770000</v>
      </c>
      <c r="D19" s="182"/>
      <c r="E19" s="182"/>
      <c r="F19" s="83"/>
    </row>
    <row r="20" spans="1:6" s="84" customFormat="1" ht="49.5" customHeight="1" x14ac:dyDescent="0.25">
      <c r="A20" s="55" t="s">
        <v>62</v>
      </c>
      <c r="B20" s="130">
        <v>3014471</v>
      </c>
      <c r="C20" s="131">
        <v>2027769</v>
      </c>
      <c r="D20" s="182"/>
      <c r="E20" s="182"/>
      <c r="F20" s="83"/>
    </row>
    <row r="21" spans="1:6" s="84" customFormat="1" ht="49.5" customHeight="1" x14ac:dyDescent="0.25">
      <c r="A21" s="55" t="s">
        <v>80</v>
      </c>
      <c r="B21" s="130">
        <v>4190920</v>
      </c>
      <c r="C21" s="131">
        <v>1847552</v>
      </c>
      <c r="D21" s="182"/>
      <c r="E21" s="182"/>
      <c r="F21" s="83"/>
    </row>
    <row r="22" spans="1:6" s="84" customFormat="1" ht="49.5" customHeight="1" x14ac:dyDescent="0.25">
      <c r="A22" s="55" t="s">
        <v>162</v>
      </c>
      <c r="B22" s="130">
        <v>0</v>
      </c>
      <c r="C22" s="130">
        <v>1771000</v>
      </c>
      <c r="D22" s="182"/>
      <c r="E22" s="182"/>
      <c r="F22" s="83"/>
    </row>
    <row r="23" spans="1:6" s="84" customFormat="1" ht="49.5" customHeight="1" x14ac:dyDescent="0.25">
      <c r="A23" s="55" t="s">
        <v>51</v>
      </c>
      <c r="B23" s="130">
        <v>968000</v>
      </c>
      <c r="C23" s="130">
        <v>120000</v>
      </c>
      <c r="D23" s="182"/>
      <c r="E23" s="182"/>
      <c r="F23" s="83"/>
    </row>
    <row r="24" spans="1:6" s="84" customFormat="1" ht="49.5" customHeight="1" x14ac:dyDescent="0.25">
      <c r="A24" s="55" t="s">
        <v>60</v>
      </c>
      <c r="B24" s="130">
        <v>596112</v>
      </c>
      <c r="C24" s="131">
        <v>0</v>
      </c>
      <c r="D24" s="182"/>
      <c r="E24" s="182"/>
      <c r="F24" s="83"/>
    </row>
    <row r="25" spans="1:6" s="84" customFormat="1" ht="49.5" customHeight="1" x14ac:dyDescent="0.25">
      <c r="A25" s="55" t="s">
        <v>160</v>
      </c>
      <c r="B25" s="130">
        <v>0</v>
      </c>
      <c r="C25" s="130">
        <v>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132">
        <f>SUM(B12:B25)</f>
        <v>77461347</v>
      </c>
      <c r="C26" s="132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133"/>
      <c r="C27" s="134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35" t="s">
        <v>180</v>
      </c>
      <c r="C29" s="135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64" t="s">
        <v>192</v>
      </c>
      <c r="B30" s="136">
        <v>3449393</v>
      </c>
      <c r="C30" s="136">
        <v>18955000</v>
      </c>
      <c r="D30" s="196" t="s">
        <v>175</v>
      </c>
      <c r="E30" s="181"/>
      <c r="F30" s="83"/>
    </row>
    <row r="31" spans="1:6" s="84" customFormat="1" ht="49.5" customHeight="1" x14ac:dyDescent="0.25">
      <c r="A31" s="64" t="s">
        <v>38</v>
      </c>
      <c r="B31" s="136">
        <v>5710060</v>
      </c>
      <c r="C31" s="136">
        <v>8027830</v>
      </c>
      <c r="D31" s="196" t="s">
        <v>163</v>
      </c>
      <c r="E31" s="181"/>
      <c r="F31" s="83"/>
    </row>
    <row r="32" spans="1:6" s="84" customFormat="1" ht="49.5" customHeight="1" x14ac:dyDescent="0.25">
      <c r="A32" s="64" t="s">
        <v>187</v>
      </c>
      <c r="B32" s="136">
        <v>10189120</v>
      </c>
      <c r="C32" s="136">
        <v>9076540</v>
      </c>
      <c r="D32" s="196"/>
      <c r="E32" s="181"/>
      <c r="F32" s="83"/>
    </row>
    <row r="33" spans="1:6" s="84" customFormat="1" ht="49.5" customHeight="1" x14ac:dyDescent="0.25">
      <c r="A33" s="64" t="s">
        <v>86</v>
      </c>
      <c r="B33" s="136">
        <v>6400000</v>
      </c>
      <c r="C33" s="136">
        <v>6243770</v>
      </c>
      <c r="D33" s="196"/>
      <c r="E33" s="181"/>
      <c r="F33" s="83"/>
    </row>
    <row r="34" spans="1:6" s="84" customFormat="1" ht="49.5" customHeight="1" x14ac:dyDescent="0.25">
      <c r="A34" s="64" t="s">
        <v>21</v>
      </c>
      <c r="B34" s="136">
        <v>900000</v>
      </c>
      <c r="C34" s="136">
        <v>1508520</v>
      </c>
      <c r="D34" s="196"/>
      <c r="E34" s="181"/>
      <c r="F34" s="83"/>
    </row>
    <row r="35" spans="1:6" s="84" customFormat="1" ht="49.5" customHeight="1" x14ac:dyDescent="0.25">
      <c r="A35" s="64" t="s">
        <v>200</v>
      </c>
      <c r="B35" s="136">
        <v>2783478</v>
      </c>
      <c r="C35" s="136">
        <v>3944180</v>
      </c>
      <c r="D35" s="196" t="s">
        <v>190</v>
      </c>
      <c r="E35" s="181"/>
      <c r="F35" s="83"/>
    </row>
    <row r="36" spans="1:6" s="84" customFormat="1" ht="49.5" customHeight="1" x14ac:dyDescent="0.25">
      <c r="A36" s="64" t="s">
        <v>135</v>
      </c>
      <c r="B36" s="136">
        <v>440000</v>
      </c>
      <c r="C36" s="136">
        <v>440000</v>
      </c>
      <c r="D36" s="196"/>
      <c r="E36" s="181"/>
      <c r="F36" s="83"/>
    </row>
    <row r="37" spans="1:6" s="84" customFormat="1" ht="49.5" customHeight="1" x14ac:dyDescent="0.25">
      <c r="A37" s="121" t="s">
        <v>188</v>
      </c>
      <c r="B37" s="136">
        <v>4000000</v>
      </c>
      <c r="C37" s="136">
        <v>4835000</v>
      </c>
      <c r="D37" s="202" t="s">
        <v>204</v>
      </c>
      <c r="E37" s="203"/>
      <c r="F37" s="83"/>
    </row>
    <row r="38" spans="1:6" s="84" customFormat="1" ht="49.5" customHeight="1" x14ac:dyDescent="0.25">
      <c r="A38" s="64" t="s">
        <v>145</v>
      </c>
      <c r="B38" s="136">
        <v>3190000</v>
      </c>
      <c r="C38" s="136">
        <v>3190000</v>
      </c>
      <c r="D38" s="196" t="s">
        <v>173</v>
      </c>
      <c r="E38" s="181"/>
      <c r="F38" s="83"/>
    </row>
    <row r="39" spans="1:6" s="84" customFormat="1" ht="49.5" customHeight="1" x14ac:dyDescent="0.25">
      <c r="A39" s="64" t="s">
        <v>144</v>
      </c>
      <c r="B39" s="136">
        <v>2880000</v>
      </c>
      <c r="C39" s="137">
        <v>3168000</v>
      </c>
      <c r="D39" s="196" t="s">
        <v>177</v>
      </c>
      <c r="E39" s="181"/>
      <c r="F39" s="83"/>
    </row>
    <row r="40" spans="1:6" s="84" customFormat="1" ht="49.5" customHeight="1" x14ac:dyDescent="0.25">
      <c r="A40" s="85" t="s">
        <v>137</v>
      </c>
      <c r="B40" s="136">
        <v>5712403</v>
      </c>
      <c r="C40" s="136">
        <v>6399424</v>
      </c>
      <c r="D40" s="200" t="s">
        <v>194</v>
      </c>
      <c r="E40" s="201"/>
      <c r="F40" s="83"/>
    </row>
    <row r="41" spans="1:6" s="84" customFormat="1" ht="49.5" customHeight="1" x14ac:dyDescent="0.25">
      <c r="A41" s="55" t="s">
        <v>199</v>
      </c>
      <c r="B41" s="130">
        <v>0</v>
      </c>
      <c r="C41" s="130">
        <v>3291200</v>
      </c>
      <c r="D41" s="196" t="s">
        <v>166</v>
      </c>
      <c r="E41" s="181"/>
      <c r="F41" s="83"/>
    </row>
    <row r="42" spans="1:6" s="84" customFormat="1" ht="49.5" customHeight="1" x14ac:dyDescent="0.25">
      <c r="A42" s="64" t="s">
        <v>87</v>
      </c>
      <c r="B42" s="136">
        <v>3056372</v>
      </c>
      <c r="C42" s="136">
        <v>2639439</v>
      </c>
      <c r="D42" s="196" t="s">
        <v>172</v>
      </c>
      <c r="E42" s="181"/>
      <c r="F42" s="83"/>
    </row>
    <row r="43" spans="1:6" s="84" customFormat="1" ht="49.5" customHeight="1" x14ac:dyDescent="0.25">
      <c r="A43" s="64" t="s">
        <v>196</v>
      </c>
      <c r="B43" s="136">
        <v>2572920</v>
      </c>
      <c r="C43" s="136">
        <v>1745800</v>
      </c>
      <c r="D43" s="196" t="s">
        <v>168</v>
      </c>
      <c r="E43" s="181"/>
      <c r="F43" s="83"/>
    </row>
    <row r="44" spans="1:6" s="84" customFormat="1" ht="49.5" customHeight="1" x14ac:dyDescent="0.25">
      <c r="A44" s="55" t="s">
        <v>197</v>
      </c>
      <c r="B44" s="136">
        <v>275400</v>
      </c>
      <c r="C44" s="138">
        <v>1391680</v>
      </c>
      <c r="D44" s="196" t="s">
        <v>203</v>
      </c>
      <c r="E44" s="181"/>
      <c r="F44" s="83"/>
    </row>
    <row r="45" spans="1:6" s="84" customFormat="1" ht="49.5" customHeight="1" x14ac:dyDescent="0.25">
      <c r="A45" s="64" t="s">
        <v>195</v>
      </c>
      <c r="B45" s="136">
        <v>178480</v>
      </c>
      <c r="C45" s="136">
        <v>1111600</v>
      </c>
      <c r="D45" s="196" t="s">
        <v>205</v>
      </c>
      <c r="E45" s="181"/>
      <c r="F45" s="83"/>
    </row>
    <row r="46" spans="1:6" s="84" customFormat="1" ht="49.5" customHeight="1" x14ac:dyDescent="0.25">
      <c r="A46" s="85" t="s">
        <v>191</v>
      </c>
      <c r="B46" s="136">
        <v>104500</v>
      </c>
      <c r="C46" s="136">
        <v>1000000</v>
      </c>
      <c r="D46" s="196" t="s">
        <v>169</v>
      </c>
      <c r="E46" s="181"/>
      <c r="F46" s="83"/>
    </row>
    <row r="47" spans="1:6" s="84" customFormat="1" ht="49.5" customHeight="1" x14ac:dyDescent="0.25">
      <c r="A47" s="64" t="s">
        <v>183</v>
      </c>
      <c r="B47" s="136">
        <v>825000</v>
      </c>
      <c r="C47" s="136">
        <v>793190</v>
      </c>
      <c r="D47" s="196" t="s">
        <v>202</v>
      </c>
      <c r="E47" s="181"/>
      <c r="F47" s="83"/>
    </row>
    <row r="48" spans="1:6" s="84" customFormat="1" ht="49.5" customHeight="1" x14ac:dyDescent="0.25">
      <c r="A48" s="55" t="s">
        <v>193</v>
      </c>
      <c r="B48" s="130">
        <v>0</v>
      </c>
      <c r="C48" s="130">
        <v>705500</v>
      </c>
      <c r="D48" s="196" t="s">
        <v>164</v>
      </c>
      <c r="E48" s="181"/>
      <c r="F48" s="83"/>
    </row>
    <row r="49" spans="1:6" s="84" customFormat="1" ht="49.5" customHeight="1" x14ac:dyDescent="0.25">
      <c r="A49" s="55" t="s">
        <v>159</v>
      </c>
      <c r="B49" s="139">
        <v>136520</v>
      </c>
      <c r="C49" s="136">
        <v>275460</v>
      </c>
      <c r="D49" s="196" t="s">
        <v>170</v>
      </c>
      <c r="E49" s="181"/>
      <c r="F49" s="83"/>
    </row>
    <row r="50" spans="1:6" s="84" customFormat="1" ht="49.5" customHeight="1" x14ac:dyDescent="0.25">
      <c r="A50" s="53" t="s">
        <v>201</v>
      </c>
      <c r="B50" s="136">
        <v>220000</v>
      </c>
      <c r="C50" s="136">
        <v>220000</v>
      </c>
      <c r="D50" s="196" t="s">
        <v>178</v>
      </c>
      <c r="E50" s="181"/>
      <c r="F50" s="83"/>
    </row>
    <row r="51" spans="1:6" s="84" customFormat="1" ht="49.5" customHeight="1" x14ac:dyDescent="0.25">
      <c r="A51" s="55" t="s">
        <v>82</v>
      </c>
      <c r="B51" s="136">
        <v>180000</v>
      </c>
      <c r="C51" s="136">
        <v>180000</v>
      </c>
      <c r="D51" s="196" t="s">
        <v>186</v>
      </c>
      <c r="E51" s="181"/>
      <c r="F51" s="83"/>
    </row>
    <row r="52" spans="1:6" s="84" customFormat="1" ht="49.5" customHeight="1" x14ac:dyDescent="0.25">
      <c r="A52" s="55" t="s">
        <v>198</v>
      </c>
      <c r="B52" s="130">
        <v>0</v>
      </c>
      <c r="C52" s="130">
        <v>67500</v>
      </c>
      <c r="D52" s="196" t="s">
        <v>176</v>
      </c>
      <c r="E52" s="181"/>
      <c r="F52" s="83"/>
    </row>
    <row r="53" spans="1:6" s="84" customFormat="1" ht="49.5" customHeight="1" x14ac:dyDescent="0.25">
      <c r="A53" s="85" t="s">
        <v>139</v>
      </c>
      <c r="B53" s="136">
        <v>11000</v>
      </c>
      <c r="C53" s="136">
        <v>11000</v>
      </c>
      <c r="D53" s="196"/>
      <c r="E53" s="181"/>
      <c r="F53" s="83"/>
    </row>
    <row r="54" spans="1:6" s="84" customFormat="1" ht="49.5" customHeight="1" x14ac:dyDescent="0.25">
      <c r="A54" s="53" t="s">
        <v>129</v>
      </c>
      <c r="B54" s="140">
        <v>0</v>
      </c>
      <c r="C54" s="136">
        <v>0</v>
      </c>
      <c r="D54" s="196" t="s">
        <v>167</v>
      </c>
      <c r="E54" s="181"/>
      <c r="F54" s="83"/>
    </row>
    <row r="55" spans="1:6" s="84" customFormat="1" ht="49.5" customHeight="1" x14ac:dyDescent="0.25">
      <c r="A55" s="55" t="s">
        <v>99</v>
      </c>
      <c r="B55" s="130">
        <v>0</v>
      </c>
      <c r="C55" s="130">
        <v>0</v>
      </c>
      <c r="D55" s="196" t="s">
        <v>141</v>
      </c>
      <c r="E55" s="181"/>
      <c r="F55" s="83"/>
    </row>
    <row r="56" spans="1:6" s="84" customFormat="1" ht="49.5" customHeight="1" x14ac:dyDescent="0.25">
      <c r="A56" s="87" t="s">
        <v>185</v>
      </c>
      <c r="B56" s="138">
        <v>0</v>
      </c>
      <c r="C56" s="138">
        <v>0</v>
      </c>
      <c r="D56" s="196"/>
      <c r="E56" s="181"/>
      <c r="F56" s="83"/>
    </row>
    <row r="57" spans="1:6" s="84" customFormat="1" ht="49.5" customHeight="1" x14ac:dyDescent="0.25">
      <c r="A57" s="57" t="s">
        <v>182</v>
      </c>
      <c r="B57" s="141">
        <f>SUM(B30:B56)</f>
        <v>53214646</v>
      </c>
      <c r="C57" s="141">
        <f>SUM(C30:C56)</f>
        <v>79220633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142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143">
        <f>SUM(B61:B63)</f>
        <v>9580328</v>
      </c>
      <c r="C60" s="144"/>
      <c r="D60" s="67"/>
      <c r="E60" s="68"/>
      <c r="F60" s="83"/>
    </row>
    <row r="61" spans="1:6" s="84" customFormat="1" ht="42.6" hidden="1" customHeight="1" x14ac:dyDescent="0.25">
      <c r="A61" s="162"/>
      <c r="B61" s="145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145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146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147">
        <f>SUM(B65)</f>
        <v>13215500</v>
      </c>
      <c r="C64" s="148"/>
      <c r="D64" s="70"/>
      <c r="E64" s="71"/>
      <c r="F64" s="83"/>
    </row>
    <row r="65" spans="1:6" s="84" customFormat="1" ht="42.6" hidden="1" customHeight="1" x14ac:dyDescent="0.25">
      <c r="A65" s="174"/>
      <c r="B65" s="149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147">
        <f>SUM(B67)</f>
        <v>4000000</v>
      </c>
      <c r="C66" s="148"/>
      <c r="D66" s="70"/>
      <c r="E66" s="71"/>
      <c r="F66" s="83"/>
    </row>
    <row r="67" spans="1:6" s="84" customFormat="1" ht="42.6" hidden="1" customHeight="1" x14ac:dyDescent="0.25">
      <c r="A67" s="174"/>
      <c r="B67" s="150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147">
        <f>SUM(B69)</f>
        <v>1000000</v>
      </c>
      <c r="C68" s="148"/>
      <c r="D68" s="70"/>
      <c r="E68" s="100"/>
      <c r="F68" s="83"/>
    </row>
    <row r="69" spans="1:6" s="84" customFormat="1" ht="42.6" hidden="1" customHeight="1" x14ac:dyDescent="0.25">
      <c r="A69" s="174"/>
      <c r="B69" s="149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151">
        <f>SUM(B60+B64+B66+B68)</f>
        <v>27795828</v>
      </c>
      <c r="C70" s="15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53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147">
        <f>SUM(B74:B78)</f>
        <v>9033207</v>
      </c>
      <c r="C73" s="148"/>
      <c r="D73" s="70"/>
      <c r="E73" s="70"/>
      <c r="F73" s="83"/>
    </row>
    <row r="74" spans="1:6" s="84" customFormat="1" ht="42.6" hidden="1" customHeight="1" x14ac:dyDescent="0.25">
      <c r="A74" s="162"/>
      <c r="B74" s="145">
        <v>5800000</v>
      </c>
      <c r="C74" s="197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145">
        <v>1015345</v>
      </c>
      <c r="C75" s="198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145">
        <v>960000</v>
      </c>
      <c r="C76" s="198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145">
        <v>851692</v>
      </c>
      <c r="C77" s="198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54">
        <v>406170</v>
      </c>
      <c r="C78" s="199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147">
        <f>SUM(B80:B81)</f>
        <v>8939584</v>
      </c>
      <c r="C79" s="148"/>
      <c r="D79" s="75"/>
      <c r="E79" s="70"/>
      <c r="F79" s="83"/>
    </row>
    <row r="80" spans="1:6" s="84" customFormat="1" ht="42.6" hidden="1" customHeight="1" x14ac:dyDescent="0.25">
      <c r="A80" s="162"/>
      <c r="B80" s="145">
        <v>7024589</v>
      </c>
      <c r="C80" s="155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56">
        <v>1914995</v>
      </c>
      <c r="C81" s="15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147">
        <f>SUM(B83:B86)</f>
        <v>3083500</v>
      </c>
      <c r="C82" s="148"/>
      <c r="D82" s="75"/>
      <c r="E82" s="70"/>
      <c r="F82" s="83"/>
    </row>
    <row r="83" spans="1:6" s="84" customFormat="1" ht="42.6" hidden="1" customHeight="1" x14ac:dyDescent="0.25">
      <c r="A83" s="162"/>
      <c r="B83" s="145">
        <v>1100000</v>
      </c>
      <c r="C83" s="155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145">
        <v>1100000</v>
      </c>
      <c r="C84" s="155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145">
        <v>483500</v>
      </c>
      <c r="C85" s="155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54">
        <v>400000</v>
      </c>
      <c r="C86" s="158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147">
        <f>SUM(B88:B89)</f>
        <v>1624390</v>
      </c>
      <c r="C87" s="148"/>
      <c r="D87" s="75"/>
      <c r="E87" s="70"/>
      <c r="F87" s="83"/>
    </row>
    <row r="88" spans="1:6" s="84" customFormat="1" ht="42.6" hidden="1" customHeight="1" x14ac:dyDescent="0.25">
      <c r="A88" s="162"/>
      <c r="B88" s="145">
        <v>801820</v>
      </c>
      <c r="C88" s="155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54">
        <v>822570</v>
      </c>
      <c r="C89" s="158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147">
        <f>SUM(B91)</f>
        <v>1650000</v>
      </c>
      <c r="C90" s="148"/>
      <c r="D90" s="75"/>
      <c r="E90" s="70"/>
      <c r="F90" s="83"/>
    </row>
    <row r="91" spans="1:6" s="84" customFormat="1" ht="42.6" hidden="1" customHeight="1" x14ac:dyDescent="0.25">
      <c r="A91" s="162"/>
      <c r="B91" s="154">
        <v>1650000</v>
      </c>
      <c r="C91" s="158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147">
        <f>SUM(B93:B94)</f>
        <v>1400000</v>
      </c>
      <c r="C92" s="148"/>
      <c r="D92" s="75"/>
      <c r="E92" s="70"/>
      <c r="F92" s="83"/>
    </row>
    <row r="93" spans="1:6" s="84" customFormat="1" ht="42.6" hidden="1" customHeight="1" x14ac:dyDescent="0.25">
      <c r="A93" s="162"/>
      <c r="B93" s="145">
        <v>1100000</v>
      </c>
      <c r="C93" s="155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56">
        <v>300000</v>
      </c>
      <c r="C94" s="15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147">
        <f>SUM(B96)</f>
        <v>1254000</v>
      </c>
      <c r="C95" s="148"/>
      <c r="D95" s="75"/>
      <c r="E95" s="70"/>
      <c r="F95" s="83"/>
    </row>
    <row r="96" spans="1:6" s="84" customFormat="1" ht="42.6" hidden="1" customHeight="1" x14ac:dyDescent="0.25">
      <c r="A96" s="162"/>
      <c r="B96" s="156">
        <v>1254000</v>
      </c>
      <c r="C96" s="15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147">
        <f>SUM(B98:B99)</f>
        <v>950000</v>
      </c>
      <c r="C97" s="148"/>
      <c r="D97" s="75"/>
      <c r="E97" s="70"/>
      <c r="F97" s="83"/>
    </row>
    <row r="98" spans="1:6" s="84" customFormat="1" ht="42.6" hidden="1" customHeight="1" x14ac:dyDescent="0.25">
      <c r="A98" s="162"/>
      <c r="B98" s="145">
        <v>650000</v>
      </c>
      <c r="C98" s="155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145">
        <v>300000</v>
      </c>
      <c r="C99" s="15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151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sortState xmlns:xlrd2="http://schemas.microsoft.com/office/spreadsheetml/2017/richdata2" ref="A30:E56">
    <sortCondition descending="1" ref="C30:C56"/>
  </sortState>
  <mergeCells count="79">
    <mergeCell ref="D24:E24"/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48:E48"/>
    <mergeCell ref="D36:E36"/>
    <mergeCell ref="D34:E34"/>
    <mergeCell ref="D44:E44"/>
    <mergeCell ref="D25:E25"/>
    <mergeCell ref="D26:E26"/>
    <mergeCell ref="A28:E28"/>
    <mergeCell ref="D29:E29"/>
    <mergeCell ref="D43:E43"/>
    <mergeCell ref="D45:E45"/>
    <mergeCell ref="D30:E30"/>
    <mergeCell ref="D40:E40"/>
    <mergeCell ref="D33:E33"/>
    <mergeCell ref="D37:E37"/>
    <mergeCell ref="D35:E35"/>
    <mergeCell ref="C69:D69"/>
    <mergeCell ref="A71:E71"/>
    <mergeCell ref="A58:E58"/>
    <mergeCell ref="D57:E57"/>
    <mergeCell ref="D32:E32"/>
    <mergeCell ref="D31:E31"/>
    <mergeCell ref="D39:E39"/>
    <mergeCell ref="D42:E42"/>
    <mergeCell ref="D50:E50"/>
    <mergeCell ref="D51:E51"/>
    <mergeCell ref="D52:E52"/>
    <mergeCell ref="D41:E41"/>
    <mergeCell ref="D38:E38"/>
    <mergeCell ref="D49:E49"/>
    <mergeCell ref="D46:E46"/>
    <mergeCell ref="D47:E47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  <mergeCell ref="D56:E56"/>
    <mergeCell ref="D55:E55"/>
    <mergeCell ref="D54:E54"/>
    <mergeCell ref="D53:E53"/>
    <mergeCell ref="A92:A94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6FEE-EA70-44B4-B200-15787A9A08C5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830F-047A-4521-9C45-9A8027AECAF0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2247-8E16-4A26-89D9-8E2FA49C6DCC}">
  <sheetPr>
    <pageSetUpPr fitToPage="1"/>
  </sheetPr>
  <dimension ref="A1:F107"/>
  <sheetViews>
    <sheetView showGridLines="0" zoomScale="70" zoomScaleNormal="70" zoomScaleSheetLayoutView="70" workbookViewId="0">
      <selection activeCell="D49" sqref="D49:E49"/>
    </sheetView>
  </sheetViews>
  <sheetFormatPr defaultColWidth="9.140625" defaultRowHeight="17.25" x14ac:dyDescent="0.25"/>
  <cols>
    <col min="1" max="1" width="26" style="78" bestFit="1" customWidth="1"/>
    <col min="2" max="2" width="32.5703125" style="79" customWidth="1"/>
    <col min="3" max="3" width="39.5703125" style="78" customWidth="1"/>
    <col min="4" max="4" width="50" style="78" customWidth="1"/>
    <col min="5" max="5" width="50" style="76" customWidth="1"/>
    <col min="6" max="6" width="9.140625" style="76" customWidth="1"/>
    <col min="7" max="7" width="12.28515625" style="77" bestFit="1" customWidth="1"/>
    <col min="8" max="8" width="14.85546875" style="77" bestFit="1" customWidth="1"/>
    <col min="9" max="613" width="9.140625" style="77" customWidth="1"/>
    <col min="614" max="16384" width="9.140625" style="77"/>
  </cols>
  <sheetData>
    <row r="1" spans="1:6" ht="51.6" customHeight="1" thickBot="1" x14ac:dyDescent="0.3">
      <c r="A1" s="187" t="s">
        <v>77</v>
      </c>
      <c r="B1" s="187"/>
      <c r="C1" s="187"/>
      <c r="D1" s="187"/>
      <c r="E1" s="187"/>
    </row>
    <row r="2" spans="1:6" ht="51.6" customHeight="1" thickTop="1" x14ac:dyDescent="0.25">
      <c r="A2" s="188" t="s">
        <v>90</v>
      </c>
      <c r="B2" s="188"/>
      <c r="C2" s="188"/>
      <c r="D2" s="188"/>
      <c r="E2" s="188"/>
    </row>
    <row r="4" spans="1:6" s="84" customFormat="1" ht="49.5" customHeight="1" x14ac:dyDescent="0.25">
      <c r="A4" s="80" t="s">
        <v>12</v>
      </c>
      <c r="B4" s="81" t="s">
        <v>89</v>
      </c>
      <c r="C4" s="81" t="s">
        <v>158</v>
      </c>
      <c r="D4" s="189" t="s">
        <v>83</v>
      </c>
      <c r="E4" s="190"/>
      <c r="F4" s="83"/>
    </row>
    <row r="5" spans="1:6" s="84" customFormat="1" ht="49.5" customHeight="1" x14ac:dyDescent="0.25">
      <c r="A5" s="54" t="s">
        <v>68</v>
      </c>
      <c r="B5" s="118">
        <f>B8</f>
        <v>24246701</v>
      </c>
      <c r="C5" s="116">
        <f>C8</f>
        <v>-8113605</v>
      </c>
      <c r="D5" s="182"/>
      <c r="E5" s="182"/>
      <c r="F5" s="83"/>
    </row>
    <row r="6" spans="1:6" s="84" customFormat="1" ht="49.5" customHeight="1" x14ac:dyDescent="0.25">
      <c r="A6" s="53" t="s">
        <v>78</v>
      </c>
      <c r="B6" s="117">
        <f>B26</f>
        <v>77461347</v>
      </c>
      <c r="C6" s="117">
        <f>C26</f>
        <v>71137028</v>
      </c>
      <c r="D6" s="182"/>
      <c r="E6" s="182"/>
      <c r="F6" s="83"/>
    </row>
    <row r="7" spans="1:6" s="84" customFormat="1" ht="49.5" customHeight="1" x14ac:dyDescent="0.25">
      <c r="A7" s="53" t="s">
        <v>84</v>
      </c>
      <c r="B7" s="117">
        <f>B57</f>
        <v>53214646</v>
      </c>
      <c r="C7" s="117">
        <f>C57</f>
        <v>79250633</v>
      </c>
      <c r="D7" s="182"/>
      <c r="E7" s="182"/>
      <c r="F7" s="83"/>
    </row>
    <row r="8" spans="1:6" s="84" customFormat="1" ht="49.5" customHeight="1" x14ac:dyDescent="0.25">
      <c r="A8" s="53" t="s">
        <v>85</v>
      </c>
      <c r="B8" s="118">
        <f>B6-B7</f>
        <v>24246701</v>
      </c>
      <c r="C8" s="115">
        <f>C6-C7</f>
        <v>-8113605</v>
      </c>
      <c r="D8" s="182"/>
      <c r="E8" s="182"/>
      <c r="F8" s="83"/>
    </row>
    <row r="9" spans="1:6" s="84" customFormat="1" ht="49.5" customHeight="1" x14ac:dyDescent="0.25">
      <c r="A9" s="178"/>
      <c r="B9" s="178"/>
      <c r="C9" s="178"/>
      <c r="D9" s="178"/>
      <c r="E9" s="178"/>
      <c r="F9" s="83"/>
    </row>
    <row r="10" spans="1:6" s="84" customFormat="1" ht="49.5" customHeight="1" x14ac:dyDescent="0.25">
      <c r="A10" s="125" t="s">
        <v>179</v>
      </c>
      <c r="B10" s="191" t="s">
        <v>11</v>
      </c>
      <c r="C10" s="191"/>
      <c r="D10" s="192" t="s">
        <v>83</v>
      </c>
      <c r="E10" s="193"/>
      <c r="F10" s="83"/>
    </row>
    <row r="11" spans="1:6" s="84" customFormat="1" ht="49.5" customHeight="1" x14ac:dyDescent="0.25">
      <c r="A11" s="125" t="s">
        <v>91</v>
      </c>
      <c r="B11" s="124" t="s">
        <v>180</v>
      </c>
      <c r="C11" s="124" t="s">
        <v>158</v>
      </c>
      <c r="D11" s="194"/>
      <c r="E11" s="195"/>
      <c r="F11" s="83"/>
    </row>
    <row r="12" spans="1:6" s="84" customFormat="1" ht="49.5" customHeight="1" x14ac:dyDescent="0.25">
      <c r="A12" s="55" t="s">
        <v>51</v>
      </c>
      <c r="B12" s="56">
        <v>968000</v>
      </c>
      <c r="C12" s="56">
        <v>120000</v>
      </c>
      <c r="D12" s="182"/>
      <c r="E12" s="182"/>
      <c r="F12" s="83"/>
    </row>
    <row r="13" spans="1:6" s="84" customFormat="1" ht="49.5" customHeight="1" x14ac:dyDescent="0.25">
      <c r="A13" s="55" t="s">
        <v>53</v>
      </c>
      <c r="B13" s="56">
        <v>461000</v>
      </c>
      <c r="C13" s="56">
        <v>2770000</v>
      </c>
      <c r="D13" s="182"/>
      <c r="E13" s="182"/>
      <c r="F13" s="83"/>
    </row>
    <row r="14" spans="1:6" s="84" customFormat="1" ht="49.5" customHeight="1" x14ac:dyDescent="0.25">
      <c r="A14" s="55" t="s">
        <v>52</v>
      </c>
      <c r="B14" s="56">
        <v>5234000</v>
      </c>
      <c r="C14" s="56">
        <v>5666000</v>
      </c>
      <c r="D14" s="182"/>
      <c r="E14" s="182"/>
      <c r="F14" s="83"/>
    </row>
    <row r="15" spans="1:6" s="84" customFormat="1" ht="49.5" customHeight="1" x14ac:dyDescent="0.25">
      <c r="A15" s="55" t="s">
        <v>161</v>
      </c>
      <c r="B15" s="56">
        <v>26439000</v>
      </c>
      <c r="C15" s="114">
        <v>15275000</v>
      </c>
      <c r="D15" s="182"/>
      <c r="E15" s="182"/>
      <c r="F15" s="83"/>
    </row>
    <row r="16" spans="1:6" s="84" customFormat="1" ht="49.5" customHeight="1" x14ac:dyDescent="0.25">
      <c r="A16" s="55" t="s">
        <v>79</v>
      </c>
      <c r="B16" s="56">
        <v>17223000</v>
      </c>
      <c r="C16" s="114">
        <v>18985000</v>
      </c>
      <c r="D16" s="182"/>
      <c r="E16" s="182"/>
      <c r="F16" s="83"/>
    </row>
    <row r="17" spans="1:6" s="84" customFormat="1" ht="49.5" customHeight="1" x14ac:dyDescent="0.25">
      <c r="A17" s="55" t="s">
        <v>81</v>
      </c>
      <c r="B17" s="56">
        <v>2253900</v>
      </c>
      <c r="C17" s="114">
        <v>3050900</v>
      </c>
      <c r="D17" s="182"/>
      <c r="E17" s="182"/>
      <c r="F17" s="83"/>
    </row>
    <row r="18" spans="1:6" s="84" customFormat="1" ht="49.5" customHeight="1" x14ac:dyDescent="0.25">
      <c r="A18" s="55" t="s">
        <v>59</v>
      </c>
      <c r="B18" s="56">
        <v>11221710</v>
      </c>
      <c r="C18" s="114">
        <v>10162500</v>
      </c>
      <c r="D18" s="182"/>
      <c r="E18" s="182"/>
      <c r="F18" s="83"/>
    </row>
    <row r="19" spans="1:6" s="84" customFormat="1" ht="49.5" customHeight="1" x14ac:dyDescent="0.25">
      <c r="A19" s="55" t="s">
        <v>58</v>
      </c>
      <c r="B19" s="56">
        <v>5026505</v>
      </c>
      <c r="C19" s="114">
        <v>4497845</v>
      </c>
      <c r="D19" s="182"/>
      <c r="E19" s="182"/>
      <c r="F19" s="83"/>
    </row>
    <row r="20" spans="1:6" s="84" customFormat="1" ht="49.5" customHeight="1" x14ac:dyDescent="0.25">
      <c r="A20" s="55" t="s">
        <v>80</v>
      </c>
      <c r="B20" s="56">
        <v>4190920</v>
      </c>
      <c r="C20" s="114">
        <v>1847552</v>
      </c>
      <c r="D20" s="182"/>
      <c r="E20" s="182"/>
      <c r="F20" s="83"/>
    </row>
    <row r="21" spans="1:6" s="84" customFormat="1" ht="49.5" customHeight="1" x14ac:dyDescent="0.25">
      <c r="A21" s="55" t="s">
        <v>62</v>
      </c>
      <c r="B21" s="56">
        <v>3014471</v>
      </c>
      <c r="C21" s="114">
        <v>2027769</v>
      </c>
      <c r="D21" s="182"/>
      <c r="E21" s="182"/>
      <c r="F21" s="83"/>
    </row>
    <row r="22" spans="1:6" s="84" customFormat="1" ht="49.5" customHeight="1" x14ac:dyDescent="0.25">
      <c r="A22" s="55" t="s">
        <v>63</v>
      </c>
      <c r="B22" s="56">
        <v>832729</v>
      </c>
      <c r="C22" s="114">
        <v>4963462</v>
      </c>
      <c r="D22" s="182"/>
      <c r="E22" s="182"/>
      <c r="F22" s="83"/>
    </row>
    <row r="23" spans="1:6" s="84" customFormat="1" ht="49.5" customHeight="1" x14ac:dyDescent="0.25">
      <c r="A23" s="55" t="s">
        <v>60</v>
      </c>
      <c r="B23" s="56">
        <v>596112</v>
      </c>
      <c r="C23" s="114">
        <v>0</v>
      </c>
      <c r="D23" s="182"/>
      <c r="E23" s="182"/>
      <c r="F23" s="83"/>
    </row>
    <row r="24" spans="1:6" s="84" customFormat="1" ht="49.5" customHeight="1" x14ac:dyDescent="0.25">
      <c r="A24" s="55" t="s">
        <v>160</v>
      </c>
      <c r="B24" s="56">
        <v>0</v>
      </c>
      <c r="C24" s="56">
        <v>0</v>
      </c>
      <c r="D24" s="182"/>
      <c r="E24" s="182"/>
      <c r="F24" s="83"/>
    </row>
    <row r="25" spans="1:6" s="84" customFormat="1" ht="49.5" customHeight="1" x14ac:dyDescent="0.25">
      <c r="A25" s="55" t="s">
        <v>162</v>
      </c>
      <c r="B25" s="56">
        <v>0</v>
      </c>
      <c r="C25" s="56">
        <v>1771000</v>
      </c>
      <c r="D25" s="182"/>
      <c r="E25" s="182"/>
      <c r="F25" s="83"/>
    </row>
    <row r="26" spans="1:6" s="84" customFormat="1" ht="49.5" customHeight="1" x14ac:dyDescent="0.25">
      <c r="A26" s="57" t="s">
        <v>88</v>
      </c>
      <c r="B26" s="58">
        <f>SUM(B12:B25)</f>
        <v>77461347</v>
      </c>
      <c r="C26" s="58">
        <f>SUM(C12:C25)</f>
        <v>71137028</v>
      </c>
      <c r="D26" s="182"/>
      <c r="E26" s="182"/>
      <c r="F26" s="83"/>
    </row>
    <row r="27" spans="1:6" s="84" customFormat="1" ht="49.5" customHeight="1" x14ac:dyDescent="0.25">
      <c r="A27" s="59"/>
      <c r="B27" s="60"/>
      <c r="C27" s="61"/>
      <c r="D27" s="62"/>
      <c r="E27" s="63"/>
      <c r="F27" s="83"/>
    </row>
    <row r="28" spans="1:6" s="84" customFormat="1" ht="49.5" customHeight="1" x14ac:dyDescent="0.25">
      <c r="A28" s="183" t="s">
        <v>181</v>
      </c>
      <c r="B28" s="184"/>
      <c r="C28" s="184"/>
      <c r="D28" s="184"/>
      <c r="E28" s="185"/>
      <c r="F28" s="83"/>
    </row>
    <row r="29" spans="1:6" s="84" customFormat="1" ht="49.5" customHeight="1" x14ac:dyDescent="0.25">
      <c r="A29" s="122" t="s">
        <v>174</v>
      </c>
      <c r="B29" s="123" t="s">
        <v>180</v>
      </c>
      <c r="C29" s="123" t="s">
        <v>158</v>
      </c>
      <c r="D29" s="184" t="s">
        <v>83</v>
      </c>
      <c r="E29" s="185"/>
      <c r="F29" s="83"/>
    </row>
    <row r="30" spans="1:6" s="84" customFormat="1" ht="49.5" customHeight="1" x14ac:dyDescent="0.25">
      <c r="A30" s="85" t="s">
        <v>137</v>
      </c>
      <c r="B30" s="64">
        <v>5712403</v>
      </c>
      <c r="C30" s="64">
        <v>6399424</v>
      </c>
      <c r="D30" s="186" t="s">
        <v>146</v>
      </c>
      <c r="E30" s="178"/>
      <c r="F30" s="83"/>
    </row>
    <row r="31" spans="1:6" s="84" customFormat="1" ht="49.5" customHeight="1" x14ac:dyDescent="0.25">
      <c r="A31" s="85" t="s">
        <v>139</v>
      </c>
      <c r="B31" s="64">
        <v>11000</v>
      </c>
      <c r="C31" s="64">
        <v>11000</v>
      </c>
      <c r="D31" s="178"/>
      <c r="E31" s="178"/>
      <c r="F31" s="83"/>
    </row>
    <row r="32" spans="1:6" s="84" customFormat="1" ht="49.5" customHeight="1" x14ac:dyDescent="0.25">
      <c r="A32" s="85" t="s">
        <v>191</v>
      </c>
      <c r="B32" s="64">
        <v>104500</v>
      </c>
      <c r="C32" s="64">
        <v>1000000</v>
      </c>
      <c r="D32" s="178" t="s">
        <v>169</v>
      </c>
      <c r="E32" s="178"/>
      <c r="F32" s="83"/>
    </row>
    <row r="33" spans="1:6" s="84" customFormat="1" ht="49.5" customHeight="1" x14ac:dyDescent="0.25">
      <c r="A33" s="64" t="s">
        <v>134</v>
      </c>
      <c r="B33" s="64">
        <v>178480</v>
      </c>
      <c r="C33" s="64">
        <v>1111600</v>
      </c>
      <c r="D33" s="178" t="s">
        <v>184</v>
      </c>
      <c r="E33" s="178"/>
      <c r="F33" s="83"/>
    </row>
    <row r="34" spans="1:6" s="84" customFormat="1" ht="49.5" customHeight="1" x14ac:dyDescent="0.25">
      <c r="A34" s="64" t="s">
        <v>183</v>
      </c>
      <c r="B34" s="64">
        <v>825000</v>
      </c>
      <c r="C34" s="64">
        <v>793190</v>
      </c>
      <c r="D34" s="178" t="s">
        <v>171</v>
      </c>
      <c r="E34" s="178"/>
      <c r="F34" s="83"/>
    </row>
    <row r="35" spans="1:6" s="84" customFormat="1" ht="49.5" customHeight="1" x14ac:dyDescent="0.25">
      <c r="A35" s="64" t="s">
        <v>87</v>
      </c>
      <c r="B35" s="64">
        <v>3056372</v>
      </c>
      <c r="C35" s="64">
        <v>2639439</v>
      </c>
      <c r="D35" s="178" t="s">
        <v>172</v>
      </c>
      <c r="E35" s="178"/>
      <c r="F35" s="83"/>
    </row>
    <row r="36" spans="1:6" s="84" customFormat="1" ht="49.5" customHeight="1" x14ac:dyDescent="0.25">
      <c r="A36" s="64" t="s">
        <v>144</v>
      </c>
      <c r="B36" s="64">
        <v>2880000</v>
      </c>
      <c r="C36" s="64">
        <v>3168000</v>
      </c>
      <c r="D36" s="178" t="s">
        <v>177</v>
      </c>
      <c r="E36" s="178"/>
      <c r="F36" s="83"/>
    </row>
    <row r="37" spans="1:6" s="84" customFormat="1" ht="49.5" customHeight="1" x14ac:dyDescent="0.25">
      <c r="A37" s="64" t="s">
        <v>145</v>
      </c>
      <c r="B37" s="64">
        <v>3190000</v>
      </c>
      <c r="C37" s="87">
        <v>3190000</v>
      </c>
      <c r="D37" s="178" t="s">
        <v>173</v>
      </c>
      <c r="E37" s="178"/>
      <c r="F37" s="83"/>
    </row>
    <row r="38" spans="1:6" s="84" customFormat="1" ht="49.5" customHeight="1" x14ac:dyDescent="0.25">
      <c r="A38" s="53" t="s">
        <v>129</v>
      </c>
      <c r="B38" s="86">
        <v>0</v>
      </c>
      <c r="C38" s="64">
        <v>0</v>
      </c>
      <c r="D38" s="181" t="s">
        <v>167</v>
      </c>
      <c r="E38" s="178"/>
      <c r="F38" s="83"/>
    </row>
    <row r="39" spans="1:6" s="84" customFormat="1" ht="49.5" customHeight="1" x14ac:dyDescent="0.25">
      <c r="A39" s="64" t="s">
        <v>130</v>
      </c>
      <c r="B39" s="64">
        <v>2572920</v>
      </c>
      <c r="C39" s="65">
        <v>1745800</v>
      </c>
      <c r="D39" s="178" t="s">
        <v>168</v>
      </c>
      <c r="E39" s="178"/>
      <c r="F39" s="83"/>
    </row>
    <row r="40" spans="1:6" s="84" customFormat="1" ht="49.5" customHeight="1" x14ac:dyDescent="0.25">
      <c r="A40" s="55" t="s">
        <v>136</v>
      </c>
      <c r="B40" s="64">
        <v>275400</v>
      </c>
      <c r="C40" s="64">
        <v>1391680</v>
      </c>
      <c r="D40" s="178" t="s">
        <v>165</v>
      </c>
      <c r="E40" s="178"/>
      <c r="F40" s="83"/>
    </row>
    <row r="41" spans="1:6" s="84" customFormat="1" ht="49.5" customHeight="1" x14ac:dyDescent="0.25">
      <c r="A41" s="55" t="s">
        <v>99</v>
      </c>
      <c r="B41" s="56">
        <v>0</v>
      </c>
      <c r="C41" s="56">
        <v>0</v>
      </c>
      <c r="D41" s="178" t="s">
        <v>141</v>
      </c>
      <c r="E41" s="178"/>
      <c r="F41" s="83"/>
    </row>
    <row r="42" spans="1:6" s="84" customFormat="1" ht="49.5" customHeight="1" x14ac:dyDescent="0.25">
      <c r="A42" s="55" t="s">
        <v>131</v>
      </c>
      <c r="B42" s="56">
        <v>0</v>
      </c>
      <c r="C42" s="56">
        <v>67500</v>
      </c>
      <c r="D42" s="178" t="s">
        <v>176</v>
      </c>
      <c r="E42" s="178"/>
      <c r="F42" s="83"/>
    </row>
    <row r="43" spans="1:6" s="84" customFormat="1" ht="49.5" customHeight="1" x14ac:dyDescent="0.25">
      <c r="A43" s="55" t="s">
        <v>193</v>
      </c>
      <c r="B43" s="56">
        <v>0</v>
      </c>
      <c r="C43" s="56">
        <v>705500</v>
      </c>
      <c r="D43" s="178" t="s">
        <v>164</v>
      </c>
      <c r="E43" s="178"/>
      <c r="F43" s="83"/>
    </row>
    <row r="44" spans="1:6" s="84" customFormat="1" ht="49.5" customHeight="1" x14ac:dyDescent="0.25">
      <c r="A44" s="55" t="s">
        <v>132</v>
      </c>
      <c r="B44" s="56">
        <v>0</v>
      </c>
      <c r="C44" s="56">
        <v>3291200</v>
      </c>
      <c r="D44" s="178" t="s">
        <v>166</v>
      </c>
      <c r="E44" s="178"/>
      <c r="F44" s="83"/>
    </row>
    <row r="45" spans="1:6" s="84" customFormat="1" ht="49.5" customHeight="1" x14ac:dyDescent="0.25">
      <c r="A45" s="64" t="s">
        <v>192</v>
      </c>
      <c r="B45" s="64">
        <v>3449393</v>
      </c>
      <c r="C45" s="64">
        <v>18985000</v>
      </c>
      <c r="D45" s="178" t="s">
        <v>175</v>
      </c>
      <c r="E45" s="178"/>
      <c r="F45" s="83"/>
    </row>
    <row r="46" spans="1:6" s="84" customFormat="1" ht="49.5" customHeight="1" x14ac:dyDescent="0.25">
      <c r="A46" s="64" t="s">
        <v>135</v>
      </c>
      <c r="B46" s="64">
        <v>440000</v>
      </c>
      <c r="C46" s="64">
        <v>440000</v>
      </c>
      <c r="D46" s="178"/>
      <c r="E46" s="178"/>
      <c r="F46" s="83"/>
    </row>
    <row r="47" spans="1:6" s="84" customFormat="1" ht="49.5" customHeight="1" x14ac:dyDescent="0.25">
      <c r="A47" s="64" t="s">
        <v>38</v>
      </c>
      <c r="B47" s="64">
        <v>5710060</v>
      </c>
      <c r="C47" s="64">
        <v>8027830</v>
      </c>
      <c r="D47" s="178" t="s">
        <v>163</v>
      </c>
      <c r="E47" s="178"/>
      <c r="F47" s="83"/>
    </row>
    <row r="48" spans="1:6" s="84" customFormat="1" ht="49.5" customHeight="1" x14ac:dyDescent="0.25">
      <c r="A48" s="55" t="s">
        <v>82</v>
      </c>
      <c r="B48" s="64">
        <v>180000</v>
      </c>
      <c r="C48" s="64">
        <v>180000</v>
      </c>
      <c r="D48" s="178" t="s">
        <v>186</v>
      </c>
      <c r="E48" s="178"/>
      <c r="F48" s="83"/>
    </row>
    <row r="49" spans="1:6" s="84" customFormat="1" ht="49.5" customHeight="1" x14ac:dyDescent="0.25">
      <c r="A49" s="55" t="s">
        <v>159</v>
      </c>
      <c r="B49" s="64">
        <v>136520</v>
      </c>
      <c r="C49" s="64">
        <v>275460</v>
      </c>
      <c r="D49" s="178" t="s">
        <v>170</v>
      </c>
      <c r="E49" s="178"/>
      <c r="F49" s="83"/>
    </row>
    <row r="50" spans="1:6" s="84" customFormat="1" ht="49.5" customHeight="1" x14ac:dyDescent="0.25">
      <c r="A50" s="64" t="s">
        <v>185</v>
      </c>
      <c r="B50" s="64">
        <v>0</v>
      </c>
      <c r="C50" s="64">
        <v>0</v>
      </c>
      <c r="D50" s="178"/>
      <c r="E50" s="178"/>
      <c r="F50" s="83"/>
    </row>
    <row r="51" spans="1:6" s="84" customFormat="1" ht="49.5" customHeight="1" x14ac:dyDescent="0.25">
      <c r="A51" s="120" t="s">
        <v>138</v>
      </c>
      <c r="B51" s="87">
        <v>220000</v>
      </c>
      <c r="C51" s="87">
        <v>220000</v>
      </c>
      <c r="D51" s="179" t="s">
        <v>178</v>
      </c>
      <c r="E51" s="179"/>
      <c r="F51" s="83"/>
    </row>
    <row r="52" spans="1:6" s="84" customFormat="1" ht="49.5" customHeight="1" x14ac:dyDescent="0.25">
      <c r="A52" s="64" t="s">
        <v>187</v>
      </c>
      <c r="B52" s="64">
        <v>10189120</v>
      </c>
      <c r="C52" s="64">
        <v>9076540</v>
      </c>
      <c r="D52" s="178"/>
      <c r="E52" s="178"/>
      <c r="F52" s="83"/>
    </row>
    <row r="53" spans="1:6" s="84" customFormat="1" ht="49.5" customHeight="1" x14ac:dyDescent="0.25">
      <c r="A53" s="64" t="s">
        <v>86</v>
      </c>
      <c r="B53" s="64">
        <v>6400000</v>
      </c>
      <c r="C53" s="64">
        <v>6243770</v>
      </c>
      <c r="D53" s="178"/>
      <c r="E53" s="178"/>
      <c r="F53" s="83"/>
    </row>
    <row r="54" spans="1:6" s="84" customFormat="1" ht="49.5" customHeight="1" x14ac:dyDescent="0.25">
      <c r="A54" s="64" t="s">
        <v>21</v>
      </c>
      <c r="B54" s="64">
        <v>900000</v>
      </c>
      <c r="C54" s="64">
        <v>1508520</v>
      </c>
      <c r="D54" s="178"/>
      <c r="E54" s="178"/>
      <c r="F54" s="83"/>
    </row>
    <row r="55" spans="1:6" s="84" customFormat="1" ht="49.5" customHeight="1" x14ac:dyDescent="0.25">
      <c r="A55" s="121" t="s">
        <v>188</v>
      </c>
      <c r="B55" s="64">
        <v>4000000</v>
      </c>
      <c r="C55" s="64">
        <v>4835000</v>
      </c>
      <c r="D55" s="180" t="s">
        <v>143</v>
      </c>
      <c r="E55" s="178"/>
      <c r="F55" s="83"/>
    </row>
    <row r="56" spans="1:6" s="84" customFormat="1" ht="49.5" customHeight="1" x14ac:dyDescent="0.25">
      <c r="A56" s="64" t="s">
        <v>189</v>
      </c>
      <c r="B56" s="64">
        <v>2783478</v>
      </c>
      <c r="C56" s="64">
        <v>3944180</v>
      </c>
      <c r="D56" s="178" t="s">
        <v>190</v>
      </c>
      <c r="E56" s="178"/>
      <c r="F56" s="83"/>
    </row>
    <row r="57" spans="1:6" s="84" customFormat="1" ht="49.5" customHeight="1" x14ac:dyDescent="0.25">
      <c r="A57" s="57" t="s">
        <v>182</v>
      </c>
      <c r="B57" s="119">
        <f>SUM(B30:B56)</f>
        <v>53214646</v>
      </c>
      <c r="C57" s="119">
        <f>SUM(C30:C56)</f>
        <v>79250633</v>
      </c>
      <c r="D57" s="178"/>
      <c r="E57" s="178"/>
      <c r="F57" s="83"/>
    </row>
    <row r="58" spans="1:6" s="84" customFormat="1" ht="42.6" hidden="1" customHeight="1" x14ac:dyDescent="0.25">
      <c r="A58" s="177" t="s">
        <v>156</v>
      </c>
      <c r="B58" s="177"/>
      <c r="C58" s="177"/>
      <c r="D58" s="177"/>
      <c r="E58" s="177"/>
      <c r="F58" s="83"/>
    </row>
    <row r="59" spans="1:6" s="84" customFormat="1" ht="42.6" hidden="1" customHeight="1" x14ac:dyDescent="0.25">
      <c r="A59" s="88" t="s">
        <v>12</v>
      </c>
      <c r="B59" s="89" t="s">
        <v>92</v>
      </c>
      <c r="C59" s="169" t="s">
        <v>3</v>
      </c>
      <c r="D59" s="169"/>
      <c r="E59" s="90" t="s">
        <v>83</v>
      </c>
      <c r="F59" s="83"/>
    </row>
    <row r="60" spans="1:6" s="84" customFormat="1" ht="42.6" hidden="1" customHeight="1" x14ac:dyDescent="0.25">
      <c r="A60" s="164" t="s">
        <v>9</v>
      </c>
      <c r="B60" s="66">
        <f>SUM(B61:B63)</f>
        <v>9580328</v>
      </c>
      <c r="C60" s="67"/>
      <c r="D60" s="67"/>
      <c r="E60" s="68"/>
      <c r="F60" s="83"/>
    </row>
    <row r="61" spans="1:6" s="84" customFormat="1" ht="42.6" hidden="1" customHeight="1" x14ac:dyDescent="0.25">
      <c r="A61" s="162"/>
      <c r="B61" s="91">
        <v>4826328</v>
      </c>
      <c r="C61" s="171" t="s">
        <v>148</v>
      </c>
      <c r="D61" s="172"/>
      <c r="E61" s="93"/>
      <c r="F61" s="83"/>
    </row>
    <row r="62" spans="1:6" s="84" customFormat="1" ht="42.6" hidden="1" customHeight="1" x14ac:dyDescent="0.25">
      <c r="A62" s="162"/>
      <c r="B62" s="91">
        <v>3323000</v>
      </c>
      <c r="C62" s="171" t="s">
        <v>152</v>
      </c>
      <c r="D62" s="172"/>
      <c r="E62" s="93"/>
      <c r="F62" s="83"/>
    </row>
    <row r="63" spans="1:6" s="84" customFormat="1" ht="42.6" hidden="1" customHeight="1" x14ac:dyDescent="0.25">
      <c r="A63" s="170"/>
      <c r="B63" s="94">
        <v>1431000</v>
      </c>
      <c r="C63" s="171" t="s">
        <v>153</v>
      </c>
      <c r="D63" s="172"/>
      <c r="E63" s="95"/>
      <c r="F63" s="83"/>
    </row>
    <row r="64" spans="1:6" s="84" customFormat="1" ht="42.6" hidden="1" customHeight="1" x14ac:dyDescent="0.25">
      <c r="A64" s="173" t="s">
        <v>0</v>
      </c>
      <c r="B64" s="69">
        <f>SUM(B65)</f>
        <v>13215500</v>
      </c>
      <c r="C64" s="70"/>
      <c r="D64" s="70"/>
      <c r="E64" s="71"/>
      <c r="F64" s="83"/>
    </row>
    <row r="65" spans="1:6" s="84" customFormat="1" ht="42.6" hidden="1" customHeight="1" x14ac:dyDescent="0.25">
      <c r="A65" s="174"/>
      <c r="B65" s="96">
        <v>13215500</v>
      </c>
      <c r="C65" s="171" t="s">
        <v>150</v>
      </c>
      <c r="D65" s="172"/>
      <c r="E65" s="97"/>
      <c r="F65" s="83"/>
    </row>
    <row r="66" spans="1:6" s="84" customFormat="1" ht="42.6" hidden="1" customHeight="1" x14ac:dyDescent="0.25">
      <c r="A66" s="173" t="s">
        <v>140</v>
      </c>
      <c r="B66" s="69">
        <f>SUM(B67)</f>
        <v>4000000</v>
      </c>
      <c r="C66" s="70"/>
      <c r="D66" s="70"/>
      <c r="E66" s="71"/>
      <c r="F66" s="83"/>
    </row>
    <row r="67" spans="1:6" s="84" customFormat="1" ht="42.6" hidden="1" customHeight="1" x14ac:dyDescent="0.25">
      <c r="A67" s="174"/>
      <c r="B67" s="98">
        <v>4000000</v>
      </c>
      <c r="C67" s="171" t="s">
        <v>151</v>
      </c>
      <c r="D67" s="172"/>
      <c r="E67" s="99"/>
      <c r="F67" s="83"/>
    </row>
    <row r="68" spans="1:6" s="84" customFormat="1" ht="42.6" hidden="1" customHeight="1" x14ac:dyDescent="0.25">
      <c r="A68" s="175" t="s">
        <v>1</v>
      </c>
      <c r="B68" s="69">
        <f>SUM(B69)</f>
        <v>1000000</v>
      </c>
      <c r="C68" s="70"/>
      <c r="D68" s="70"/>
      <c r="E68" s="100"/>
      <c r="F68" s="83"/>
    </row>
    <row r="69" spans="1:6" s="84" customFormat="1" ht="42.6" hidden="1" customHeight="1" x14ac:dyDescent="0.25">
      <c r="A69" s="174"/>
      <c r="B69" s="96">
        <v>1000000</v>
      </c>
      <c r="C69" s="171"/>
      <c r="D69" s="172"/>
      <c r="E69" s="101"/>
      <c r="F69" s="83"/>
    </row>
    <row r="70" spans="1:6" s="84" customFormat="1" ht="42.6" hidden="1" customHeight="1" x14ac:dyDescent="0.25">
      <c r="A70" s="72" t="s">
        <v>13</v>
      </c>
      <c r="B70" s="73">
        <f>SUM(B60+B64+B66+B68)</f>
        <v>27795828</v>
      </c>
      <c r="C70" s="112">
        <v>25704200</v>
      </c>
      <c r="D70" s="74"/>
      <c r="E70" s="113"/>
      <c r="F70" s="83"/>
    </row>
    <row r="71" spans="1:6" s="84" customFormat="1" ht="42.6" hidden="1" customHeight="1" x14ac:dyDescent="0.25">
      <c r="A71" s="176" t="s">
        <v>142</v>
      </c>
      <c r="B71" s="176"/>
      <c r="C71" s="176"/>
      <c r="D71" s="176"/>
      <c r="E71" s="176"/>
      <c r="F71" s="83"/>
    </row>
    <row r="72" spans="1:6" s="84" customFormat="1" ht="42.6" hidden="1" customHeight="1" x14ac:dyDescent="0.25">
      <c r="A72" s="110" t="s">
        <v>12</v>
      </c>
      <c r="B72" s="111" t="s">
        <v>11</v>
      </c>
      <c r="C72" s="168" t="s">
        <v>147</v>
      </c>
      <c r="D72" s="168"/>
      <c r="E72" s="82" t="s">
        <v>83</v>
      </c>
      <c r="F72" s="83"/>
    </row>
    <row r="73" spans="1:6" s="84" customFormat="1" ht="42.6" hidden="1" customHeight="1" x14ac:dyDescent="0.25">
      <c r="A73" s="164" t="s">
        <v>93</v>
      </c>
      <c r="B73" s="69">
        <f>SUM(B74:B78)</f>
        <v>9033207</v>
      </c>
      <c r="C73" s="70"/>
      <c r="D73" s="70"/>
      <c r="E73" s="70"/>
      <c r="F73" s="83"/>
    </row>
    <row r="74" spans="1:6" s="84" customFormat="1" ht="42.6" hidden="1" customHeight="1" x14ac:dyDescent="0.25">
      <c r="A74" s="162"/>
      <c r="B74" s="91">
        <v>5800000</v>
      </c>
      <c r="C74" s="165" t="s">
        <v>133</v>
      </c>
      <c r="D74" s="102" t="s">
        <v>94</v>
      </c>
      <c r="E74" s="92"/>
      <c r="F74" s="83"/>
    </row>
    <row r="75" spans="1:6" s="84" customFormat="1" ht="42.6" hidden="1" customHeight="1" x14ac:dyDescent="0.25">
      <c r="A75" s="162"/>
      <c r="B75" s="91">
        <v>1015345</v>
      </c>
      <c r="C75" s="166"/>
      <c r="D75" s="102" t="s">
        <v>95</v>
      </c>
      <c r="E75" s="92"/>
      <c r="F75" s="83"/>
    </row>
    <row r="76" spans="1:6" s="84" customFormat="1" ht="42.6" hidden="1" customHeight="1" x14ac:dyDescent="0.25">
      <c r="A76" s="162"/>
      <c r="B76" s="91">
        <v>960000</v>
      </c>
      <c r="C76" s="166"/>
      <c r="D76" s="102" t="s">
        <v>96</v>
      </c>
      <c r="E76" s="92"/>
      <c r="F76" s="83"/>
    </row>
    <row r="77" spans="1:6" s="84" customFormat="1" ht="42.6" hidden="1" customHeight="1" x14ac:dyDescent="0.25">
      <c r="A77" s="162"/>
      <c r="B77" s="91">
        <v>851692</v>
      </c>
      <c r="C77" s="166"/>
      <c r="D77" s="102" t="s">
        <v>97</v>
      </c>
      <c r="E77" s="92"/>
      <c r="F77" s="83"/>
    </row>
    <row r="78" spans="1:6" s="84" customFormat="1" ht="42.6" hidden="1" customHeight="1" x14ac:dyDescent="0.25">
      <c r="A78" s="162"/>
      <c r="B78" s="103">
        <v>406170</v>
      </c>
      <c r="C78" s="167"/>
      <c r="D78" s="104" t="s">
        <v>98</v>
      </c>
      <c r="E78" s="92"/>
      <c r="F78" s="83"/>
    </row>
    <row r="79" spans="1:6" s="84" customFormat="1" ht="42.6" hidden="1" customHeight="1" x14ac:dyDescent="0.25">
      <c r="A79" s="161" t="s">
        <v>99</v>
      </c>
      <c r="B79" s="69">
        <f>SUM(B80:B81)</f>
        <v>8939584</v>
      </c>
      <c r="C79" s="70"/>
      <c r="D79" s="75"/>
      <c r="E79" s="70"/>
      <c r="F79" s="83"/>
    </row>
    <row r="80" spans="1:6" s="84" customFormat="1" ht="42.6" hidden="1" customHeight="1" x14ac:dyDescent="0.25">
      <c r="A80" s="162"/>
      <c r="B80" s="91">
        <v>7024589</v>
      </c>
      <c r="C80" s="93" t="s">
        <v>155</v>
      </c>
      <c r="D80" s="102" t="s">
        <v>100</v>
      </c>
      <c r="E80" s="92"/>
      <c r="F80" s="83"/>
    </row>
    <row r="81" spans="1:6" s="84" customFormat="1" ht="42.6" hidden="1" customHeight="1" x14ac:dyDescent="0.25">
      <c r="A81" s="162"/>
      <c r="B81" s="105">
        <v>1914995</v>
      </c>
      <c r="C81" s="97" t="s">
        <v>101</v>
      </c>
      <c r="D81" s="104" t="s">
        <v>100</v>
      </c>
      <c r="E81" s="106"/>
      <c r="F81" s="83"/>
    </row>
    <row r="82" spans="1:6" s="84" customFormat="1" ht="42.6" hidden="1" customHeight="1" x14ac:dyDescent="0.25">
      <c r="A82" s="161" t="s">
        <v>102</v>
      </c>
      <c r="B82" s="69">
        <f>SUM(B83:B86)</f>
        <v>3083500</v>
      </c>
      <c r="C82" s="70"/>
      <c r="D82" s="75"/>
      <c r="E82" s="70"/>
      <c r="F82" s="83"/>
    </row>
    <row r="83" spans="1:6" s="84" customFormat="1" ht="42.6" hidden="1" customHeight="1" x14ac:dyDescent="0.25">
      <c r="A83" s="162"/>
      <c r="B83" s="91">
        <v>1100000</v>
      </c>
      <c r="C83" s="93" t="s">
        <v>104</v>
      </c>
      <c r="D83" s="102" t="s">
        <v>103</v>
      </c>
      <c r="E83" s="92"/>
      <c r="F83" s="83"/>
    </row>
    <row r="84" spans="1:6" s="84" customFormat="1" ht="42.6" hidden="1" customHeight="1" x14ac:dyDescent="0.25">
      <c r="A84" s="162"/>
      <c r="B84" s="91">
        <v>1100000</v>
      </c>
      <c r="C84" s="93" t="s">
        <v>105</v>
      </c>
      <c r="D84" s="102" t="s">
        <v>103</v>
      </c>
      <c r="E84" s="92"/>
      <c r="F84" s="83"/>
    </row>
    <row r="85" spans="1:6" s="84" customFormat="1" ht="42.6" hidden="1" customHeight="1" x14ac:dyDescent="0.25">
      <c r="A85" s="162"/>
      <c r="B85" s="91">
        <v>483500</v>
      </c>
      <c r="C85" s="93" t="s">
        <v>107</v>
      </c>
      <c r="D85" s="102" t="s">
        <v>106</v>
      </c>
      <c r="E85" s="92"/>
      <c r="F85" s="83"/>
    </row>
    <row r="86" spans="1:6" s="84" customFormat="1" ht="42.6" hidden="1" customHeight="1" x14ac:dyDescent="0.25">
      <c r="A86" s="162"/>
      <c r="B86" s="103">
        <v>400000</v>
      </c>
      <c r="C86" s="101" t="s">
        <v>109</v>
      </c>
      <c r="D86" s="107" t="s">
        <v>108</v>
      </c>
      <c r="E86" s="108"/>
      <c r="F86" s="83"/>
    </row>
    <row r="87" spans="1:6" s="84" customFormat="1" ht="42.6" hidden="1" customHeight="1" x14ac:dyDescent="0.25">
      <c r="A87" s="161" t="s">
        <v>110</v>
      </c>
      <c r="B87" s="69">
        <f>SUM(B88:B89)</f>
        <v>1624390</v>
      </c>
      <c r="C87" s="70"/>
      <c r="D87" s="75"/>
      <c r="E87" s="70"/>
      <c r="F87" s="83"/>
    </row>
    <row r="88" spans="1:6" s="84" customFormat="1" ht="42.6" hidden="1" customHeight="1" x14ac:dyDescent="0.25">
      <c r="A88" s="162"/>
      <c r="B88" s="91">
        <v>801820</v>
      </c>
      <c r="C88" s="93" t="s">
        <v>112</v>
      </c>
      <c r="D88" s="102" t="s">
        <v>111</v>
      </c>
      <c r="E88" s="92"/>
      <c r="F88" s="83"/>
    </row>
    <row r="89" spans="1:6" s="84" customFormat="1" ht="42.6" hidden="1" customHeight="1" x14ac:dyDescent="0.25">
      <c r="A89" s="162"/>
      <c r="B89" s="103">
        <v>822570</v>
      </c>
      <c r="C89" s="101" t="s">
        <v>113</v>
      </c>
      <c r="D89" s="107" t="s">
        <v>149</v>
      </c>
      <c r="E89" s="108"/>
      <c r="F89" s="83"/>
    </row>
    <row r="90" spans="1:6" s="84" customFormat="1" ht="42.6" hidden="1" customHeight="1" x14ac:dyDescent="0.25">
      <c r="A90" s="161" t="s">
        <v>114</v>
      </c>
      <c r="B90" s="69">
        <f>SUM(B91)</f>
        <v>1650000</v>
      </c>
      <c r="C90" s="70"/>
      <c r="D90" s="75"/>
      <c r="E90" s="70"/>
      <c r="F90" s="83"/>
    </row>
    <row r="91" spans="1:6" s="84" customFormat="1" ht="42.6" hidden="1" customHeight="1" x14ac:dyDescent="0.25">
      <c r="A91" s="162"/>
      <c r="B91" s="103">
        <v>1650000</v>
      </c>
      <c r="C91" s="101" t="s">
        <v>116</v>
      </c>
      <c r="D91" s="107" t="s">
        <v>115</v>
      </c>
      <c r="E91" s="108"/>
      <c r="F91" s="83"/>
    </row>
    <row r="92" spans="1:6" s="84" customFormat="1" ht="42.6" hidden="1" customHeight="1" x14ac:dyDescent="0.25">
      <c r="A92" s="161" t="s">
        <v>117</v>
      </c>
      <c r="B92" s="69">
        <f>SUM(B93:B94)</f>
        <v>1400000</v>
      </c>
      <c r="C92" s="70"/>
      <c r="D92" s="75"/>
      <c r="E92" s="70"/>
      <c r="F92" s="83"/>
    </row>
    <row r="93" spans="1:6" s="84" customFormat="1" ht="42.6" hidden="1" customHeight="1" x14ac:dyDescent="0.25">
      <c r="A93" s="162"/>
      <c r="B93" s="91">
        <v>1100000</v>
      </c>
      <c r="C93" s="93" t="s">
        <v>119</v>
      </c>
      <c r="D93" s="102" t="s">
        <v>118</v>
      </c>
      <c r="E93" s="92"/>
      <c r="F93" s="83"/>
    </row>
    <row r="94" spans="1:6" s="84" customFormat="1" ht="42.6" hidden="1" customHeight="1" x14ac:dyDescent="0.25">
      <c r="A94" s="162"/>
      <c r="B94" s="105">
        <v>300000</v>
      </c>
      <c r="C94" s="97" t="s">
        <v>121</v>
      </c>
      <c r="D94" s="104" t="s">
        <v>120</v>
      </c>
      <c r="E94" s="106"/>
      <c r="F94" s="83"/>
    </row>
    <row r="95" spans="1:6" s="84" customFormat="1" ht="42.6" hidden="1" customHeight="1" x14ac:dyDescent="0.25">
      <c r="A95" s="161" t="s">
        <v>122</v>
      </c>
      <c r="B95" s="69">
        <f>SUM(B96)</f>
        <v>1254000</v>
      </c>
      <c r="C95" s="70"/>
      <c r="D95" s="75"/>
      <c r="E95" s="70"/>
      <c r="F95" s="83"/>
    </row>
    <row r="96" spans="1:6" s="84" customFormat="1" ht="42.6" hidden="1" customHeight="1" x14ac:dyDescent="0.25">
      <c r="A96" s="162"/>
      <c r="B96" s="105">
        <v>1254000</v>
      </c>
      <c r="C96" s="97" t="s">
        <v>124</v>
      </c>
      <c r="D96" s="104" t="s">
        <v>123</v>
      </c>
      <c r="E96" s="106"/>
      <c r="F96" s="83"/>
    </row>
    <row r="97" spans="1:6" s="84" customFormat="1" ht="42.6" hidden="1" customHeight="1" x14ac:dyDescent="0.25">
      <c r="A97" s="161" t="s">
        <v>125</v>
      </c>
      <c r="B97" s="69">
        <f>SUM(B98:B99)</f>
        <v>950000</v>
      </c>
      <c r="C97" s="70"/>
      <c r="D97" s="75"/>
      <c r="E97" s="70"/>
      <c r="F97" s="83"/>
    </row>
    <row r="98" spans="1:6" s="84" customFormat="1" ht="42.6" hidden="1" customHeight="1" x14ac:dyDescent="0.25">
      <c r="A98" s="162"/>
      <c r="B98" s="91">
        <v>650000</v>
      </c>
      <c r="C98" s="93" t="s">
        <v>127</v>
      </c>
      <c r="D98" s="102" t="s">
        <v>126</v>
      </c>
      <c r="E98" s="92"/>
      <c r="F98" s="83"/>
    </row>
    <row r="99" spans="1:6" s="84" customFormat="1" ht="42.6" hidden="1" customHeight="1" x14ac:dyDescent="0.25">
      <c r="A99" s="162"/>
      <c r="B99" s="91">
        <v>300000</v>
      </c>
      <c r="C99" s="97" t="s">
        <v>128</v>
      </c>
      <c r="D99" s="102" t="s">
        <v>154</v>
      </c>
      <c r="E99" s="92"/>
      <c r="F99" s="83"/>
    </row>
    <row r="100" spans="1:6" s="84" customFormat="1" ht="152.44999999999999" hidden="1" customHeight="1" x14ac:dyDescent="0.25">
      <c r="A100" s="72" t="s">
        <v>13</v>
      </c>
      <c r="B100" s="73">
        <f>SUM(B73,B79,B82,B87,B90,B92,B95,B97)</f>
        <v>27934681</v>
      </c>
      <c r="C100" s="163" t="s">
        <v>157</v>
      </c>
      <c r="D100" s="163"/>
      <c r="E100" s="163"/>
      <c r="F100" s="83"/>
    </row>
    <row r="105" spans="1:6" x14ac:dyDescent="0.25">
      <c r="D105" s="79"/>
    </row>
    <row r="107" spans="1:6" x14ac:dyDescent="0.25">
      <c r="D107" s="109"/>
    </row>
  </sheetData>
  <mergeCells count="79">
    <mergeCell ref="D13:E13"/>
    <mergeCell ref="A1:E1"/>
    <mergeCell ref="A2:E2"/>
    <mergeCell ref="D4:E4"/>
    <mergeCell ref="D5:E5"/>
    <mergeCell ref="D6:E6"/>
    <mergeCell ref="D7:E7"/>
    <mergeCell ref="D8:E8"/>
    <mergeCell ref="A9:E9"/>
    <mergeCell ref="B10:C10"/>
    <mergeCell ref="D10:E11"/>
    <mergeCell ref="D12:E12"/>
    <mergeCell ref="D25:E25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38:E38"/>
    <mergeCell ref="D26:E26"/>
    <mergeCell ref="A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5:E45"/>
    <mergeCell ref="D46:E46"/>
    <mergeCell ref="D39:E39"/>
    <mergeCell ref="D40:E40"/>
    <mergeCell ref="D41:E41"/>
    <mergeCell ref="D42:E42"/>
    <mergeCell ref="D43:E43"/>
    <mergeCell ref="D44:E44"/>
    <mergeCell ref="A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72:D72"/>
    <mergeCell ref="C59:D59"/>
    <mergeCell ref="A60:A63"/>
    <mergeCell ref="C61:D61"/>
    <mergeCell ref="C62:D62"/>
    <mergeCell ref="C63:D63"/>
    <mergeCell ref="A64:A65"/>
    <mergeCell ref="C65:D65"/>
    <mergeCell ref="A66:A67"/>
    <mergeCell ref="C67:D67"/>
    <mergeCell ref="A68:A69"/>
    <mergeCell ref="C69:D69"/>
    <mergeCell ref="A71:E71"/>
    <mergeCell ref="A92:A94"/>
    <mergeCell ref="A95:A96"/>
    <mergeCell ref="A97:A99"/>
    <mergeCell ref="C100:E100"/>
    <mergeCell ref="A73:A78"/>
    <mergeCell ref="C74:C78"/>
    <mergeCell ref="A79:A81"/>
    <mergeCell ref="A82:A86"/>
    <mergeCell ref="A87:A89"/>
    <mergeCell ref="A90:A91"/>
  </mergeCells>
  <phoneticPr fontId="3" type="noConversion"/>
  <printOptions horizontalCentered="1"/>
  <pageMargins left="0.70866141732283472" right="0.70866141732283472" top="0.74803149606299213" bottom="0.19685039370078741" header="0.31496062992125984" footer="0.31496062992125984"/>
  <pageSetup paperSize="9" scale="45" fitToHeight="0" orientation="portrait" horizontalDpi="300" verticalDpi="300" r:id="rId1"/>
  <rowBreaks count="1" manualBreakCount="1">
    <brk id="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98D6-F6D6-452C-9500-3ED6405A575F}">
  <sheetPr>
    <pageSetUpPr fitToPage="1"/>
  </sheetPr>
  <dimension ref="A1:XFC88"/>
  <sheetViews>
    <sheetView topLeftCell="A26" workbookViewId="0">
      <selection activeCell="D6" sqref="D6:E6"/>
    </sheetView>
  </sheetViews>
  <sheetFormatPr defaultColWidth="0" defaultRowHeight="12" x14ac:dyDescent="0.25"/>
  <cols>
    <col min="1" max="1" width="2.28515625" style="1" customWidth="1"/>
    <col min="2" max="2" width="20.7109375" style="2" bestFit="1" customWidth="1"/>
    <col min="3" max="3" width="23.7109375" style="2" bestFit="1" customWidth="1"/>
    <col min="4" max="4" width="29.42578125" style="2" bestFit="1" customWidth="1"/>
    <col min="5" max="5" width="31.5703125" style="2" customWidth="1"/>
    <col min="6" max="15" width="10.7109375" style="1" hidden="1"/>
    <col min="16" max="16383" width="9.140625" style="1" hidden="1"/>
    <col min="16384" max="16384" width="10.7109375" style="1" hidden="1"/>
  </cols>
  <sheetData>
    <row r="1" spans="1:6" x14ac:dyDescent="0.25">
      <c r="A1" s="1" t="s">
        <v>76</v>
      </c>
    </row>
    <row r="2" spans="1:6" ht="27" thickBot="1" x14ac:dyDescent="0.3">
      <c r="B2" s="205" t="s">
        <v>19</v>
      </c>
      <c r="C2" s="205"/>
      <c r="D2" s="205"/>
      <c r="E2" s="205"/>
      <c r="F2" s="13"/>
    </row>
    <row r="3" spans="1:6" ht="5.0999999999999996" customHeight="1" thickTop="1" x14ac:dyDescent="0.25">
      <c r="B3" s="11"/>
      <c r="C3" s="11"/>
      <c r="D3" s="11"/>
      <c r="E3" s="11"/>
      <c r="F3" s="14"/>
    </row>
    <row r="4" spans="1:6" ht="18" thickBot="1" x14ac:dyDescent="0.3">
      <c r="B4" s="206" t="s">
        <v>75</v>
      </c>
      <c r="C4" s="206"/>
      <c r="D4" s="206"/>
      <c r="E4" s="206"/>
      <c r="F4" s="15"/>
    </row>
    <row r="5" spans="1:6" ht="12.75" thickTop="1" x14ac:dyDescent="0.25"/>
    <row r="7" spans="1:6" ht="24.75" customHeight="1" thickBot="1" x14ac:dyDescent="0.3">
      <c r="B7" s="12" t="s">
        <v>68</v>
      </c>
      <c r="C7" s="207">
        <f>C13</f>
        <v>-28039705</v>
      </c>
      <c r="D7" s="207"/>
      <c r="E7" s="207"/>
      <c r="F7"/>
    </row>
    <row r="8" spans="1:6" ht="14.25" thickTop="1" x14ac:dyDescent="0.25">
      <c r="B8" s="3" t="s">
        <v>12</v>
      </c>
      <c r="C8" s="208" t="s">
        <v>11</v>
      </c>
      <c r="D8" s="208"/>
      <c r="E8" s="208"/>
      <c r="F8"/>
    </row>
    <row r="9" spans="1:6" ht="12" customHeight="1" x14ac:dyDescent="0.25">
      <c r="B9" s="209" t="s">
        <v>64</v>
      </c>
      <c r="C9" s="211">
        <f>C33</f>
        <v>39717743</v>
      </c>
      <c r="D9" s="211"/>
      <c r="E9" s="211"/>
      <c r="F9"/>
    </row>
    <row r="10" spans="1:6" ht="12" customHeight="1" x14ac:dyDescent="0.25">
      <c r="B10" s="210"/>
      <c r="C10" s="212"/>
      <c r="D10" s="212"/>
      <c r="E10" s="212"/>
      <c r="F10"/>
    </row>
    <row r="11" spans="1:6" ht="12" customHeight="1" x14ac:dyDescent="0.25">
      <c r="B11" s="209" t="s">
        <v>65</v>
      </c>
      <c r="C11" s="211">
        <f>C88</f>
        <v>67757448</v>
      </c>
      <c r="D11" s="211"/>
      <c r="E11" s="211"/>
      <c r="F11"/>
    </row>
    <row r="12" spans="1:6" ht="12" customHeight="1" x14ac:dyDescent="0.25">
      <c r="B12" s="210"/>
      <c r="C12" s="212"/>
      <c r="D12" s="212"/>
      <c r="E12" s="212"/>
      <c r="F12"/>
    </row>
    <row r="13" spans="1:6" ht="12" customHeight="1" x14ac:dyDescent="0.25">
      <c r="B13" s="209" t="s">
        <v>66</v>
      </c>
      <c r="C13" s="217">
        <f>C9-C11</f>
        <v>-28039705</v>
      </c>
      <c r="D13" s="217"/>
      <c r="E13" s="217"/>
      <c r="F13"/>
    </row>
    <row r="14" spans="1:6" ht="12" customHeight="1" x14ac:dyDescent="0.25">
      <c r="B14" s="210"/>
      <c r="C14" s="218"/>
      <c r="D14" s="218"/>
      <c r="E14" s="218"/>
      <c r="F14"/>
    </row>
    <row r="16" spans="1:6" ht="20.100000000000001" customHeight="1" thickBot="1" x14ac:dyDescent="0.3">
      <c r="B16" s="8" t="s">
        <v>50</v>
      </c>
      <c r="C16" s="9">
        <f>C33</f>
        <v>39717743</v>
      </c>
      <c r="D16" s="36"/>
      <c r="E16" s="36"/>
    </row>
    <row r="17" spans="2:5" ht="12.75" thickTop="1" x14ac:dyDescent="0.25">
      <c r="B17" s="3" t="s">
        <v>12</v>
      </c>
      <c r="C17" s="4" t="s">
        <v>11</v>
      </c>
      <c r="D17" s="3" t="s">
        <v>4</v>
      </c>
      <c r="E17" s="3" t="s">
        <v>3</v>
      </c>
    </row>
    <row r="18" spans="2:5" ht="18" customHeight="1" x14ac:dyDescent="0.25">
      <c r="B18" s="219" t="s">
        <v>64</v>
      </c>
      <c r="C18" s="16">
        <f>SUM(C19:C32)</f>
        <v>39717743</v>
      </c>
      <c r="D18" s="17"/>
      <c r="E18" s="43"/>
    </row>
    <row r="19" spans="2:5" ht="18" customHeight="1" x14ac:dyDescent="0.25">
      <c r="B19" s="220"/>
      <c r="C19" s="18">
        <v>16139000</v>
      </c>
      <c r="D19" s="19" t="s">
        <v>55</v>
      </c>
      <c r="E19" s="48"/>
    </row>
    <row r="20" spans="2:5" ht="18" customHeight="1" x14ac:dyDescent="0.25">
      <c r="B20" s="220"/>
      <c r="C20" s="18">
        <v>9300000</v>
      </c>
      <c r="D20" s="19" t="s">
        <v>54</v>
      </c>
      <c r="E20" s="48"/>
    </row>
    <row r="21" spans="2:5" ht="18" customHeight="1" x14ac:dyDescent="0.25">
      <c r="B21" s="220"/>
      <c r="C21" s="18">
        <v>4860592</v>
      </c>
      <c r="D21" s="19" t="s">
        <v>61</v>
      </c>
      <c r="E21" s="48"/>
    </row>
    <row r="22" spans="2:5" ht="18" customHeight="1" x14ac:dyDescent="0.25">
      <c r="B22" s="220"/>
      <c r="C22" s="18">
        <v>3631598</v>
      </c>
      <c r="D22" s="19" t="s">
        <v>59</v>
      </c>
      <c r="E22" s="48"/>
    </row>
    <row r="23" spans="2:5" ht="18" customHeight="1" x14ac:dyDescent="0.25">
      <c r="B23" s="220"/>
      <c r="C23" s="18">
        <v>1879300</v>
      </c>
      <c r="D23" s="19" t="s">
        <v>58</v>
      </c>
      <c r="E23" s="48"/>
    </row>
    <row r="24" spans="2:5" ht="18" customHeight="1" x14ac:dyDescent="0.25">
      <c r="B24" s="220"/>
      <c r="C24" s="18">
        <v>1860253</v>
      </c>
      <c r="D24" s="19" t="s">
        <v>62</v>
      </c>
      <c r="E24" s="48"/>
    </row>
    <row r="25" spans="2:5" ht="18" customHeight="1" x14ac:dyDescent="0.25">
      <c r="B25" s="220"/>
      <c r="C25" s="18">
        <v>1039000</v>
      </c>
      <c r="D25" s="19" t="s">
        <v>52</v>
      </c>
      <c r="E25" s="48"/>
    </row>
    <row r="26" spans="2:5" ht="18" customHeight="1" x14ac:dyDescent="0.25">
      <c r="B26" s="220"/>
      <c r="C26" s="18">
        <v>530000</v>
      </c>
      <c r="D26" s="19" t="s">
        <v>53</v>
      </c>
      <c r="E26" s="48"/>
    </row>
    <row r="27" spans="2:5" ht="18" customHeight="1" x14ac:dyDescent="0.25">
      <c r="B27" s="220"/>
      <c r="C27" s="18">
        <v>358000</v>
      </c>
      <c r="D27" s="19" t="s">
        <v>56</v>
      </c>
      <c r="E27" s="48"/>
    </row>
    <row r="28" spans="2:5" ht="18" customHeight="1" x14ac:dyDescent="0.25">
      <c r="B28" s="220"/>
      <c r="C28" s="20">
        <v>120000</v>
      </c>
      <c r="D28" s="21" t="s">
        <v>51</v>
      </c>
      <c r="E28" s="48"/>
    </row>
    <row r="29" spans="2:5" ht="18" customHeight="1" x14ac:dyDescent="0.25">
      <c r="B29" s="220"/>
      <c r="C29" s="18">
        <v>0</v>
      </c>
      <c r="D29" s="19" t="s">
        <v>57</v>
      </c>
      <c r="E29" s="48"/>
    </row>
    <row r="30" spans="2:5" ht="18" customHeight="1" x14ac:dyDescent="0.25">
      <c r="B30" s="220"/>
      <c r="C30" s="18">
        <v>0</v>
      </c>
      <c r="D30" s="19" t="s">
        <v>60</v>
      </c>
      <c r="E30" s="48"/>
    </row>
    <row r="31" spans="2:5" ht="18" customHeight="1" x14ac:dyDescent="0.25">
      <c r="B31" s="220"/>
      <c r="C31" s="18">
        <v>0</v>
      </c>
      <c r="D31" s="23" t="s">
        <v>63</v>
      </c>
      <c r="E31" s="48"/>
    </row>
    <row r="32" spans="2:5" ht="18" customHeight="1" x14ac:dyDescent="0.25">
      <c r="B32" s="221"/>
      <c r="C32" s="22">
        <v>0</v>
      </c>
      <c r="D32" s="23"/>
      <c r="E32" s="49"/>
    </row>
    <row r="33" spans="2:5" ht="18" customHeight="1" x14ac:dyDescent="0.25">
      <c r="B33" s="25" t="s">
        <v>13</v>
      </c>
      <c r="C33" s="24">
        <f>SUM(C18)</f>
        <v>39717743</v>
      </c>
      <c r="D33" s="25"/>
      <c r="E33" s="5"/>
    </row>
    <row r="35" spans="2:5" ht="20.100000000000001" customHeight="1" thickBot="1" x14ac:dyDescent="0.3">
      <c r="B35" s="8" t="s">
        <v>67</v>
      </c>
      <c r="C35" s="9">
        <f>C47</f>
        <v>27795828</v>
      </c>
      <c r="D35" s="36"/>
      <c r="E35" s="39" t="s">
        <v>69</v>
      </c>
    </row>
    <row r="36" spans="2:5" ht="12.75" thickTop="1" x14ac:dyDescent="0.25">
      <c r="B36" s="3" t="s">
        <v>12</v>
      </c>
      <c r="C36" s="4" t="s">
        <v>11</v>
      </c>
      <c r="D36" s="3" t="s">
        <v>4</v>
      </c>
      <c r="E36" s="3" t="s">
        <v>3</v>
      </c>
    </row>
    <row r="37" spans="2:5" ht="18" customHeight="1" x14ac:dyDescent="0.25">
      <c r="B37" s="219" t="s">
        <v>9</v>
      </c>
      <c r="C37" s="26">
        <f>SUM(C38:C40)</f>
        <v>9580328</v>
      </c>
      <c r="D37" s="27"/>
      <c r="E37" s="40"/>
    </row>
    <row r="38" spans="2:5" ht="18" customHeight="1" x14ac:dyDescent="0.25">
      <c r="B38" s="220"/>
      <c r="C38" s="18">
        <v>4826328</v>
      </c>
      <c r="D38" s="19" t="s">
        <v>10</v>
      </c>
      <c r="E38" s="41" t="s">
        <v>18</v>
      </c>
    </row>
    <row r="39" spans="2:5" ht="18" customHeight="1" x14ac:dyDescent="0.25">
      <c r="B39" s="220"/>
      <c r="C39" s="18">
        <v>3323000</v>
      </c>
      <c r="D39" s="19" t="s">
        <v>7</v>
      </c>
      <c r="E39" s="41" t="s">
        <v>17</v>
      </c>
    </row>
    <row r="40" spans="2:5" ht="18" customHeight="1" x14ac:dyDescent="0.25">
      <c r="B40" s="221"/>
      <c r="C40" s="20">
        <v>1431000</v>
      </c>
      <c r="D40" s="21" t="s">
        <v>5</v>
      </c>
      <c r="E40" s="42" t="s">
        <v>16</v>
      </c>
    </row>
    <row r="41" spans="2:5" ht="18" customHeight="1" x14ac:dyDescent="0.25">
      <c r="B41" s="222" t="s">
        <v>0</v>
      </c>
      <c r="C41" s="16">
        <f>SUM(C42)</f>
        <v>13215500</v>
      </c>
      <c r="D41" s="17"/>
      <c r="E41" s="43"/>
    </row>
    <row r="42" spans="2:5" ht="18" customHeight="1" x14ac:dyDescent="0.25">
      <c r="B42" s="223"/>
      <c r="C42" s="22">
        <v>13215500</v>
      </c>
      <c r="D42" s="23" t="s">
        <v>7</v>
      </c>
      <c r="E42" s="44" t="s">
        <v>14</v>
      </c>
    </row>
    <row r="43" spans="2:5" ht="18" customHeight="1" x14ac:dyDescent="0.25">
      <c r="B43" s="222" t="s">
        <v>8</v>
      </c>
      <c r="C43" s="16">
        <f>SUM(C44)</f>
        <v>4000000</v>
      </c>
      <c r="D43" s="17"/>
      <c r="E43" s="43"/>
    </row>
    <row r="44" spans="2:5" ht="18" customHeight="1" x14ac:dyDescent="0.25">
      <c r="B44" s="223"/>
      <c r="C44" s="28">
        <v>4000000</v>
      </c>
      <c r="D44" s="29" t="s">
        <v>6</v>
      </c>
      <c r="E44" s="45" t="s">
        <v>15</v>
      </c>
    </row>
    <row r="45" spans="2:5" ht="18" customHeight="1" x14ac:dyDescent="0.25">
      <c r="B45" s="222" t="s">
        <v>1</v>
      </c>
      <c r="C45" s="16">
        <f>SUM(C46)</f>
        <v>1000000</v>
      </c>
      <c r="D45" s="30"/>
      <c r="E45" s="46"/>
    </row>
    <row r="46" spans="2:5" ht="18" customHeight="1" x14ac:dyDescent="0.25">
      <c r="B46" s="223"/>
      <c r="C46" s="22">
        <v>1000000</v>
      </c>
      <c r="D46" s="31" t="s">
        <v>2</v>
      </c>
      <c r="E46" s="47" t="s">
        <v>1</v>
      </c>
    </row>
    <row r="47" spans="2:5" ht="18" customHeight="1" x14ac:dyDescent="0.25">
      <c r="B47" s="25" t="s">
        <v>13</v>
      </c>
      <c r="C47" s="24">
        <f>SUM(C37+C41+C43+C45)</f>
        <v>27795828</v>
      </c>
      <c r="D47" s="25"/>
      <c r="E47" s="5"/>
    </row>
    <row r="48" spans="2:5" x14ac:dyDescent="0.25">
      <c r="B48" s="1"/>
      <c r="C48" s="1"/>
      <c r="D48" s="1"/>
      <c r="E48" s="1"/>
    </row>
    <row r="49" spans="2:5" ht="20.100000000000001" customHeight="1" thickBot="1" x14ac:dyDescent="0.3">
      <c r="B49" s="8" t="s">
        <v>28</v>
      </c>
      <c r="C49" s="9">
        <f>C88</f>
        <v>67757448</v>
      </c>
      <c r="D49" s="6"/>
      <c r="E49" s="6"/>
    </row>
    <row r="50" spans="2:5" ht="12.75" thickTop="1" x14ac:dyDescent="0.25">
      <c r="B50" s="3" t="s">
        <v>12</v>
      </c>
      <c r="C50" s="4" t="s">
        <v>11</v>
      </c>
      <c r="D50" s="3" t="s">
        <v>4</v>
      </c>
      <c r="E50" s="10" t="s">
        <v>3</v>
      </c>
    </row>
    <row r="51" spans="2:5" ht="18" customHeight="1" x14ac:dyDescent="0.25">
      <c r="B51" s="224" t="s">
        <v>74</v>
      </c>
      <c r="C51" s="16">
        <f>SUM(C52:C57)</f>
        <v>8303470</v>
      </c>
      <c r="D51" s="17"/>
      <c r="E51" s="43"/>
    </row>
    <row r="52" spans="2:5" ht="18" customHeight="1" x14ac:dyDescent="0.25">
      <c r="B52" s="220"/>
      <c r="C52" s="18">
        <v>7357170</v>
      </c>
      <c r="D52" s="19" t="s">
        <v>45</v>
      </c>
      <c r="E52" s="50"/>
    </row>
    <row r="53" spans="2:5" ht="18" customHeight="1" x14ac:dyDescent="0.25">
      <c r="B53" s="220"/>
      <c r="C53" s="18">
        <v>674100</v>
      </c>
      <c r="D53" s="19" t="s">
        <v>47</v>
      </c>
      <c r="E53" s="50"/>
    </row>
    <row r="54" spans="2:5" ht="18" customHeight="1" x14ac:dyDescent="0.25">
      <c r="B54" s="220"/>
      <c r="C54" s="18">
        <v>161800</v>
      </c>
      <c r="D54" s="19" t="s">
        <v>44</v>
      </c>
      <c r="E54" s="50"/>
    </row>
    <row r="55" spans="2:5" ht="18" customHeight="1" x14ac:dyDescent="0.25">
      <c r="B55" s="220"/>
      <c r="C55" s="18">
        <v>61600</v>
      </c>
      <c r="D55" s="19" t="s">
        <v>46</v>
      </c>
      <c r="E55" s="50"/>
    </row>
    <row r="56" spans="2:5" ht="18" customHeight="1" x14ac:dyDescent="0.25">
      <c r="B56" s="220"/>
      <c r="C56" s="18">
        <v>48800</v>
      </c>
      <c r="D56" s="19" t="s">
        <v>48</v>
      </c>
      <c r="E56" s="50"/>
    </row>
    <row r="57" spans="2:5" ht="18" customHeight="1" x14ac:dyDescent="0.25">
      <c r="B57" s="221"/>
      <c r="C57" s="22">
        <v>0</v>
      </c>
      <c r="D57" s="23" t="s">
        <v>43</v>
      </c>
      <c r="E57" s="47"/>
    </row>
    <row r="58" spans="2:5" ht="18" customHeight="1" x14ac:dyDescent="0.25">
      <c r="B58" s="219" t="s">
        <v>42</v>
      </c>
      <c r="C58" s="16">
        <f>SUM(C59+C68)</f>
        <v>44236894</v>
      </c>
      <c r="D58" s="17"/>
      <c r="E58" s="43"/>
    </row>
    <row r="59" spans="2:5" ht="18" customHeight="1" x14ac:dyDescent="0.25">
      <c r="B59" s="220"/>
      <c r="C59" s="32">
        <f>SUM(C60:C67)</f>
        <v>8516066</v>
      </c>
      <c r="D59" s="33"/>
      <c r="E59" s="7"/>
    </row>
    <row r="60" spans="2:5" ht="18" customHeight="1" x14ac:dyDescent="0.25">
      <c r="B60" s="220"/>
      <c r="C60" s="18">
        <v>3273600</v>
      </c>
      <c r="D60" s="19" t="s">
        <v>40</v>
      </c>
      <c r="E60" s="42"/>
    </row>
    <row r="61" spans="2:5" ht="18" customHeight="1" x14ac:dyDescent="0.25">
      <c r="B61" s="220"/>
      <c r="C61" s="18">
        <v>2934508</v>
      </c>
      <c r="D61" s="19" t="s">
        <v>39</v>
      </c>
      <c r="E61" s="50"/>
    </row>
    <row r="62" spans="2:5" ht="18" customHeight="1" x14ac:dyDescent="0.25">
      <c r="B62" s="220"/>
      <c r="C62" s="20">
        <v>1273448</v>
      </c>
      <c r="D62" s="21" t="s">
        <v>29</v>
      </c>
      <c r="E62" s="50"/>
    </row>
    <row r="63" spans="2:5" ht="18" customHeight="1" x14ac:dyDescent="0.25">
      <c r="B63" s="220"/>
      <c r="C63" s="18">
        <v>440000</v>
      </c>
      <c r="D63" s="19" t="s">
        <v>33</v>
      </c>
      <c r="E63" s="50"/>
    </row>
    <row r="64" spans="2:5" ht="18" customHeight="1" x14ac:dyDescent="0.25">
      <c r="B64" s="220"/>
      <c r="C64" s="18">
        <v>220000</v>
      </c>
      <c r="D64" s="19" t="s">
        <v>36</v>
      </c>
      <c r="E64" s="50"/>
    </row>
    <row r="65" spans="2:5" ht="18" customHeight="1" x14ac:dyDescent="0.25">
      <c r="B65" s="220"/>
      <c r="C65" s="18">
        <v>180000</v>
      </c>
      <c r="D65" s="19" t="s">
        <v>30</v>
      </c>
      <c r="E65" s="50"/>
    </row>
    <row r="66" spans="2:5" ht="18" customHeight="1" x14ac:dyDescent="0.25">
      <c r="B66" s="220"/>
      <c r="C66" s="18">
        <v>176000</v>
      </c>
      <c r="D66" s="19" t="s">
        <v>34</v>
      </c>
      <c r="E66" s="50"/>
    </row>
    <row r="67" spans="2:5" ht="18" customHeight="1" x14ac:dyDescent="0.25">
      <c r="B67" s="220"/>
      <c r="C67" s="18">
        <v>18510</v>
      </c>
      <c r="D67" s="19" t="s">
        <v>38</v>
      </c>
      <c r="E67" s="50"/>
    </row>
    <row r="68" spans="2:5" ht="18" customHeight="1" x14ac:dyDescent="0.25">
      <c r="B68" s="220"/>
      <c r="C68" s="32">
        <f>SUM(C69:C79)</f>
        <v>35720828</v>
      </c>
      <c r="D68" s="33"/>
      <c r="E68" s="7"/>
    </row>
    <row r="69" spans="2:5" ht="18" customHeight="1" x14ac:dyDescent="0.25">
      <c r="B69" s="220"/>
      <c r="C69" s="20">
        <v>5000000</v>
      </c>
      <c r="D69" s="19" t="s">
        <v>32</v>
      </c>
      <c r="E69" s="213" t="s">
        <v>49</v>
      </c>
    </row>
    <row r="70" spans="2:5" ht="18" customHeight="1" x14ac:dyDescent="0.25">
      <c r="B70" s="220"/>
      <c r="C70" s="18">
        <v>2024000</v>
      </c>
      <c r="D70" s="19" t="s">
        <v>37</v>
      </c>
      <c r="E70" s="214"/>
    </row>
    <row r="71" spans="2:5" ht="18" customHeight="1" x14ac:dyDescent="0.25">
      <c r="B71" s="220"/>
      <c r="C71" s="18">
        <v>550000</v>
      </c>
      <c r="D71" s="19" t="s">
        <v>35</v>
      </c>
      <c r="E71" s="214"/>
    </row>
    <row r="72" spans="2:5" ht="18" customHeight="1" x14ac:dyDescent="0.25">
      <c r="B72" s="220"/>
      <c r="C72" s="20">
        <v>297000</v>
      </c>
      <c r="D72" s="21" t="s">
        <v>31</v>
      </c>
      <c r="E72" s="214"/>
    </row>
    <row r="73" spans="2:5" ht="18" customHeight="1" x14ac:dyDescent="0.25">
      <c r="B73" s="220"/>
      <c r="C73" s="37">
        <v>54000</v>
      </c>
      <c r="D73" s="38" t="s">
        <v>41</v>
      </c>
      <c r="E73" s="214"/>
    </row>
    <row r="74" spans="2:5" ht="18" customHeight="1" x14ac:dyDescent="0.25">
      <c r="B74" s="220"/>
      <c r="C74" s="34">
        <v>13215500</v>
      </c>
      <c r="D74" s="35" t="s">
        <v>0</v>
      </c>
      <c r="E74" s="215" t="s">
        <v>73</v>
      </c>
    </row>
    <row r="75" spans="2:5" ht="18" customHeight="1" x14ac:dyDescent="0.25">
      <c r="B75" s="220"/>
      <c r="C75" s="34">
        <v>1431000</v>
      </c>
      <c r="D75" s="35" t="s">
        <v>70</v>
      </c>
      <c r="E75" s="214"/>
    </row>
    <row r="76" spans="2:5" ht="18" customHeight="1" x14ac:dyDescent="0.25">
      <c r="B76" s="220"/>
      <c r="C76" s="34">
        <v>3323000</v>
      </c>
      <c r="D76" s="35" t="s">
        <v>71</v>
      </c>
      <c r="E76" s="214"/>
    </row>
    <row r="77" spans="2:5" ht="18" customHeight="1" x14ac:dyDescent="0.25">
      <c r="B77" s="220"/>
      <c r="C77" s="34">
        <v>4826328</v>
      </c>
      <c r="D77" s="35" t="s">
        <v>72</v>
      </c>
      <c r="E77" s="214"/>
    </row>
    <row r="78" spans="2:5" ht="18" customHeight="1" x14ac:dyDescent="0.25">
      <c r="B78" s="220"/>
      <c r="C78" s="34">
        <v>4000000</v>
      </c>
      <c r="D78" s="35" t="s">
        <v>8</v>
      </c>
      <c r="E78" s="214"/>
    </row>
    <row r="79" spans="2:5" ht="18" customHeight="1" x14ac:dyDescent="0.25">
      <c r="B79" s="221"/>
      <c r="C79" s="51">
        <v>1000000</v>
      </c>
      <c r="D79" s="52" t="s">
        <v>1</v>
      </c>
      <c r="E79" s="216"/>
    </row>
    <row r="80" spans="2:5" ht="18" customHeight="1" x14ac:dyDescent="0.25">
      <c r="B80" s="220" t="s">
        <v>20</v>
      </c>
      <c r="C80" s="26">
        <f>SUM(C81:C87)</f>
        <v>15217084</v>
      </c>
      <c r="D80" s="27"/>
      <c r="E80" s="40"/>
    </row>
    <row r="81" spans="2:5" ht="18" customHeight="1" x14ac:dyDescent="0.25">
      <c r="B81" s="220"/>
      <c r="C81" s="18">
        <v>6400000</v>
      </c>
      <c r="D81" s="19" t="s">
        <v>24</v>
      </c>
      <c r="E81" s="50"/>
    </row>
    <row r="82" spans="2:5" ht="18" customHeight="1" x14ac:dyDescent="0.25">
      <c r="B82" s="220"/>
      <c r="C82" s="18">
        <v>3650000</v>
      </c>
      <c r="D82" s="19" t="s">
        <v>25</v>
      </c>
      <c r="E82" s="50"/>
    </row>
    <row r="83" spans="2:5" ht="18" customHeight="1" x14ac:dyDescent="0.25">
      <c r="B83" s="220"/>
      <c r="C83" s="18">
        <v>2100000</v>
      </c>
      <c r="D83" s="19" t="s">
        <v>27</v>
      </c>
      <c r="E83" s="50"/>
    </row>
    <row r="84" spans="2:5" ht="18" customHeight="1" x14ac:dyDescent="0.25">
      <c r="B84" s="220"/>
      <c r="C84" s="18">
        <v>1987084</v>
      </c>
      <c r="D84" s="19" t="s">
        <v>26</v>
      </c>
      <c r="E84" s="50"/>
    </row>
    <row r="85" spans="2:5" ht="18" customHeight="1" x14ac:dyDescent="0.25">
      <c r="B85" s="220"/>
      <c r="C85" s="18">
        <v>1080000</v>
      </c>
      <c r="D85" s="19" t="s">
        <v>22</v>
      </c>
      <c r="E85" s="50"/>
    </row>
    <row r="86" spans="2:5" ht="18" customHeight="1" x14ac:dyDescent="0.25">
      <c r="B86" s="220"/>
      <c r="C86" s="18">
        <v>0</v>
      </c>
      <c r="D86" s="19" t="s">
        <v>21</v>
      </c>
      <c r="E86" s="50"/>
    </row>
    <row r="87" spans="2:5" ht="18" customHeight="1" x14ac:dyDescent="0.25">
      <c r="B87" s="220"/>
      <c r="C87" s="18">
        <v>0</v>
      </c>
      <c r="D87" s="19" t="s">
        <v>23</v>
      </c>
      <c r="E87" s="44"/>
    </row>
    <row r="88" spans="2:5" ht="18" customHeight="1" x14ac:dyDescent="0.25">
      <c r="B88" s="25" t="s">
        <v>13</v>
      </c>
      <c r="C88" s="24">
        <f>C80+C51+C58</f>
        <v>67757448</v>
      </c>
      <c r="D88" s="25"/>
      <c r="E88" s="5"/>
    </row>
  </sheetData>
  <mergeCells count="20">
    <mergeCell ref="B80:B87"/>
    <mergeCell ref="B41:B42"/>
    <mergeCell ref="B43:B44"/>
    <mergeCell ref="B45:B46"/>
    <mergeCell ref="B51:B57"/>
    <mergeCell ref="B58:B79"/>
    <mergeCell ref="E69:E73"/>
    <mergeCell ref="E74:E79"/>
    <mergeCell ref="B11:B12"/>
    <mergeCell ref="C11:E12"/>
    <mergeCell ref="B13:B14"/>
    <mergeCell ref="C13:E14"/>
    <mergeCell ref="B18:B32"/>
    <mergeCell ref="B37:B40"/>
    <mergeCell ref="B2:E2"/>
    <mergeCell ref="B4:E4"/>
    <mergeCell ref="C7:E7"/>
    <mergeCell ref="C8:E8"/>
    <mergeCell ref="B9:B10"/>
    <mergeCell ref="C9:E10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summary1</vt:lpstr>
      <vt:lpstr>summary2</vt:lpstr>
      <vt:lpstr>summary3</vt:lpstr>
      <vt:lpstr>summary4</vt:lpstr>
      <vt:lpstr>summary5</vt:lpstr>
      <vt:lpstr>summary6</vt:lpstr>
      <vt:lpstr>summary7</vt:lpstr>
      <vt:lpstr>summary8</vt:lpstr>
      <vt:lpstr>summary9</vt:lpstr>
      <vt:lpstr>summary10</vt:lpstr>
      <vt:lpstr>summary11</vt:lpstr>
      <vt:lpstr>summary12</vt:lpstr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2025-10-10T06:48:48Z</cp:lastPrinted>
  <dcterms:created xsi:type="dcterms:W3CDTF">2025-08-07T02:48:53Z</dcterms:created>
  <dcterms:modified xsi:type="dcterms:W3CDTF">2025-10-10T06:49:01Z</dcterms:modified>
</cp:coreProperties>
</file>