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N:\개인\1.공유문서\스테이지\"/>
    </mc:Choice>
  </mc:AlternateContent>
  <xr:revisionPtr revIDLastSave="0" documentId="13_ncr:1_{E55B682B-EE88-4E4B-91F8-54555D19655D}" xr6:coauthVersionLast="47" xr6:coauthVersionMax="47" xr10:uidLastSave="{00000000-0000-0000-0000-000000000000}"/>
  <bookViews>
    <workbookView xWindow="22932" yWindow="1992" windowWidth="23256" windowHeight="12456" tabRatio="830" firstSheet="14" activeTab="23" xr2:uid="{0395AC80-D8F5-4491-9C0A-EAFCDC923F59}"/>
  </bookViews>
  <sheets>
    <sheet name="Sheet11" sheetId="15" r:id="rId1"/>
    <sheet name="권한" sheetId="4" r:id="rId2"/>
    <sheet name="Sheet1 (11)" sheetId="13" r:id="rId3"/>
    <sheet name="Sheet1" sheetId="1" r:id="rId4"/>
    <sheet name="Sheet1 (2)" sheetId="3" r:id="rId5"/>
    <sheet name="Sheet1 (3)" sheetId="5" r:id="rId6"/>
    <sheet name="Sheet1 (10)" sheetId="12" r:id="rId7"/>
    <sheet name="Sheet1 (4)" sheetId="6" r:id="rId8"/>
    <sheet name="Sheet1 (5)" sheetId="7" r:id="rId9"/>
    <sheet name="Sheet1 (6)" sheetId="8" r:id="rId10"/>
    <sheet name="Sheet1 (7)" sheetId="9" r:id="rId11"/>
    <sheet name="Sheet1 (8)" sheetId="10" r:id="rId12"/>
    <sheet name="Sheet1 (9)" sheetId="11" r:id="rId13"/>
    <sheet name="Sheet1 (12)" sheetId="14" r:id="rId14"/>
    <sheet name="Sheet1 (15)" sheetId="18" r:id="rId15"/>
    <sheet name="Sheet1 (16)" sheetId="19" r:id="rId16"/>
    <sheet name="Sheet1 (17)" sheetId="20" r:id="rId17"/>
    <sheet name="Sheet1 (18)" sheetId="21" r:id="rId18"/>
    <sheet name="Sheet1 (19)" sheetId="22" r:id="rId19"/>
    <sheet name="Sheet1 (20)" sheetId="23" r:id="rId20"/>
    <sheet name="Sheet1 (23)" sheetId="26" r:id="rId21"/>
    <sheet name="Sheet1 (14)" sheetId="17" r:id="rId22"/>
    <sheet name="Sheet1 (21)" sheetId="24" r:id="rId23"/>
    <sheet name="Sheet1 (22)" sheetId="25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5" l="1"/>
  <c r="D5" i="15"/>
  <c r="D6" i="15"/>
  <c r="D7" i="15"/>
</calcChain>
</file>

<file path=xl/sharedStrings.xml><?xml version="1.0" encoding="utf-8"?>
<sst xmlns="http://schemas.openxmlformats.org/spreadsheetml/2006/main" count="1452" uniqueCount="276">
  <si>
    <t>권한</t>
    <phoneticPr fontId="1" type="noConversion"/>
  </si>
  <si>
    <t>홈</t>
    <phoneticPr fontId="1" type="noConversion"/>
  </si>
  <si>
    <t>실시간</t>
    <phoneticPr fontId="1" type="noConversion"/>
  </si>
  <si>
    <t>S(숙박) 100/50</t>
    <phoneticPr fontId="1" type="noConversion"/>
  </si>
  <si>
    <t>u(대실) 100/50</t>
    <phoneticPr fontId="1" type="noConversion"/>
  </si>
  <si>
    <t>매출 3,000,000</t>
    <phoneticPr fontId="1" type="noConversion"/>
  </si>
  <si>
    <t>근무자 홍길동</t>
    <phoneticPr fontId="1" type="noConversion"/>
  </si>
  <si>
    <t>프로젝트A</t>
    <phoneticPr fontId="1" type="noConversion"/>
  </si>
  <si>
    <t>프로젝트B</t>
    <phoneticPr fontId="1" type="noConversion"/>
  </si>
  <si>
    <t>프로젝트C</t>
    <phoneticPr fontId="1" type="noConversion"/>
  </si>
  <si>
    <t>프로젝트D</t>
    <phoneticPr fontId="1" type="noConversion"/>
  </si>
  <si>
    <t>지점</t>
    <phoneticPr fontId="1" type="noConversion"/>
  </si>
  <si>
    <t>재무</t>
    <phoneticPr fontId="1" type="noConversion"/>
  </si>
  <si>
    <t>자산</t>
    <phoneticPr fontId="1" type="noConversion"/>
  </si>
  <si>
    <t>이벤트</t>
    <phoneticPr fontId="1" type="noConversion"/>
  </si>
  <si>
    <t>카테고리</t>
    <phoneticPr fontId="1" type="noConversion"/>
  </si>
  <si>
    <t>1,2,3,4,페이지 &gt;</t>
    <phoneticPr fontId="1" type="noConversion"/>
  </si>
  <si>
    <t>로그인</t>
    <phoneticPr fontId="1" type="noConversion"/>
  </si>
  <si>
    <t>마스터</t>
    <phoneticPr fontId="1" type="noConversion"/>
  </si>
  <si>
    <t>팀장</t>
    <phoneticPr fontId="1" type="noConversion"/>
  </si>
  <si>
    <t>매니저</t>
    <phoneticPr fontId="1" type="noConversion"/>
  </si>
  <si>
    <t>CLIENT</t>
    <phoneticPr fontId="1" type="noConversion"/>
  </si>
  <si>
    <t>project</t>
    <phoneticPr fontId="1" type="noConversion"/>
  </si>
  <si>
    <t>명칭</t>
    <phoneticPr fontId="1" type="noConversion"/>
  </si>
  <si>
    <t>순위</t>
    <phoneticPr fontId="1" type="noConversion"/>
  </si>
  <si>
    <t xml:space="preserve">전체 </t>
    <phoneticPr fontId="1" type="noConversion"/>
  </si>
  <si>
    <t>읽기</t>
    <phoneticPr fontId="1" type="noConversion"/>
  </si>
  <si>
    <t>쓰기</t>
    <phoneticPr fontId="1" type="noConversion"/>
  </si>
  <si>
    <t>편집</t>
    <phoneticPr fontId="1" type="noConversion"/>
  </si>
  <si>
    <t>해당매장</t>
    <phoneticPr fontId="1" type="noConversion"/>
  </si>
  <si>
    <t>계정관리</t>
    <phoneticPr fontId="1" type="noConversion"/>
  </si>
  <si>
    <t>삭제</t>
    <phoneticPr fontId="1" type="noConversion"/>
  </si>
  <si>
    <t>생성</t>
    <phoneticPr fontId="1" type="noConversion"/>
  </si>
  <si>
    <t>권한 부여</t>
    <phoneticPr fontId="1" type="noConversion"/>
  </si>
  <si>
    <t>인증</t>
    <phoneticPr fontId="1" type="noConversion"/>
  </si>
  <si>
    <t>계정 인증</t>
    <phoneticPr fontId="1" type="noConversion"/>
  </si>
  <si>
    <t>보안 인증</t>
    <phoneticPr fontId="1" type="noConversion"/>
  </si>
  <si>
    <t>PW변경</t>
    <phoneticPr fontId="1" type="noConversion"/>
  </si>
  <si>
    <t>리스트</t>
    <phoneticPr fontId="1" type="noConversion"/>
  </si>
  <si>
    <t>ip</t>
    <phoneticPr fontId="1" type="noConversion"/>
  </si>
  <si>
    <t>기기</t>
    <phoneticPr fontId="1" type="noConversion"/>
  </si>
  <si>
    <t>1회</t>
    <phoneticPr fontId="1" type="noConversion"/>
  </si>
  <si>
    <t>모바일</t>
    <phoneticPr fontId="1" type="noConversion"/>
  </si>
  <si>
    <t>비고</t>
    <phoneticPr fontId="1" type="noConversion"/>
  </si>
  <si>
    <t xml:space="preserve">comment </t>
    <phoneticPr fontId="1" type="noConversion"/>
  </si>
  <si>
    <t>100( 보유 객실)</t>
    <phoneticPr fontId="1" type="noConversion"/>
  </si>
  <si>
    <t>50(판매 객실)</t>
    <phoneticPr fontId="1" type="noConversion"/>
  </si>
  <si>
    <t>당월 누적매출</t>
    <phoneticPr fontId="1" type="noConversion"/>
  </si>
  <si>
    <t>S(숙박) 10,000,000</t>
    <phoneticPr fontId="1" type="noConversion"/>
  </si>
  <si>
    <t>u(대실) 10,000,000</t>
    <phoneticPr fontId="1" type="noConversion"/>
  </si>
  <si>
    <t>매출 20,000,000</t>
    <phoneticPr fontId="1" type="noConversion"/>
  </si>
  <si>
    <t>예상매출 60,000,000</t>
    <phoneticPr fontId="1" type="noConversion"/>
  </si>
  <si>
    <t>ADR 70,000</t>
    <phoneticPr fontId="1" type="noConversion"/>
  </si>
  <si>
    <t>ADR (객단가) 숙박매출 / 숙박판매객실 수 (대실 제외)</t>
    <phoneticPr fontId="1" type="noConversion"/>
  </si>
  <si>
    <t>REVPAR 숙박매출 / 가용객실수</t>
    <phoneticPr fontId="1" type="noConversion"/>
  </si>
  <si>
    <t>예상매출 76,923,076</t>
    <phoneticPr fontId="1" type="noConversion"/>
  </si>
  <si>
    <t>예상 매출 = (현재 매출 ÷ 현재 날짜) × 전체 일수(31일)</t>
    <phoneticPr fontId="1" type="noConversion"/>
  </si>
  <si>
    <t>OCC율</t>
    <phoneticPr fontId="1" type="noConversion"/>
  </si>
  <si>
    <t>S(숙박) 50% / 전월 60%</t>
    <phoneticPr fontId="1" type="noConversion"/>
  </si>
  <si>
    <t>u(대실) 30% /전월 40%</t>
    <phoneticPr fontId="1" type="noConversion"/>
  </si>
  <si>
    <t>total 40%/ 전월 50%</t>
    <phoneticPr fontId="1" type="noConversion"/>
  </si>
  <si>
    <t>전월은 같은 기간 비교</t>
    <phoneticPr fontId="1" type="noConversion"/>
  </si>
  <si>
    <t>프로젝트 클릭시 해당 프로젝트 지점 상세 페이지 메인페이지로 이동</t>
    <phoneticPr fontId="1" type="noConversion"/>
  </si>
  <si>
    <t>프로젝트 클릭시 해당 프로젝트 지점 상세 페이지 판매일보 페이지로 이동</t>
    <phoneticPr fontId="1" type="noConversion"/>
  </si>
  <si>
    <t>프로젝트 클릭시 해당 프로젝트 지점 상세 페이지 예약 페이지로 이동</t>
    <phoneticPr fontId="1" type="noConversion"/>
  </si>
  <si>
    <t>날짜</t>
    <phoneticPr fontId="1" type="noConversion"/>
  </si>
  <si>
    <t>시간</t>
    <phoneticPr fontId="1" type="noConversion"/>
  </si>
  <si>
    <t>호텔</t>
    <phoneticPr fontId="1" type="noConversion"/>
  </si>
  <si>
    <t>펜션</t>
    <phoneticPr fontId="1" type="noConversion"/>
  </si>
  <si>
    <t>캠핑</t>
    <phoneticPr fontId="1" type="noConversion"/>
  </si>
  <si>
    <t>F&amp;B</t>
    <phoneticPr fontId="1" type="noConversion"/>
  </si>
  <si>
    <t>기타</t>
    <phoneticPr fontId="1" type="noConversion"/>
  </si>
  <si>
    <t>검색</t>
    <phoneticPr fontId="1" type="noConversion"/>
  </si>
  <si>
    <t>시</t>
    <phoneticPr fontId="1" type="noConversion"/>
  </si>
  <si>
    <t>구</t>
    <phoneticPr fontId="1" type="noConversion"/>
  </si>
  <si>
    <t>프로젝트명</t>
    <phoneticPr fontId="1" type="noConversion"/>
  </si>
  <si>
    <t xml:space="preserve">업종별 동일 </t>
    <phoneticPr fontId="1" type="noConversion"/>
  </si>
  <si>
    <t>지역</t>
    <phoneticPr fontId="1" type="noConversion"/>
  </si>
  <si>
    <t>프로트명</t>
    <phoneticPr fontId="1" type="noConversion"/>
  </si>
  <si>
    <t>지역 검색 가능</t>
    <phoneticPr fontId="1" type="noConversion"/>
  </si>
  <si>
    <t>프로젝트로 가능</t>
    <phoneticPr fontId="1" type="noConversion"/>
  </si>
  <si>
    <t>서울 은평구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</si>
  <si>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</si>
  <si>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</si>
  <si>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</si>
  <si>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클릭 (선택) ( 상세 페이지로 이동)</t>
    <phoneticPr fontId="1" type="noConversion"/>
  </si>
  <si>
    <t>PMS</t>
    <phoneticPr fontId="1" type="noConversion"/>
  </si>
  <si>
    <t>판매일보</t>
    <phoneticPr fontId="1" type="noConversion"/>
  </si>
  <si>
    <t>직원관리</t>
    <phoneticPr fontId="1" type="noConversion"/>
  </si>
  <si>
    <t>자산관리</t>
    <phoneticPr fontId="1" type="noConversion"/>
  </si>
  <si>
    <t>↓</t>
    <phoneticPr fontId="1" type="noConversion"/>
  </si>
  <si>
    <t>→</t>
    <phoneticPr fontId="1" type="noConversion"/>
  </si>
  <si>
    <t>입실시간</t>
    <phoneticPr fontId="1" type="noConversion"/>
  </si>
  <si>
    <t>경과시간</t>
    <phoneticPr fontId="1" type="noConversion"/>
  </si>
  <si>
    <t>입실</t>
    <phoneticPr fontId="1" type="noConversion"/>
  </si>
  <si>
    <t>공실</t>
    <phoneticPr fontId="1" type="noConversion"/>
  </si>
  <si>
    <t>청소요청</t>
    <phoneticPr fontId="1" type="noConversion"/>
  </si>
  <si>
    <t>청소중</t>
    <phoneticPr fontId="1" type="noConversion"/>
  </si>
  <si>
    <t>청소 완료</t>
    <phoneticPr fontId="1" type="noConversion"/>
  </si>
  <si>
    <t>점검중</t>
    <phoneticPr fontId="1" type="noConversion"/>
  </si>
  <si>
    <t>호실의 상태 색삭으로 구분</t>
    <phoneticPr fontId="1" type="noConversion"/>
  </si>
  <si>
    <t>판매불가</t>
    <phoneticPr fontId="1" type="noConversion"/>
  </si>
  <si>
    <t>호실 클릭 새로운 창 아래항목 선택시</t>
    <phoneticPr fontId="1" type="noConversion"/>
  </si>
  <si>
    <t>101/스탠다드</t>
    <phoneticPr fontId="1" type="noConversion"/>
  </si>
  <si>
    <t>102/디럭스</t>
    <phoneticPr fontId="1" type="noConversion"/>
  </si>
  <si>
    <t>103/스위트</t>
    <phoneticPr fontId="1" type="noConversion"/>
  </si>
  <si>
    <t>104/로얄스위트</t>
    <phoneticPr fontId="1" type="noConversion"/>
  </si>
  <si>
    <t>105/트윈</t>
    <phoneticPr fontId="1" type="noConversion"/>
  </si>
  <si>
    <t>야 홍실동</t>
    <phoneticPr fontId="1" type="noConversion"/>
  </si>
  <si>
    <t>부킹 전지현</t>
    <phoneticPr fontId="1" type="noConversion"/>
  </si>
  <si>
    <t>아고 BTS</t>
    <phoneticPr fontId="1" type="noConversion"/>
  </si>
  <si>
    <t>네 김정남</t>
    <phoneticPr fontId="1" type="noConversion"/>
  </si>
  <si>
    <t>.</t>
    <phoneticPr fontId="1" type="noConversion"/>
  </si>
  <si>
    <t>201/스탠다드</t>
    <phoneticPr fontId="1" type="noConversion"/>
  </si>
  <si>
    <t>202/디럭스</t>
    <phoneticPr fontId="1" type="noConversion"/>
  </si>
  <si>
    <t>203/스위트</t>
    <phoneticPr fontId="1" type="noConversion"/>
  </si>
  <si>
    <t>204/로얄스위트</t>
    <phoneticPr fontId="1" type="noConversion"/>
  </si>
  <si>
    <t>205/트윈</t>
    <phoneticPr fontId="1" type="noConversion"/>
  </si>
  <si>
    <t>에어 홍실동</t>
    <phoneticPr fontId="1" type="noConversion"/>
  </si>
  <si>
    <t>익스 김혜수</t>
    <phoneticPr fontId="1" type="noConversion"/>
  </si>
  <si>
    <t>트립 전지현</t>
    <phoneticPr fontId="1" type="noConversion"/>
  </si>
  <si>
    <t>워 BTS</t>
    <phoneticPr fontId="1" type="noConversion"/>
  </si>
  <si>
    <t>U = 대실</t>
    <phoneticPr fontId="1" type="noConversion"/>
  </si>
  <si>
    <t xml:space="preserve">S = 숙박 </t>
    <phoneticPr fontId="1" type="noConversion"/>
  </si>
  <si>
    <t>연박</t>
    <phoneticPr fontId="1" type="noConversion"/>
  </si>
  <si>
    <t>입
실</t>
    <phoneticPr fontId="1" type="noConversion"/>
  </si>
  <si>
    <t>입실시간12:00</t>
    <phoneticPr fontId="1" type="noConversion"/>
  </si>
  <si>
    <t>경과시간 01:00</t>
    <phoneticPr fontId="1" type="noConversion"/>
  </si>
  <si>
    <t>판매</t>
    <phoneticPr fontId="1" type="noConversion"/>
  </si>
  <si>
    <t>U</t>
    <phoneticPr fontId="1" type="noConversion"/>
  </si>
  <si>
    <t>온라인</t>
    <phoneticPr fontId="1" type="noConversion"/>
  </si>
  <si>
    <t>카드</t>
    <phoneticPr fontId="1" type="noConversion"/>
  </si>
  <si>
    <t>현</t>
    <phoneticPr fontId="1" type="noConversion"/>
  </si>
  <si>
    <t>S</t>
    <phoneticPr fontId="1" type="noConversion"/>
  </si>
  <si>
    <t>리포트</t>
    <phoneticPr fontId="1" type="noConversion"/>
  </si>
  <si>
    <t>경비</t>
    <phoneticPr fontId="1" type="noConversion"/>
  </si>
  <si>
    <t>매출</t>
    <phoneticPr fontId="1" type="noConversion"/>
  </si>
  <si>
    <t>클릭시</t>
    <phoneticPr fontId="1" type="noConversion"/>
  </si>
  <si>
    <t>호실 클릭  재무</t>
    <phoneticPr fontId="1" type="noConversion"/>
  </si>
  <si>
    <t xml:space="preserve">호실 클릭 새로운 창 </t>
    <phoneticPr fontId="1" type="noConversion"/>
  </si>
  <si>
    <t>실시간 숙소 객실 판매 현황 대시보드</t>
    <phoneticPr fontId="1" type="noConversion"/>
  </si>
  <si>
    <t>클릭시 위로 새로운창</t>
    <phoneticPr fontId="1" type="noConversion"/>
  </si>
  <si>
    <t>호실 클릭 위로 새로운 창 아래항목 선택시</t>
    <phoneticPr fontId="1" type="noConversion"/>
  </si>
  <si>
    <t>설정</t>
    <phoneticPr fontId="1" type="noConversion"/>
  </si>
  <si>
    <t>예약자</t>
    <phoneticPr fontId="1" type="noConversion"/>
  </si>
  <si>
    <t>요금표시 : 50,000</t>
    <phoneticPr fontId="1" type="noConversion"/>
  </si>
  <si>
    <t xml:space="preserve"> + 1000(클릭)</t>
    <phoneticPr fontId="1" type="noConversion"/>
  </si>
  <si>
    <t xml:space="preserve"> - 1000(클릭)</t>
    <phoneticPr fontId="1" type="noConversion"/>
  </si>
  <si>
    <t>숙박  /  대실 (클릭선택)</t>
    <phoneticPr fontId="1" type="noConversion"/>
  </si>
  <si>
    <t>요금 입력(가능) 50,000</t>
    <phoneticPr fontId="1" type="noConversion"/>
  </si>
  <si>
    <t>인원 감소/ 인원추가</t>
    <phoneticPr fontId="1" type="noConversion"/>
  </si>
  <si>
    <t>시간 추가/ 시간 감소</t>
    <phoneticPr fontId="1" type="noConversion"/>
  </si>
  <si>
    <t>숙박추가/ 숙박 감소</t>
    <phoneticPr fontId="1" type="noConversion"/>
  </si>
  <si>
    <t>부분 결제</t>
    <phoneticPr fontId="1" type="noConversion"/>
  </si>
  <si>
    <t>현금</t>
    <phoneticPr fontId="1" type="noConversion"/>
  </si>
  <si>
    <t>아고다</t>
    <phoneticPr fontId="1" type="noConversion"/>
  </si>
  <si>
    <t>부킹닷컴</t>
    <phoneticPr fontId="1" type="noConversion"/>
  </si>
  <si>
    <t>익스피디아</t>
    <phoneticPr fontId="1" type="noConversion"/>
  </si>
  <si>
    <t>트립닷컴</t>
    <phoneticPr fontId="1" type="noConversion"/>
  </si>
  <si>
    <t>에어비앤비</t>
    <phoneticPr fontId="1" type="noConversion"/>
  </si>
  <si>
    <t>네이버</t>
    <phoneticPr fontId="1" type="noConversion"/>
  </si>
  <si>
    <t>워크인</t>
    <phoneticPr fontId="1" type="noConversion"/>
  </si>
  <si>
    <t>객실 이력</t>
    <phoneticPr fontId="1" type="noConversion"/>
  </si>
  <si>
    <t xml:space="preserve">로그 </t>
    <phoneticPr fontId="1" type="noConversion"/>
  </si>
  <si>
    <t>객실 상태</t>
    <phoneticPr fontId="1" type="noConversion"/>
  </si>
  <si>
    <r>
      <t>채널(원클릭 드릴다운)</t>
    </r>
    <r>
      <rPr>
        <sz val="11"/>
        <color theme="1"/>
        <rFont val="맑은 고딕"/>
        <family val="3"/>
        <charset val="129"/>
      </rPr>
      <t>▼</t>
    </r>
    <phoneticPr fontId="1" type="noConversion"/>
  </si>
  <si>
    <t>채널(원클릭 드릴다운)▼</t>
  </si>
  <si>
    <t>퇴실</t>
    <phoneticPr fontId="1" type="noConversion"/>
  </si>
  <si>
    <t>청소완료</t>
    <phoneticPr fontId="1" type="noConversion"/>
  </si>
  <si>
    <t>판매 취소</t>
    <phoneticPr fontId="1" type="noConversion"/>
  </si>
  <si>
    <t>메모</t>
    <phoneticPr fontId="1" type="noConversion"/>
  </si>
  <si>
    <t>숙박 → 대실 변경</t>
    <phoneticPr fontId="1" type="noConversion"/>
  </si>
  <si>
    <t>대실 → 숙박 변경</t>
    <phoneticPr fontId="1" type="noConversion"/>
  </si>
  <si>
    <t>예약</t>
    <phoneticPr fontId="1" type="noConversion"/>
  </si>
  <si>
    <t>추가요금</t>
    <phoneticPr fontId="1" type="noConversion"/>
  </si>
  <si>
    <t>이용시간</t>
    <phoneticPr fontId="1" type="noConversion"/>
  </si>
  <si>
    <t>퇴실시간</t>
    <phoneticPr fontId="1" type="noConversion"/>
  </si>
  <si>
    <t>객실이동 :사유</t>
    <phoneticPr fontId="1" type="noConversion"/>
  </si>
  <si>
    <t>근무자</t>
    <phoneticPr fontId="1" type="noConversion"/>
  </si>
  <si>
    <t>홍길동</t>
    <phoneticPr fontId="1" type="noConversion"/>
  </si>
  <si>
    <t>당일 실시간 타입별 재고량 스탠다드 10/5  , 디럭스 10/6, 스위트 10/7, 로얄스위트 10/8 , 트윈 10/1</t>
    <phoneticPr fontId="1" type="noConversion"/>
  </si>
  <si>
    <t>(드릴다운)</t>
    <phoneticPr fontId="1" type="noConversion"/>
  </si>
  <si>
    <t>판매 /예약 리스트 대시보드</t>
    <phoneticPr fontId="1" type="noConversion"/>
  </si>
  <si>
    <t>C/I</t>
    <phoneticPr fontId="1" type="noConversion"/>
  </si>
  <si>
    <t>C/O</t>
    <phoneticPr fontId="1" type="noConversion"/>
  </si>
  <si>
    <r>
      <t>채널(드릴다운)</t>
    </r>
    <r>
      <rPr>
        <sz val="11"/>
        <color theme="1"/>
        <rFont val="맑은 고딕"/>
        <family val="3"/>
        <charset val="129"/>
      </rPr>
      <t>▼</t>
    </r>
    <phoneticPr fontId="1" type="noConversion"/>
  </si>
  <si>
    <t>선결제</t>
    <phoneticPr fontId="1" type="noConversion"/>
  </si>
  <si>
    <t>금액</t>
    <phoneticPr fontId="1" type="noConversion"/>
  </si>
  <si>
    <t>이동수단</t>
    <phoneticPr fontId="1" type="noConversion"/>
  </si>
  <si>
    <t>차량번호</t>
    <phoneticPr fontId="1" type="noConversion"/>
  </si>
  <si>
    <t>(드릴다운)▼</t>
    <phoneticPr fontId="1" type="noConversion"/>
  </si>
  <si>
    <t>현금(자동)</t>
    <phoneticPr fontId="1" type="noConversion"/>
  </si>
  <si>
    <t>카드(자동)</t>
    <phoneticPr fontId="1" type="noConversion"/>
  </si>
  <si>
    <t>워킹</t>
    <phoneticPr fontId="1" type="noConversion"/>
  </si>
  <si>
    <t>차량</t>
    <phoneticPr fontId="1" type="noConversion"/>
  </si>
  <si>
    <t>이체</t>
    <phoneticPr fontId="1" type="noConversion"/>
  </si>
  <si>
    <t>이체(자동)</t>
    <phoneticPr fontId="1" type="noConversion"/>
  </si>
  <si>
    <t>년월일 (검색)</t>
    <phoneticPr fontId="1" type="noConversion"/>
  </si>
  <si>
    <t>판매금액: 50,000</t>
    <phoneticPr fontId="1" type="noConversion"/>
  </si>
  <si>
    <t>호실</t>
    <phoneticPr fontId="1" type="noConversion"/>
  </si>
  <si>
    <t>객실 상태 ▼</t>
    <phoneticPr fontId="1" type="noConversion"/>
  </si>
  <si>
    <t>NO.</t>
    <phoneticPr fontId="1" type="noConversion"/>
  </si>
  <si>
    <t>S숙박(1번 페이지</t>
    <phoneticPr fontId="1" type="noConversion"/>
  </si>
  <si>
    <t>U대실(2번페이지)</t>
    <phoneticPr fontId="1" type="noConversion"/>
  </si>
  <si>
    <t>결제수단▼</t>
    <phoneticPr fontId="1" type="noConversion"/>
  </si>
  <si>
    <t>어메니티▼</t>
    <phoneticPr fontId="1" type="noConversion"/>
  </si>
  <si>
    <t>근무지</t>
    <phoneticPr fontId="1" type="noConversion"/>
  </si>
  <si>
    <t>예약현황</t>
    <phoneticPr fontId="1" type="noConversion"/>
  </si>
  <si>
    <t>월</t>
    <phoneticPr fontId="1" type="noConversion"/>
  </si>
  <si>
    <r>
      <t>(드릴다운)</t>
    </r>
    <r>
      <rPr>
        <sz val="11"/>
        <color theme="1"/>
        <rFont val="맑은 고딕"/>
        <family val="3"/>
        <charset val="129"/>
      </rPr>
      <t>▼</t>
    </r>
    <phoneticPr fontId="1" type="noConversion"/>
  </si>
  <si>
    <t>프로젝트</t>
    <phoneticPr fontId="1" type="noConversion"/>
  </si>
  <si>
    <t>스탠다드</t>
    <phoneticPr fontId="1" type="noConversion"/>
  </si>
  <si>
    <t>디럭스</t>
    <phoneticPr fontId="1" type="noConversion"/>
  </si>
  <si>
    <t>스위트</t>
    <phoneticPr fontId="1" type="noConversion"/>
  </si>
  <si>
    <t>로얄스위트</t>
    <phoneticPr fontId="1" type="noConversion"/>
  </si>
  <si>
    <t>가동율</t>
    <phoneticPr fontId="1" type="noConversion"/>
  </si>
  <si>
    <t>판매수량</t>
    <phoneticPr fontId="1" type="noConversion"/>
  </si>
  <si>
    <t>프로제트별</t>
    <phoneticPr fontId="1" type="noConversion"/>
  </si>
  <si>
    <t>출력</t>
    <phoneticPr fontId="1" type="noConversion"/>
  </si>
  <si>
    <t>엑셀 다운</t>
    <phoneticPr fontId="1" type="noConversion"/>
  </si>
  <si>
    <t>프로젝트 명</t>
    <phoneticPr fontId="1" type="noConversion"/>
  </si>
  <si>
    <t>성명</t>
    <phoneticPr fontId="1" type="noConversion"/>
  </si>
  <si>
    <t>출근</t>
    <phoneticPr fontId="1" type="noConversion"/>
  </si>
  <si>
    <t>더블</t>
    <phoneticPr fontId="1" type="noConversion"/>
  </si>
  <si>
    <t>추가근무</t>
    <phoneticPr fontId="1" type="noConversion"/>
  </si>
  <si>
    <t>제주 A</t>
    <phoneticPr fontId="1" type="noConversion"/>
  </si>
  <si>
    <t>OT</t>
    <phoneticPr fontId="1" type="noConversion"/>
  </si>
  <si>
    <t>프로젝트 용</t>
    <phoneticPr fontId="1" type="noConversion"/>
  </si>
  <si>
    <t>아이템</t>
    <phoneticPr fontId="1" type="noConversion"/>
  </si>
  <si>
    <t>사양</t>
    <phoneticPr fontId="1" type="noConversion"/>
  </si>
  <si>
    <t>수량</t>
    <phoneticPr fontId="1" type="noConversion"/>
  </si>
  <si>
    <t>구입년도</t>
    <phoneticPr fontId="1" type="noConversion"/>
  </si>
  <si>
    <t>히스토리</t>
    <phoneticPr fontId="1" type="noConversion"/>
  </si>
  <si>
    <t>숙박/대실 1번 2번 페이지로 페이지 전환</t>
    <phoneticPr fontId="1" type="noConversion"/>
  </si>
  <si>
    <t>전송</t>
    <phoneticPr fontId="1" type="noConversion"/>
  </si>
  <si>
    <t>전송→</t>
    <phoneticPr fontId="1" type="noConversion"/>
  </si>
  <si>
    <t>판매일로 자동 동기화</t>
    <phoneticPr fontId="1" type="noConversion"/>
  </si>
  <si>
    <t>PMS 호실 창 내용과 판매일보 호실 입력 내용은 자동 동기화 위 전송 버튼 클릭시</t>
    <phoneticPr fontId="1" type="noConversion"/>
  </si>
  <si>
    <t>TV</t>
    <phoneticPr fontId="1" type="noConversion"/>
  </si>
  <si>
    <t>삼섬55IN</t>
    <phoneticPr fontId="1" type="noConversion"/>
  </si>
  <si>
    <t>LG65IN</t>
    <phoneticPr fontId="1" type="noConversion"/>
  </si>
  <si>
    <t>B</t>
    <phoneticPr fontId="1" type="noConversion"/>
  </si>
  <si>
    <t>C</t>
    <phoneticPr fontId="1" type="noConversion"/>
  </si>
  <si>
    <t>리퍼제품 구매</t>
    <phoneticPr fontId="1" type="noConversion"/>
  </si>
  <si>
    <t>D매장 이동</t>
    <phoneticPr fontId="1" type="noConversion"/>
  </si>
  <si>
    <t>컨디션</t>
    <phoneticPr fontId="1" type="noConversion"/>
  </si>
  <si>
    <t>원가</t>
    <phoneticPr fontId="1" type="noConversion"/>
  </si>
  <si>
    <t>손익</t>
    <phoneticPr fontId="1" type="noConversion"/>
  </si>
  <si>
    <t>자금 유동성</t>
    <phoneticPr fontId="1" type="noConversion"/>
  </si>
  <si>
    <t>(캐쉬 입금)</t>
    <phoneticPr fontId="1" type="noConversion"/>
  </si>
  <si>
    <t>전체</t>
    <phoneticPr fontId="1" type="noConversion"/>
  </si>
  <si>
    <t>야놀자 M</t>
    <phoneticPr fontId="1" type="noConversion"/>
  </si>
  <si>
    <t>야놀자 H</t>
    <phoneticPr fontId="1" type="noConversion"/>
  </si>
  <si>
    <t>여기어때 H</t>
    <phoneticPr fontId="1" type="noConversion"/>
  </si>
  <si>
    <t>여기어때 M</t>
    <phoneticPr fontId="1" type="noConversion"/>
  </si>
  <si>
    <t>H여 김혜수</t>
    <phoneticPr fontId="1" type="noConversion"/>
  </si>
  <si>
    <t>M야 홍실동</t>
    <phoneticPr fontId="1" type="noConversion"/>
  </si>
  <si>
    <t>1N</t>
    <phoneticPr fontId="1" type="noConversion"/>
  </si>
  <si>
    <t>3N</t>
  </si>
  <si>
    <t>2N</t>
    <phoneticPr fontId="1" type="noConversion"/>
  </si>
  <si>
    <t>기간▼</t>
    <phoneticPr fontId="1" type="noConversion"/>
  </si>
  <si>
    <t>연간</t>
    <phoneticPr fontId="1" type="noConversion"/>
  </si>
  <si>
    <t>세부</t>
    <phoneticPr fontId="1" type="noConversion"/>
  </si>
  <si>
    <t>결산</t>
    <phoneticPr fontId="1" type="noConversion"/>
  </si>
  <si>
    <t>cctv</t>
    <phoneticPr fontId="1" type="noConversion"/>
  </si>
  <si>
    <t>사용자 로그</t>
    <phoneticPr fontId="1" type="noConversion"/>
  </si>
  <si>
    <t>로그일자</t>
    <phoneticPr fontId="1" type="noConversion"/>
  </si>
  <si>
    <t>ID</t>
    <phoneticPr fontId="1" type="noConversion"/>
  </si>
  <si>
    <t>프로그램</t>
    <phoneticPr fontId="1" type="noConversion"/>
  </si>
  <si>
    <t>처리</t>
    <phoneticPr fontId="1" type="noConversion"/>
  </si>
  <si>
    <t>일자</t>
    <phoneticPr fontId="1" type="noConversion"/>
  </si>
  <si>
    <t>no.</t>
    <phoneticPr fontId="1" type="noConversion"/>
  </si>
  <si>
    <t>폭동</t>
    <phoneticPr fontId="1" type="noConversion"/>
  </si>
  <si>
    <t>화재</t>
    <phoneticPr fontId="1" type="noConversion"/>
  </si>
  <si>
    <t>영상보기</t>
    <phoneticPr fontId="1" type="noConversion"/>
  </si>
  <si>
    <t>링크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</si>
</sst>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12" xfId="0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3" fontId="0" fillId="7" borderId="0" xfId="0" applyNumberFormat="1" applyFill="1">
      <alignment vertical="center"/>
    </xf>
    <xf numFmtId="0" fontId="3" fillId="0" borderId="0" xfId="0" applyFont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41" fontId="0" fillId="0" borderId="0" xfId="1" applyFont="1">
      <alignment vertical="center"/>
    </xf>
    <xf numFmtId="0" fontId="0" fillId="0" borderId="21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6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10" borderId="0" xfId="0" applyFill="1">
      <alignment vertical="center"/>
    </xf>
    <xf numFmtId="0" fontId="0" fillId="0" borderId="20" xfId="0" applyBorder="1" applyAlignment="1">
      <alignment horizontal="center" vertical="center"/>
    </xf>
    <xf numFmtId="0" fontId="4" fillId="0" borderId="20" xfId="0" applyFont="1" applyBorder="1" applyAlignment="1">
      <alignment vertical="center" wrapText="1"/>
    </xf>
    <xf numFmtId="0" fontId="0" fillId="0" borderId="22" xfId="0" applyBorder="1">
      <alignment vertical="center"/>
    </xf>
    <xf numFmtId="0" fontId="0" fillId="0" borderId="25" xfId="0" applyBorder="1" applyAlignment="1">
      <alignment horizontal="center" vertical="center"/>
    </xf>
    <xf numFmtId="0" fontId="0" fillId="0" borderId="31" xfId="0" applyBorder="1">
      <alignment vertical="center"/>
    </xf>
    <xf numFmtId="0" fontId="0" fillId="2" borderId="31" xfId="0" applyFill="1" applyBorder="1">
      <alignment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2" borderId="6" xfId="0" applyFill="1" applyBorder="1">
      <alignment vertical="center"/>
    </xf>
    <xf numFmtId="0" fontId="0" fillId="2" borderId="0" xfId="0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41" fontId="0" fillId="0" borderId="12" xfId="1" applyFont="1" applyBorder="1">
      <alignment vertical="center"/>
    </xf>
    <xf numFmtId="0" fontId="4" fillId="12" borderId="6" xfId="0" applyFont="1" applyFill="1" applyBorder="1" applyAlignment="1">
      <alignment horizontal="center" vertical="center"/>
    </xf>
    <xf numFmtId="0" fontId="0" fillId="12" borderId="6" xfId="0" applyFill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4" fillId="12" borderId="0" xfId="0" applyFont="1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2" borderId="0" xfId="0" applyFill="1" applyBorder="1">
      <alignment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16" xfId="0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35</xdr:col>
      <xdr:colOff>9525</xdr:colOff>
      <xdr:row>20</xdr:row>
      <xdr:rowOff>9525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EB1AC6E-3830-919F-8372-335D5629B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933700"/>
          <a:ext cx="93535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</xdr:row>
      <xdr:rowOff>0</xdr:rowOff>
    </xdr:from>
    <xdr:to>
      <xdr:col>11</xdr:col>
      <xdr:colOff>9525</xdr:colOff>
      <xdr:row>35</xdr:row>
      <xdr:rowOff>9525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EBB789E-72C6-99ED-C51C-94DAB971F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81450"/>
          <a:ext cx="6181725" cy="3362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28</xdr:row>
      <xdr:rowOff>0</xdr:rowOff>
    </xdr:from>
    <xdr:to>
      <xdr:col>20</xdr:col>
      <xdr:colOff>9525</xdr:colOff>
      <xdr:row>54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DD492A1-98AB-BE1A-C3EB-450520A1F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5886450"/>
          <a:ext cx="13839825" cy="5476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34</xdr:row>
      <xdr:rowOff>0</xdr:rowOff>
    </xdr:from>
    <xdr:to>
      <xdr:col>18</xdr:col>
      <xdr:colOff>9525</xdr:colOff>
      <xdr:row>66</xdr:row>
      <xdr:rowOff>85725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ED8EB82-70DA-609D-79D8-9CF09B0BC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7200900"/>
          <a:ext cx="13173075" cy="6791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38</xdr:row>
      <xdr:rowOff>0</xdr:rowOff>
    </xdr:from>
    <xdr:to>
      <xdr:col>17</xdr:col>
      <xdr:colOff>9525</xdr:colOff>
      <xdr:row>73</xdr:row>
      <xdr:rowOff>85725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44922C3-D7E2-ECC6-84F3-01B051B87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8039100"/>
          <a:ext cx="14087475" cy="7419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33</xdr:row>
      <xdr:rowOff>0</xdr:rowOff>
    </xdr:from>
    <xdr:to>
      <xdr:col>17</xdr:col>
      <xdr:colOff>9525</xdr:colOff>
      <xdr:row>65</xdr:row>
      <xdr:rowOff>85725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432F3A8-B73D-CFFD-1384-63F2C4363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991350"/>
          <a:ext cx="14963775" cy="6791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33</xdr:row>
      <xdr:rowOff>0</xdr:rowOff>
    </xdr:from>
    <xdr:to>
      <xdr:col>18</xdr:col>
      <xdr:colOff>9525</xdr:colOff>
      <xdr:row>65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3FF2413-45A8-A22E-BB0C-D63796440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934200"/>
          <a:ext cx="15240000" cy="6734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34</xdr:row>
      <xdr:rowOff>0</xdr:rowOff>
    </xdr:from>
    <xdr:to>
      <xdr:col>18</xdr:col>
      <xdr:colOff>9525</xdr:colOff>
      <xdr:row>66</xdr:row>
      <xdr:rowOff>28575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C6F53A5-0F72-5A5C-A9D8-B2DB22CDC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7143750"/>
          <a:ext cx="15649575" cy="6734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39</xdr:row>
      <xdr:rowOff>0</xdr:rowOff>
    </xdr:from>
    <xdr:to>
      <xdr:col>19</xdr:col>
      <xdr:colOff>9525</xdr:colOff>
      <xdr:row>76</xdr:row>
      <xdr:rowOff>85725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3BE737-A313-4087-EA1F-CEB900DA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8248650"/>
          <a:ext cx="16240125" cy="783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41</xdr:row>
      <xdr:rowOff>0</xdr:rowOff>
    </xdr:from>
    <xdr:to>
      <xdr:col>19</xdr:col>
      <xdr:colOff>9525</xdr:colOff>
      <xdr:row>78</xdr:row>
      <xdr:rowOff>85725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295C5BB-5AD2-CE8A-F5D2-D261B0325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8667750"/>
          <a:ext cx="16240125" cy="783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38</xdr:row>
      <xdr:rowOff>0</xdr:rowOff>
    </xdr:from>
    <xdr:to>
      <xdr:col>26</xdr:col>
      <xdr:colOff>9525</xdr:colOff>
      <xdr:row>71</xdr:row>
      <xdr:rowOff>123825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384EC9A-CCEB-3946-7231-BB6C67490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8077200"/>
          <a:ext cx="16516350" cy="703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0</xdr:rowOff>
    </xdr:from>
    <xdr:to>
      <xdr:col>25</xdr:col>
      <xdr:colOff>9525</xdr:colOff>
      <xdr:row>62</xdr:row>
      <xdr:rowOff>123825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F28478C-BAD3-D8F2-4538-164E65F1B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819900"/>
          <a:ext cx="15973425" cy="6410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0</xdr:rowOff>
    </xdr:from>
    <xdr:to>
      <xdr:col>24</xdr:col>
      <xdr:colOff>9525</xdr:colOff>
      <xdr:row>62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5DD46D9-5CAB-9980-A016-A0DC28506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724650"/>
          <a:ext cx="16097250" cy="631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10</xdr:row>
      <xdr:rowOff>76200</xdr:rowOff>
    </xdr:from>
    <xdr:to>
      <xdr:col>19</xdr:col>
      <xdr:colOff>456914</xdr:colOff>
      <xdr:row>17</xdr:row>
      <xdr:rowOff>118110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459A6E-BA02-4A1E-ADBD-FED6305C5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190750"/>
          <a:ext cx="11182064" cy="151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20</xdr:col>
      <xdr:colOff>9525</xdr:colOff>
      <xdr:row>65</xdr:row>
      <xdr:rowOff>28575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DB19A96-EBD7-CD0E-4C55-52558C11A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934200"/>
          <a:ext cx="13449300" cy="6734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33</xdr:row>
      <xdr:rowOff>0</xdr:rowOff>
    </xdr:from>
    <xdr:to>
      <xdr:col>24</xdr:col>
      <xdr:colOff>9525</xdr:colOff>
      <xdr:row>65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6A82BC4-D2E6-3DF0-4C47-0F2E89F15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934200"/>
          <a:ext cx="16182975" cy="6734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31</xdr:row>
      <xdr:rowOff>0</xdr:rowOff>
    </xdr:from>
    <xdr:to>
      <xdr:col>24</xdr:col>
      <xdr:colOff>9525</xdr:colOff>
      <xdr:row>61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38E6EB-CAAD-91CB-B5F9-1C6085570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515100"/>
          <a:ext cx="16182975" cy="631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34</xdr:row>
      <xdr:rowOff>0</xdr:rowOff>
    </xdr:from>
    <xdr:to>
      <xdr:col>24</xdr:col>
      <xdr:colOff>9525</xdr:colOff>
      <xdr:row>66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516EAE6-E260-9405-17DC-1E8FD090F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7143750"/>
          <a:ext cx="16182975" cy="6734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33</xdr:row>
      <xdr:rowOff>0</xdr:rowOff>
    </xdr:from>
    <xdr:to>
      <xdr:col>24</xdr:col>
      <xdr:colOff>9525</xdr:colOff>
      <xdr:row>63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E88D589-DF10-9413-1A21-E9AF78574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934200"/>
          <a:ext cx="16182975" cy="631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0</xdr:rowOff>
    </xdr:from>
    <xdr:to>
      <xdr:col>24</xdr:col>
      <xdr:colOff>9525</xdr:colOff>
      <xdr:row>62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82A852C-052E-7CCE-2B36-339C9982D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724650"/>
          <a:ext cx="16182975" cy="631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0</xdr:rowOff>
    </xdr:from>
    <xdr:to>
      <xdr:col>24</xdr:col>
      <xdr:colOff>9525</xdr:colOff>
      <xdr:row>61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3ACEB88-3ECE-9C69-A64F-9FFDBA16E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724650"/>
          <a:ext cx="16182975" cy="610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0</xdr:rowOff>
    </xdr:from>
    <xdr:to>
      <xdr:col>24</xdr:col>
      <xdr:colOff>9525</xdr:colOff>
      <xdr:row>61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077A497-882D-D126-CE00-735A14074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724650"/>
          <a:ext cx="16182975" cy="610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33</xdr:row>
      <xdr:rowOff>0</xdr:rowOff>
    </xdr:from>
    <xdr:to>
      <xdr:col>24</xdr:col>
      <xdr:colOff>9525</xdr:colOff>
      <xdr:row>61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0B93C47-2D38-FBBF-9E28-60198B1DD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934200"/>
          <a:ext cx="16182975" cy="5895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24FC-8DCD-447F-97CA-D13AA1CBC252}">
  <dimension ref="A4:AI9"/>
  <sheetViews>
    <sheetView showGridLines="0" workbookViewId="0">
      <selection activeCell="D9" sqref="D9"/>
    </sheetView>
  </sheetViews>
  <sheetFormatPr defaultRowHeight="16.5" x14ac:dyDescent="0.3"/>
  <cols>
    <col min="1" max="1" width="9" style="2"/>
    <col min="4" max="4" width="4.125" customWidth="1"/>
    <col min="5" max="8" width="2.5" bestFit="1" customWidth="1"/>
    <col min="9" max="9" width="3.5" bestFit="1" customWidth="1"/>
    <col min="10" max="13" width="2.5" bestFit="1" customWidth="1"/>
    <col min="14" max="35" width="3.5" bestFit="1" customWidth="1"/>
  </cols>
  <sheetData>
    <row r="4" spans="2:35" x14ac:dyDescent="0.3">
      <c r="B4" s="66"/>
      <c r="C4" s="66"/>
      <c r="D4" s="66"/>
      <c r="E4" s="66">
        <v>1</v>
      </c>
      <c r="F4" s="66">
        <v>2</v>
      </c>
      <c r="G4" s="66">
        <v>3</v>
      </c>
      <c r="H4" s="66">
        <v>4</v>
      </c>
      <c r="I4" s="66">
        <v>5</v>
      </c>
      <c r="J4" s="67">
        <v>6</v>
      </c>
      <c r="K4" s="68">
        <v>7</v>
      </c>
      <c r="L4" s="66">
        <v>8</v>
      </c>
      <c r="M4" s="66">
        <v>9</v>
      </c>
      <c r="N4" s="66">
        <v>10</v>
      </c>
      <c r="O4" s="66">
        <v>11</v>
      </c>
      <c r="P4" s="66">
        <v>12</v>
      </c>
      <c r="Q4" s="67">
        <v>13</v>
      </c>
      <c r="R4" s="68">
        <v>14</v>
      </c>
      <c r="S4" s="66">
        <v>15</v>
      </c>
      <c r="T4" s="66">
        <v>16</v>
      </c>
      <c r="U4" s="66">
        <v>17</v>
      </c>
      <c r="V4" s="66">
        <v>18</v>
      </c>
      <c r="W4" s="66">
        <v>19</v>
      </c>
      <c r="X4" s="67">
        <v>20</v>
      </c>
      <c r="Y4" s="68">
        <v>21</v>
      </c>
      <c r="Z4" s="66">
        <v>22</v>
      </c>
      <c r="AA4" s="66">
        <v>23</v>
      </c>
      <c r="AB4" s="66">
        <v>24</v>
      </c>
      <c r="AC4" s="66">
        <v>25</v>
      </c>
      <c r="AD4" s="66">
        <v>26</v>
      </c>
      <c r="AE4" s="67">
        <v>27</v>
      </c>
      <c r="AF4" s="68">
        <v>28</v>
      </c>
      <c r="AG4" s="66">
        <v>29</v>
      </c>
      <c r="AH4" s="66">
        <v>30</v>
      </c>
      <c r="AI4" s="66">
        <v>31</v>
      </c>
    </row>
    <row r="5" spans="2:35" x14ac:dyDescent="0.3">
      <c r="B5" s="66" t="s">
        <v>225</v>
      </c>
      <c r="C5" s="66" t="s">
        <v>222</v>
      </c>
      <c r="D5" s="66">
        <f>COUNT(E5:AI5)</f>
        <v>8</v>
      </c>
      <c r="E5" s="66">
        <v>0</v>
      </c>
      <c r="F5" s="66">
        <v>0</v>
      </c>
      <c r="G5" s="66"/>
      <c r="H5" s="66">
        <v>0</v>
      </c>
      <c r="I5" s="66">
        <v>0</v>
      </c>
      <c r="J5" s="66">
        <v>0</v>
      </c>
      <c r="K5" s="66">
        <v>0</v>
      </c>
      <c r="L5" s="66"/>
      <c r="M5" s="66">
        <v>0</v>
      </c>
      <c r="N5" s="66">
        <v>0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</row>
    <row r="6" spans="2:35" x14ac:dyDescent="0.3">
      <c r="B6" s="66" t="s">
        <v>179</v>
      </c>
      <c r="C6" s="66" t="s">
        <v>223</v>
      </c>
      <c r="D6" s="66">
        <f t="shared" ref="D6" si="0">SUM(E6:AI6)</f>
        <v>3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>
        <v>2</v>
      </c>
      <c r="T6" s="66"/>
      <c r="U6" s="66"/>
      <c r="V6" s="66"/>
      <c r="W6" s="66"/>
      <c r="X6" s="66"/>
      <c r="Y6" s="66"/>
      <c r="Z6" s="66"/>
      <c r="AA6" s="66"/>
      <c r="AB6" s="66"/>
      <c r="AC6" s="66">
        <v>1</v>
      </c>
      <c r="AD6" s="66"/>
      <c r="AE6" s="66"/>
      <c r="AF6" s="66"/>
      <c r="AG6" s="66"/>
      <c r="AH6" s="66"/>
      <c r="AI6" s="66"/>
    </row>
    <row r="7" spans="2:35" x14ac:dyDescent="0.3">
      <c r="B7" s="66"/>
      <c r="C7" s="66" t="s">
        <v>226</v>
      </c>
      <c r="D7" s="66">
        <f>SUM(E7:AI7)</f>
        <v>16</v>
      </c>
      <c r="E7" s="66"/>
      <c r="F7" s="66"/>
      <c r="G7" s="66"/>
      <c r="H7" s="66"/>
      <c r="I7" s="66">
        <v>12</v>
      </c>
      <c r="J7" s="66"/>
      <c r="K7" s="66"/>
      <c r="L7" s="66"/>
      <c r="M7" s="66"/>
      <c r="N7" s="66"/>
      <c r="O7" s="66"/>
      <c r="P7" s="66"/>
      <c r="Q7" s="66">
        <v>4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</row>
    <row r="8" spans="2:35" x14ac:dyDescent="0.3">
      <c r="B8" s="66"/>
      <c r="C8" s="66" t="s">
        <v>224</v>
      </c>
      <c r="D8" s="66">
        <f>SUM(E8:AI8)</f>
        <v>0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</row>
    <row r="9" spans="2:35" x14ac:dyDescent="0.3"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93E1B-FD37-42B8-AA05-73157C4CB086}">
  <dimension ref="C1:K16"/>
  <sheetViews>
    <sheetView showGridLines="0" workbookViewId="0">
      <selection activeCell="D9" sqref="D9"/>
    </sheetView>
  </sheetViews>
  <sheetFormatPr defaultRowHeight="16.5" x14ac:dyDescent="0.3"/>
  <cols>
    <col min="3" max="6" width="9" style="2"/>
  </cols>
  <sheetData>
    <row r="1" spans="3:11" x14ac:dyDescent="0.3">
      <c r="C1" s="75" t="s">
        <v>36</v>
      </c>
      <c r="D1" s="76"/>
      <c r="E1" s="76"/>
      <c r="F1" s="76"/>
      <c r="G1" s="76"/>
      <c r="H1" s="76"/>
      <c r="I1" s="76"/>
      <c r="J1" s="76"/>
      <c r="K1" s="77"/>
    </row>
    <row r="2" spans="3:11" x14ac:dyDescent="0.3">
      <c r="C2" s="74">
        <v>1</v>
      </c>
      <c r="D2" s="74" t="s">
        <v>17</v>
      </c>
      <c r="E2" s="13" t="s">
        <v>24</v>
      </c>
      <c r="F2" s="13" t="s">
        <v>23</v>
      </c>
      <c r="G2" s="74" t="s">
        <v>0</v>
      </c>
      <c r="H2" s="74"/>
      <c r="I2" s="74"/>
      <c r="J2" s="74"/>
      <c r="K2" s="12" t="s">
        <v>43</v>
      </c>
    </row>
    <row r="3" spans="3:11" x14ac:dyDescent="0.3">
      <c r="C3" s="74"/>
      <c r="D3" s="74"/>
      <c r="E3" s="13">
        <v>1</v>
      </c>
      <c r="F3" s="13" t="s">
        <v>18</v>
      </c>
      <c r="G3" s="12" t="s">
        <v>25</v>
      </c>
      <c r="H3" s="12" t="s">
        <v>26</v>
      </c>
      <c r="I3" s="12" t="s">
        <v>27</v>
      </c>
      <c r="J3" s="12" t="s">
        <v>28</v>
      </c>
      <c r="K3" s="12"/>
    </row>
    <row r="4" spans="3:11" x14ac:dyDescent="0.3">
      <c r="C4" s="74"/>
      <c r="D4" s="74"/>
      <c r="E4" s="13">
        <v>2</v>
      </c>
      <c r="F4" s="13" t="s">
        <v>19</v>
      </c>
      <c r="G4" s="12" t="s">
        <v>25</v>
      </c>
      <c r="H4" s="13" t="s">
        <v>26</v>
      </c>
      <c r="I4" s="12" t="s">
        <v>27</v>
      </c>
      <c r="J4" s="12"/>
      <c r="K4" s="12"/>
    </row>
    <row r="5" spans="3:11" x14ac:dyDescent="0.3">
      <c r="C5" s="74"/>
      <c r="D5" s="74"/>
      <c r="E5" s="13">
        <v>3</v>
      </c>
      <c r="F5" s="13" t="s">
        <v>20</v>
      </c>
      <c r="G5" s="12" t="s">
        <v>25</v>
      </c>
      <c r="H5" s="12" t="s">
        <v>26</v>
      </c>
      <c r="I5" s="12"/>
      <c r="J5" s="12"/>
      <c r="K5" s="12"/>
    </row>
    <row r="6" spans="3:11" x14ac:dyDescent="0.3">
      <c r="C6" s="74"/>
      <c r="D6" s="74"/>
      <c r="E6" s="13">
        <v>4</v>
      </c>
      <c r="F6" s="13" t="s">
        <v>21</v>
      </c>
      <c r="G6" s="12" t="s">
        <v>29</v>
      </c>
      <c r="H6" s="12" t="s">
        <v>26</v>
      </c>
      <c r="I6" s="12"/>
      <c r="J6" s="12"/>
      <c r="K6" s="12"/>
    </row>
    <row r="7" spans="3:11" x14ac:dyDescent="0.3">
      <c r="C7" s="74"/>
      <c r="D7" s="74"/>
      <c r="E7" s="13">
        <v>5</v>
      </c>
      <c r="F7" s="13" t="s">
        <v>22</v>
      </c>
      <c r="G7" s="12" t="s">
        <v>29</v>
      </c>
      <c r="H7" s="12" t="s">
        <v>26</v>
      </c>
      <c r="I7" s="12" t="s">
        <v>27</v>
      </c>
      <c r="J7" s="12" t="s">
        <v>28</v>
      </c>
      <c r="K7" s="12"/>
    </row>
    <row r="8" spans="3:11" x14ac:dyDescent="0.3">
      <c r="C8" s="13"/>
      <c r="D8" s="13"/>
      <c r="E8" s="13"/>
      <c r="F8" s="13"/>
      <c r="G8" s="12"/>
      <c r="H8" s="12"/>
      <c r="I8" s="12"/>
      <c r="J8" s="12"/>
      <c r="K8" s="12"/>
    </row>
    <row r="9" spans="3:11" x14ac:dyDescent="0.3">
      <c r="C9" s="74">
        <v>2</v>
      </c>
      <c r="D9" s="74" t="s">
        <v>30</v>
      </c>
      <c r="E9" s="13" t="s">
        <v>38</v>
      </c>
      <c r="F9" s="13"/>
      <c r="G9" s="12"/>
      <c r="H9" s="12"/>
      <c r="I9" s="12"/>
      <c r="J9" s="12"/>
      <c r="K9" s="12"/>
    </row>
    <row r="10" spans="3:11" x14ac:dyDescent="0.3">
      <c r="C10" s="74"/>
      <c r="D10" s="74"/>
      <c r="E10" s="13" t="s">
        <v>32</v>
      </c>
      <c r="F10" s="13" t="s">
        <v>33</v>
      </c>
      <c r="G10" s="12"/>
      <c r="H10" s="12"/>
      <c r="I10" s="74" t="s">
        <v>19</v>
      </c>
      <c r="J10" s="12"/>
      <c r="K10" s="12"/>
    </row>
    <row r="11" spans="3:11" x14ac:dyDescent="0.3">
      <c r="C11" s="74"/>
      <c r="D11" s="74"/>
      <c r="E11" s="13" t="s">
        <v>31</v>
      </c>
      <c r="F11" s="13"/>
      <c r="G11" s="12"/>
      <c r="H11" s="12"/>
      <c r="I11" s="74"/>
      <c r="J11" s="12"/>
      <c r="K11" s="12"/>
    </row>
    <row r="12" spans="3:11" x14ac:dyDescent="0.3">
      <c r="C12" s="74"/>
      <c r="D12" s="74"/>
      <c r="E12" s="13" t="s">
        <v>37</v>
      </c>
      <c r="F12" s="13"/>
      <c r="G12" s="12"/>
      <c r="H12" s="12"/>
      <c r="I12" s="74"/>
      <c r="J12" s="12"/>
      <c r="K12" s="12"/>
    </row>
    <row r="13" spans="3:11" x14ac:dyDescent="0.3">
      <c r="C13" s="13"/>
      <c r="D13" s="13"/>
      <c r="E13" s="13"/>
      <c r="F13" s="13"/>
      <c r="G13" s="12"/>
      <c r="H13" s="12"/>
      <c r="I13" s="12"/>
      <c r="J13" s="12"/>
      <c r="K13" s="12"/>
    </row>
    <row r="14" spans="3:11" x14ac:dyDescent="0.3">
      <c r="C14" s="74">
        <v>3</v>
      </c>
      <c r="D14" s="74" t="s">
        <v>34</v>
      </c>
      <c r="E14" s="74" t="s">
        <v>35</v>
      </c>
      <c r="F14" s="13" t="s">
        <v>39</v>
      </c>
      <c r="G14" s="13" t="s">
        <v>41</v>
      </c>
      <c r="H14" s="12"/>
      <c r="I14" s="74" t="s">
        <v>19</v>
      </c>
      <c r="J14" s="12"/>
      <c r="K14" s="12"/>
    </row>
    <row r="15" spans="3:11" x14ac:dyDescent="0.3">
      <c r="C15" s="74"/>
      <c r="D15" s="74"/>
      <c r="E15" s="74"/>
      <c r="F15" s="13" t="s">
        <v>40</v>
      </c>
      <c r="G15" s="13" t="s">
        <v>41</v>
      </c>
      <c r="H15" s="12"/>
      <c r="I15" s="74"/>
      <c r="J15" s="12"/>
      <c r="K15" s="12"/>
    </row>
    <row r="16" spans="3:11" x14ac:dyDescent="0.3">
      <c r="C16" s="74"/>
      <c r="D16" s="74"/>
      <c r="E16" s="74"/>
      <c r="F16" s="13" t="s">
        <v>42</v>
      </c>
      <c r="G16" s="13" t="s">
        <v>41</v>
      </c>
      <c r="H16" s="12"/>
      <c r="I16" s="74"/>
      <c r="J16" s="12"/>
      <c r="K16" s="12"/>
    </row>
  </sheetData>
  <mergeCells count="11">
    <mergeCell ref="I14:I16"/>
    <mergeCell ref="I10:I12"/>
    <mergeCell ref="G2:J2"/>
    <mergeCell ref="C1:K1"/>
    <mergeCell ref="D2:D7"/>
    <mergeCell ref="C2:C7"/>
    <mergeCell ref="C9:C12"/>
    <mergeCell ref="D9:D12"/>
    <mergeCell ref="E14:E16"/>
    <mergeCell ref="D14:D16"/>
    <mergeCell ref="C14:C1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ED87-9890-4940-8427-E65ED9C982F4}">
  <dimension ref="B1:T26"/>
  <sheetViews>
    <sheetView showGridLines="0" topLeftCell="A21" workbookViewId="0">
      <selection activeCell="D9" sqref="D9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15" customWidth="1"/>
    <col min="7" max="7" width="6.375" customWidth="1"/>
    <col min="8" max="8" width="15.5" customWidth="1"/>
    <col min="9" max="9" width="4.875" customWidth="1"/>
    <col min="10" max="11" width="11.625" customWidth="1"/>
    <col min="12" max="12" width="14.375" bestFit="1" customWidth="1"/>
    <col min="13" max="13" width="5.875" customWidth="1"/>
    <col min="14" max="14" width="9.75" customWidth="1"/>
    <col min="15" max="15" width="15.375" customWidth="1"/>
  </cols>
  <sheetData>
    <row r="1" spans="2:20" x14ac:dyDescent="0.3">
      <c r="D1" s="8"/>
      <c r="O1" t="s">
        <v>65</v>
      </c>
      <c r="P1" t="s">
        <v>66</v>
      </c>
    </row>
    <row r="2" spans="2:20" x14ac:dyDescent="0.3">
      <c r="D2" s="8"/>
    </row>
    <row r="3" spans="2:20" ht="17.25" thickBot="1" x14ac:dyDescent="0.35">
      <c r="D3" s="8"/>
    </row>
    <row r="4" spans="2:20" ht="17.25" thickBot="1" x14ac:dyDescent="0.35">
      <c r="C4" s="7"/>
      <c r="D4" s="9"/>
      <c r="E4" s="7"/>
      <c r="F4" s="48" t="s">
        <v>1</v>
      </c>
      <c r="G4" s="7"/>
      <c r="H4" s="49" t="s">
        <v>11</v>
      </c>
      <c r="I4" s="7"/>
      <c r="J4" s="7"/>
      <c r="K4" s="7"/>
      <c r="L4" s="49" t="s">
        <v>12</v>
      </c>
      <c r="M4" s="7"/>
      <c r="N4" s="7"/>
      <c r="O4" s="17" t="s">
        <v>14</v>
      </c>
      <c r="P4" s="107"/>
      <c r="Q4" s="15"/>
      <c r="R4" s="17" t="s">
        <v>143</v>
      </c>
      <c r="S4" s="14"/>
      <c r="T4" s="14"/>
    </row>
    <row r="5" spans="2:20" x14ac:dyDescent="0.3">
      <c r="D5" s="8"/>
      <c r="F5" s="99" t="s">
        <v>90</v>
      </c>
      <c r="H5" s="99" t="s">
        <v>90</v>
      </c>
      <c r="L5" s="99" t="s">
        <v>90</v>
      </c>
      <c r="O5" s="99" t="s">
        <v>90</v>
      </c>
      <c r="Q5" s="8"/>
    </row>
    <row r="6" spans="2:20" x14ac:dyDescent="0.3">
      <c r="B6" s="1"/>
      <c r="D6" s="11"/>
      <c r="E6" s="21"/>
      <c r="F6" s="65" t="s">
        <v>2</v>
      </c>
      <c r="H6" s="101" t="s">
        <v>67</v>
      </c>
      <c r="I6" s="21" t="s">
        <v>91</v>
      </c>
      <c r="J6" s="100" t="s">
        <v>86</v>
      </c>
      <c r="L6" s="103" t="s">
        <v>136</v>
      </c>
      <c r="M6" s="47" t="s">
        <v>91</v>
      </c>
      <c r="N6" s="106" t="s">
        <v>208</v>
      </c>
      <c r="O6" s="101" t="s">
        <v>265</v>
      </c>
      <c r="Q6" s="8"/>
    </row>
    <row r="7" spans="2:20" x14ac:dyDescent="0.3">
      <c r="B7" s="1"/>
      <c r="D7" s="8"/>
      <c r="H7" s="101"/>
      <c r="J7" s="99" t="s">
        <v>90</v>
      </c>
      <c r="K7" s="99"/>
      <c r="L7" s="104"/>
      <c r="N7" s="104"/>
      <c r="O7" s="99"/>
      <c r="Q7" s="8"/>
    </row>
    <row r="8" spans="2:20" x14ac:dyDescent="0.3">
      <c r="B8" s="1"/>
      <c r="D8" s="8"/>
      <c r="H8" s="101" t="s">
        <v>68</v>
      </c>
      <c r="J8" s="101" t="s">
        <v>87</v>
      </c>
      <c r="K8" s="101"/>
      <c r="L8" s="103"/>
      <c r="N8" s="103" t="s">
        <v>261</v>
      </c>
      <c r="O8" s="101" t="s">
        <v>264</v>
      </c>
      <c r="Q8" s="8"/>
    </row>
    <row r="9" spans="2:20" x14ac:dyDescent="0.3">
      <c r="B9" s="1"/>
      <c r="D9" s="11"/>
      <c r="F9" s="65" t="s">
        <v>47</v>
      </c>
      <c r="H9" s="101"/>
      <c r="J9" s="99" t="s">
        <v>90</v>
      </c>
      <c r="K9" s="99"/>
      <c r="L9" s="103"/>
      <c r="N9" s="102"/>
      <c r="O9" s="102"/>
      <c r="Q9" s="8"/>
    </row>
    <row r="10" spans="2:20" x14ac:dyDescent="0.3">
      <c r="B10" s="1"/>
      <c r="D10" s="8"/>
      <c r="H10" s="101" t="s">
        <v>69</v>
      </c>
      <c r="J10" s="101" t="s">
        <v>88</v>
      </c>
      <c r="K10" s="101"/>
      <c r="L10" s="103" t="s">
        <v>246</v>
      </c>
      <c r="M10" s="47" t="s">
        <v>91</v>
      </c>
      <c r="N10" s="106" t="s">
        <v>208</v>
      </c>
      <c r="Q10" s="8"/>
    </row>
    <row r="11" spans="2:20" x14ac:dyDescent="0.3">
      <c r="D11" s="8"/>
      <c r="H11" s="101"/>
      <c r="J11" s="99" t="s">
        <v>90</v>
      </c>
      <c r="K11" s="99"/>
      <c r="L11" s="103"/>
      <c r="N11" s="104"/>
      <c r="Q11" s="8"/>
    </row>
    <row r="12" spans="2:20" x14ac:dyDescent="0.3">
      <c r="D12" s="11"/>
      <c r="F12" s="65" t="s">
        <v>57</v>
      </c>
      <c r="H12" s="101" t="s">
        <v>70</v>
      </c>
      <c r="J12" s="101" t="s">
        <v>89</v>
      </c>
      <c r="K12" s="101"/>
      <c r="L12" s="104"/>
      <c r="N12" s="103" t="s">
        <v>261</v>
      </c>
      <c r="Q12" s="8"/>
    </row>
    <row r="13" spans="2:20" x14ac:dyDescent="0.3">
      <c r="D13" s="8"/>
      <c r="H13" s="101"/>
      <c r="L13" s="104"/>
      <c r="O13" s="102"/>
      <c r="Q13" s="8"/>
    </row>
    <row r="14" spans="2:20" x14ac:dyDescent="0.3">
      <c r="D14" s="8"/>
      <c r="H14" s="101" t="s">
        <v>71</v>
      </c>
      <c r="L14" s="104" t="s">
        <v>247</v>
      </c>
      <c r="M14" s="47" t="s">
        <v>91</v>
      </c>
      <c r="N14" s="106" t="s">
        <v>208</v>
      </c>
      <c r="Q14" s="8"/>
    </row>
    <row r="15" spans="2:20" x14ac:dyDescent="0.3">
      <c r="D15" s="8"/>
      <c r="H15" s="101"/>
      <c r="L15" s="104"/>
      <c r="N15" s="104"/>
      <c r="Q15" s="8"/>
    </row>
    <row r="16" spans="2:20" x14ac:dyDescent="0.3">
      <c r="D16" s="8"/>
      <c r="H16" s="101"/>
      <c r="L16" s="104" t="s">
        <v>248</v>
      </c>
      <c r="N16" s="103" t="s">
        <v>261</v>
      </c>
      <c r="Q16" s="8"/>
    </row>
    <row r="17" spans="4:17" x14ac:dyDescent="0.3">
      <c r="D17" s="8"/>
      <c r="H17" s="101"/>
      <c r="L17" s="104" t="s">
        <v>249</v>
      </c>
      <c r="Q17" s="8"/>
    </row>
    <row r="18" spans="4:17" x14ac:dyDescent="0.3">
      <c r="D18" s="8"/>
      <c r="H18" s="101"/>
      <c r="L18" s="105"/>
      <c r="Q18" s="8"/>
    </row>
    <row r="19" spans="4:17" x14ac:dyDescent="0.3">
      <c r="D19" s="8"/>
    </row>
    <row r="20" spans="4:17" x14ac:dyDescent="0.3">
      <c r="D20" s="8"/>
      <c r="H20" s="78" t="s">
        <v>16</v>
      </c>
      <c r="I20" s="78"/>
      <c r="J20" s="78"/>
      <c r="K20" s="78"/>
      <c r="L20" s="78"/>
      <c r="M20" s="78"/>
      <c r="N20" s="2"/>
      <c r="O20" s="2"/>
    </row>
    <row r="21" spans="4:17" x14ac:dyDescent="0.3">
      <c r="D21" s="8"/>
    </row>
    <row r="23" spans="4:17" x14ac:dyDescent="0.3">
      <c r="D23" t="s">
        <v>44</v>
      </c>
      <c r="F23" t="s">
        <v>45</v>
      </c>
    </row>
    <row r="24" spans="4:17" x14ac:dyDescent="0.3">
      <c r="F24" t="s">
        <v>46</v>
      </c>
    </row>
    <row r="26" spans="4:17" x14ac:dyDescent="0.3">
      <c r="F26" t="s">
        <v>62</v>
      </c>
    </row>
  </sheetData>
  <mergeCells count="1">
    <mergeCell ref="H20:M20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D165-2509-4C28-B7C9-F8A0D483F094}">
  <dimension ref="B1:R33"/>
  <sheetViews>
    <sheetView showGridLines="0" topLeftCell="C13" workbookViewId="0">
      <selection activeCell="C35" sqref="C35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15" customWidth="1"/>
    <col min="8" max="8" width="15.5" customWidth="1"/>
    <col min="10" max="10" width="14.375" bestFit="1" customWidth="1"/>
    <col min="12" max="12" width="15.375" customWidth="1"/>
    <col min="14" max="14" width="14.375" bestFit="1" customWidth="1"/>
  </cols>
  <sheetData>
    <row r="1" spans="2:18" x14ac:dyDescent="0.3">
      <c r="D1" s="8"/>
      <c r="L1" t="s">
        <v>65</v>
      </c>
      <c r="M1" t="s">
        <v>66</v>
      </c>
    </row>
    <row r="2" spans="2:18" x14ac:dyDescent="0.3">
      <c r="D2" s="8"/>
    </row>
    <row r="3" spans="2:18" ht="17.25" thickBot="1" x14ac:dyDescent="0.35">
      <c r="D3" s="8"/>
    </row>
    <row r="4" spans="2:18" ht="17.25" thickBot="1" x14ac:dyDescent="0.35">
      <c r="C4" s="7"/>
      <c r="D4" s="9"/>
      <c r="E4" s="7"/>
      <c r="F4" s="48" t="s">
        <v>1</v>
      </c>
      <c r="G4" s="7"/>
      <c r="H4" s="49" t="s">
        <v>11</v>
      </c>
      <c r="I4" s="7"/>
      <c r="J4" s="49" t="s">
        <v>12</v>
      </c>
      <c r="K4" s="7"/>
      <c r="L4" s="49" t="s">
        <v>14</v>
      </c>
      <c r="M4" s="7"/>
      <c r="N4" s="7"/>
      <c r="O4" s="50"/>
      <c r="P4" s="17" t="s">
        <v>143</v>
      </c>
      <c r="Q4" s="14"/>
      <c r="R4" s="14"/>
    </row>
    <row r="5" spans="2:18" ht="17.25" thickBot="1" x14ac:dyDescent="0.35">
      <c r="D5" s="8"/>
      <c r="O5" s="8"/>
    </row>
    <row r="6" spans="2:18" x14ac:dyDescent="0.3">
      <c r="B6" s="1"/>
      <c r="C6" s="3" t="s">
        <v>15</v>
      </c>
      <c r="D6" s="10" t="s">
        <v>2</v>
      </c>
      <c r="E6" s="21" t="s">
        <v>91</v>
      </c>
      <c r="F6" s="4" t="s">
        <v>7</v>
      </c>
      <c r="H6" s="4" t="s">
        <v>8</v>
      </c>
      <c r="J6" s="4" t="s">
        <v>9</v>
      </c>
      <c r="L6" s="4" t="s">
        <v>9</v>
      </c>
      <c r="N6" s="4" t="s">
        <v>9</v>
      </c>
      <c r="O6" s="8"/>
    </row>
    <row r="7" spans="2:18" x14ac:dyDescent="0.3">
      <c r="B7" s="1"/>
      <c r="D7" s="8"/>
      <c r="F7" s="5" t="s">
        <v>3</v>
      </c>
      <c r="H7" s="5" t="s">
        <v>3</v>
      </c>
      <c r="J7" s="5" t="s">
        <v>3</v>
      </c>
      <c r="L7" s="5" t="s">
        <v>3</v>
      </c>
      <c r="N7" s="5" t="s">
        <v>3</v>
      </c>
      <c r="O7" s="8"/>
    </row>
    <row r="8" spans="2:18" x14ac:dyDescent="0.3">
      <c r="B8" s="1"/>
      <c r="D8" s="8"/>
      <c r="F8" s="5" t="s">
        <v>4</v>
      </c>
      <c r="H8" s="5" t="s">
        <v>4</v>
      </c>
      <c r="J8" s="5" t="s">
        <v>4</v>
      </c>
      <c r="L8" s="5" t="s">
        <v>4</v>
      </c>
      <c r="N8" s="5" t="s">
        <v>4</v>
      </c>
      <c r="O8" s="8"/>
    </row>
    <row r="9" spans="2:18" x14ac:dyDescent="0.3">
      <c r="B9" s="1"/>
      <c r="D9" s="8"/>
      <c r="F9" s="5" t="s">
        <v>5</v>
      </c>
      <c r="H9" s="5" t="s">
        <v>5</v>
      </c>
      <c r="J9" s="5" t="s">
        <v>5</v>
      </c>
      <c r="L9" s="5" t="s">
        <v>5</v>
      </c>
      <c r="N9" s="5" t="s">
        <v>5</v>
      </c>
      <c r="O9" s="8"/>
    </row>
    <row r="10" spans="2:18" ht="17.25" thickBot="1" x14ac:dyDescent="0.35">
      <c r="B10" s="1"/>
      <c r="D10" s="8"/>
      <c r="F10" s="6" t="s">
        <v>6</v>
      </c>
      <c r="H10" s="6" t="s">
        <v>6</v>
      </c>
      <c r="J10" s="6" t="s">
        <v>6</v>
      </c>
      <c r="L10" s="6" t="s">
        <v>6</v>
      </c>
      <c r="N10" s="6" t="s">
        <v>6</v>
      </c>
      <c r="O10" s="8"/>
    </row>
    <row r="11" spans="2:18" x14ac:dyDescent="0.3">
      <c r="D11" s="8"/>
      <c r="O11" s="8"/>
    </row>
    <row r="12" spans="2:18" ht="17.25" thickBot="1" x14ac:dyDescent="0.35">
      <c r="D12" s="8"/>
      <c r="O12" s="8"/>
    </row>
    <row r="13" spans="2:18" x14ac:dyDescent="0.3">
      <c r="D13" s="8"/>
      <c r="F13" s="4" t="s">
        <v>7</v>
      </c>
      <c r="H13" s="4" t="s">
        <v>8</v>
      </c>
      <c r="J13" s="4" t="s">
        <v>9</v>
      </c>
      <c r="L13" s="4" t="s">
        <v>9</v>
      </c>
      <c r="N13" s="4" t="s">
        <v>9</v>
      </c>
      <c r="O13" s="8"/>
    </row>
    <row r="14" spans="2:18" x14ac:dyDescent="0.3">
      <c r="D14" s="8"/>
      <c r="F14" s="5" t="s">
        <v>3</v>
      </c>
      <c r="H14" s="5" t="s">
        <v>3</v>
      </c>
      <c r="J14" s="5" t="s">
        <v>3</v>
      </c>
      <c r="L14" s="5" t="s">
        <v>3</v>
      </c>
      <c r="N14" s="5" t="s">
        <v>3</v>
      </c>
      <c r="O14" s="8"/>
    </row>
    <row r="15" spans="2:18" x14ac:dyDescent="0.3">
      <c r="D15" s="8"/>
      <c r="F15" s="5" t="s">
        <v>4</v>
      </c>
      <c r="H15" s="5" t="s">
        <v>4</v>
      </c>
      <c r="J15" s="5" t="s">
        <v>4</v>
      </c>
      <c r="L15" s="5" t="s">
        <v>4</v>
      </c>
      <c r="N15" s="5" t="s">
        <v>4</v>
      </c>
      <c r="O15" s="8"/>
    </row>
    <row r="16" spans="2:18" x14ac:dyDescent="0.3">
      <c r="D16" s="8"/>
      <c r="F16" s="5" t="s">
        <v>5</v>
      </c>
      <c r="H16" s="5" t="s">
        <v>5</v>
      </c>
      <c r="J16" s="5" t="s">
        <v>5</v>
      </c>
      <c r="L16" s="5" t="s">
        <v>5</v>
      </c>
      <c r="N16" s="5" t="s">
        <v>5</v>
      </c>
      <c r="O16" s="8"/>
    </row>
    <row r="17" spans="4:15" ht="17.25" thickBot="1" x14ac:dyDescent="0.35">
      <c r="D17" s="8"/>
      <c r="F17" s="6" t="s">
        <v>6</v>
      </c>
      <c r="H17" s="6" t="s">
        <v>6</v>
      </c>
      <c r="J17" s="6" t="s">
        <v>6</v>
      </c>
      <c r="L17" s="6" t="s">
        <v>6</v>
      </c>
      <c r="N17" s="6" t="s">
        <v>6</v>
      </c>
      <c r="O17" s="8"/>
    </row>
    <row r="18" spans="4:15" x14ac:dyDescent="0.3">
      <c r="D18" s="8"/>
      <c r="O18" s="8"/>
    </row>
    <row r="19" spans="4:15" ht="17.25" thickBot="1" x14ac:dyDescent="0.35">
      <c r="D19" s="8"/>
      <c r="O19" s="8"/>
    </row>
    <row r="20" spans="4:15" x14ac:dyDescent="0.3">
      <c r="D20" s="8"/>
      <c r="F20" s="4" t="s">
        <v>7</v>
      </c>
      <c r="H20" s="4" t="s">
        <v>8</v>
      </c>
      <c r="J20" s="4" t="s">
        <v>9</v>
      </c>
      <c r="L20" s="4" t="s">
        <v>9</v>
      </c>
      <c r="N20" s="4" t="s">
        <v>9</v>
      </c>
      <c r="O20" s="8"/>
    </row>
    <row r="21" spans="4:15" x14ac:dyDescent="0.3">
      <c r="D21" s="8"/>
      <c r="F21" s="5" t="s">
        <v>3</v>
      </c>
      <c r="H21" s="5" t="s">
        <v>3</v>
      </c>
      <c r="J21" s="5" t="s">
        <v>3</v>
      </c>
      <c r="L21" s="5" t="s">
        <v>3</v>
      </c>
      <c r="N21" s="5" t="s">
        <v>3</v>
      </c>
      <c r="O21" s="8"/>
    </row>
    <row r="22" spans="4:15" x14ac:dyDescent="0.3">
      <c r="D22" s="8"/>
      <c r="F22" s="5" t="s">
        <v>4</v>
      </c>
      <c r="H22" s="5" t="s">
        <v>4</v>
      </c>
      <c r="J22" s="5" t="s">
        <v>4</v>
      </c>
      <c r="L22" s="5" t="s">
        <v>4</v>
      </c>
      <c r="N22" s="5" t="s">
        <v>4</v>
      </c>
      <c r="O22" s="8"/>
    </row>
    <row r="23" spans="4:15" x14ac:dyDescent="0.3">
      <c r="D23" s="8"/>
      <c r="F23" s="5" t="s">
        <v>5</v>
      </c>
      <c r="H23" s="5" t="s">
        <v>5</v>
      </c>
      <c r="J23" s="5" t="s">
        <v>5</v>
      </c>
      <c r="L23" s="5" t="s">
        <v>5</v>
      </c>
      <c r="N23" s="5" t="s">
        <v>5</v>
      </c>
      <c r="O23" s="8"/>
    </row>
    <row r="24" spans="4:15" ht="17.25" thickBot="1" x14ac:dyDescent="0.35">
      <c r="D24" s="8"/>
      <c r="F24" s="6" t="s">
        <v>6</v>
      </c>
      <c r="H24" s="6" t="s">
        <v>6</v>
      </c>
      <c r="J24" s="6" t="s">
        <v>6</v>
      </c>
      <c r="L24" s="6" t="s">
        <v>6</v>
      </c>
      <c r="N24" s="6" t="s">
        <v>6</v>
      </c>
      <c r="O24" s="8"/>
    </row>
    <row r="25" spans="4:15" x14ac:dyDescent="0.3">
      <c r="D25" s="8"/>
      <c r="O25" s="8"/>
    </row>
    <row r="26" spans="4:15" x14ac:dyDescent="0.3">
      <c r="D26" s="8"/>
    </row>
    <row r="27" spans="4:15" x14ac:dyDescent="0.3">
      <c r="D27" s="8"/>
      <c r="H27" s="78" t="s">
        <v>16</v>
      </c>
      <c r="I27" s="78"/>
      <c r="J27" s="78"/>
      <c r="K27" s="78"/>
      <c r="L27" s="2"/>
    </row>
    <row r="28" spans="4:15" x14ac:dyDescent="0.3">
      <c r="D28" s="8"/>
    </row>
    <row r="30" spans="4:15" x14ac:dyDescent="0.3">
      <c r="D30" t="s">
        <v>44</v>
      </c>
      <c r="F30" t="s">
        <v>45</v>
      </c>
    </row>
    <row r="31" spans="4:15" x14ac:dyDescent="0.3">
      <c r="F31" t="s">
        <v>46</v>
      </c>
    </row>
    <row r="33" spans="6:6" x14ac:dyDescent="0.3">
      <c r="F33" t="s">
        <v>62</v>
      </c>
    </row>
  </sheetData>
  <mergeCells count="1">
    <mergeCell ref="H27:K27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B0EC-3B13-4649-BDFB-950F97E73B57}">
  <dimension ref="B1:R37"/>
  <sheetViews>
    <sheetView showGridLines="0" topLeftCell="D37" workbookViewId="0">
      <selection activeCell="C39" sqref="C39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19.25" bestFit="1" customWidth="1"/>
    <col min="8" max="8" width="19.25" bestFit="1" customWidth="1"/>
    <col min="10" max="10" width="19.25" bestFit="1" customWidth="1"/>
    <col min="12" max="12" width="18.625" customWidth="1"/>
    <col min="14" max="14" width="19.25" bestFit="1" customWidth="1"/>
  </cols>
  <sheetData>
    <row r="1" spans="2:18" x14ac:dyDescent="0.3">
      <c r="D1" s="8"/>
      <c r="L1" t="s">
        <v>65</v>
      </c>
      <c r="M1" t="s">
        <v>66</v>
      </c>
    </row>
    <row r="2" spans="2:18" x14ac:dyDescent="0.3">
      <c r="D2" s="8"/>
    </row>
    <row r="3" spans="2:18" ht="17.25" thickBot="1" x14ac:dyDescent="0.35">
      <c r="D3" s="8"/>
    </row>
    <row r="4" spans="2:18" s="2" customFormat="1" ht="17.25" thickBot="1" x14ac:dyDescent="0.35">
      <c r="C4" s="14"/>
      <c r="D4" s="15"/>
      <c r="E4" s="14"/>
      <c r="F4" s="16" t="s">
        <v>1</v>
      </c>
      <c r="G4" s="14"/>
      <c r="H4" s="17" t="s">
        <v>11</v>
      </c>
      <c r="I4" s="14"/>
      <c r="J4" s="17" t="s">
        <v>12</v>
      </c>
      <c r="K4" s="14"/>
      <c r="L4" s="17" t="s">
        <v>13</v>
      </c>
      <c r="M4" s="14"/>
      <c r="N4" s="17" t="s">
        <v>14</v>
      </c>
      <c r="O4" s="27"/>
      <c r="P4" s="17" t="s">
        <v>143</v>
      </c>
      <c r="Q4" s="14"/>
      <c r="R4" s="14"/>
    </row>
    <row r="5" spans="2:18" ht="17.25" thickBot="1" x14ac:dyDescent="0.35">
      <c r="D5" s="8"/>
    </row>
    <row r="6" spans="2:18" x14ac:dyDescent="0.3">
      <c r="B6" s="1"/>
      <c r="D6" s="11" t="s">
        <v>2</v>
      </c>
      <c r="E6" s="2"/>
      <c r="F6" s="4" t="s">
        <v>7</v>
      </c>
      <c r="H6" s="4" t="s">
        <v>8</v>
      </c>
      <c r="J6" s="4" t="s">
        <v>9</v>
      </c>
      <c r="L6" s="4" t="s">
        <v>10</v>
      </c>
      <c r="N6" s="4" t="s">
        <v>9</v>
      </c>
    </row>
    <row r="7" spans="2:18" x14ac:dyDescent="0.3">
      <c r="B7" s="1"/>
      <c r="D7" s="8"/>
      <c r="F7" s="5" t="s">
        <v>48</v>
      </c>
      <c r="H7" s="5" t="s">
        <v>48</v>
      </c>
      <c r="J7" s="5" t="s">
        <v>48</v>
      </c>
      <c r="L7" s="5" t="s">
        <v>48</v>
      </c>
      <c r="N7" s="5" t="s">
        <v>48</v>
      </c>
    </row>
    <row r="8" spans="2:18" x14ac:dyDescent="0.3">
      <c r="B8" s="1"/>
      <c r="D8" s="8"/>
      <c r="F8" s="5" t="s">
        <v>49</v>
      </c>
      <c r="H8" s="5" t="s">
        <v>49</v>
      </c>
      <c r="J8" s="5" t="s">
        <v>49</v>
      </c>
      <c r="L8" s="5" t="s">
        <v>49</v>
      </c>
      <c r="N8" s="5" t="s">
        <v>49</v>
      </c>
    </row>
    <row r="9" spans="2:18" x14ac:dyDescent="0.3">
      <c r="B9" s="1"/>
      <c r="D9" s="8"/>
      <c r="F9" s="5" t="s">
        <v>50</v>
      </c>
      <c r="H9" s="5" t="s">
        <v>50</v>
      </c>
      <c r="J9" s="5" t="s">
        <v>50</v>
      </c>
      <c r="L9" s="5" t="s">
        <v>50</v>
      </c>
      <c r="N9" s="5" t="s">
        <v>50</v>
      </c>
    </row>
    <row r="10" spans="2:18" x14ac:dyDescent="0.3">
      <c r="B10" s="1"/>
      <c r="D10" s="8"/>
      <c r="F10" s="5" t="s">
        <v>52</v>
      </c>
      <c r="H10" s="5" t="s">
        <v>52</v>
      </c>
      <c r="J10" s="5" t="s">
        <v>52</v>
      </c>
      <c r="L10" s="5" t="s">
        <v>52</v>
      </c>
      <c r="N10" s="5" t="s">
        <v>52</v>
      </c>
    </row>
    <row r="11" spans="2:18" ht="17.25" thickBot="1" x14ac:dyDescent="0.35">
      <c r="B11" s="1"/>
      <c r="C11" s="3" t="s">
        <v>15</v>
      </c>
      <c r="D11" s="10" t="s">
        <v>47</v>
      </c>
      <c r="E11" s="21" t="s">
        <v>91</v>
      </c>
      <c r="F11" s="6" t="s">
        <v>55</v>
      </c>
      <c r="H11" s="6" t="s">
        <v>51</v>
      </c>
      <c r="J11" s="6" t="s">
        <v>51</v>
      </c>
      <c r="L11" s="6" t="s">
        <v>51</v>
      </c>
      <c r="N11" s="6" t="s">
        <v>51</v>
      </c>
    </row>
    <row r="12" spans="2:18" x14ac:dyDescent="0.3">
      <c r="D12" s="8"/>
    </row>
    <row r="13" spans="2:18" ht="17.25" thickBot="1" x14ac:dyDescent="0.35">
      <c r="D13" s="8"/>
    </row>
    <row r="14" spans="2:18" x14ac:dyDescent="0.3">
      <c r="D14" s="8"/>
      <c r="F14" s="4" t="s">
        <v>7</v>
      </c>
      <c r="H14" s="4" t="s">
        <v>8</v>
      </c>
      <c r="J14" s="4" t="s">
        <v>9</v>
      </c>
      <c r="L14" s="4" t="s">
        <v>10</v>
      </c>
      <c r="N14" s="4" t="s">
        <v>9</v>
      </c>
    </row>
    <row r="15" spans="2:18" x14ac:dyDescent="0.3">
      <c r="D15" s="8"/>
      <c r="F15" s="5" t="s">
        <v>48</v>
      </c>
      <c r="H15" s="5" t="s">
        <v>48</v>
      </c>
      <c r="J15" s="5" t="s">
        <v>48</v>
      </c>
      <c r="L15" s="5" t="s">
        <v>48</v>
      </c>
      <c r="N15" s="5" t="s">
        <v>48</v>
      </c>
    </row>
    <row r="16" spans="2:18" x14ac:dyDescent="0.3">
      <c r="D16" s="8"/>
      <c r="F16" s="5" t="s">
        <v>49</v>
      </c>
      <c r="H16" s="5" t="s">
        <v>49</v>
      </c>
      <c r="J16" s="5" t="s">
        <v>49</v>
      </c>
      <c r="L16" s="5" t="s">
        <v>49</v>
      </c>
      <c r="N16" s="5" t="s">
        <v>49</v>
      </c>
    </row>
    <row r="17" spans="4:14" x14ac:dyDescent="0.3">
      <c r="D17" s="8"/>
      <c r="F17" s="5" t="s">
        <v>50</v>
      </c>
      <c r="H17" s="5" t="s">
        <v>50</v>
      </c>
      <c r="J17" s="5" t="s">
        <v>50</v>
      </c>
      <c r="L17" s="5" t="s">
        <v>50</v>
      </c>
      <c r="N17" s="5" t="s">
        <v>50</v>
      </c>
    </row>
    <row r="18" spans="4:14" x14ac:dyDescent="0.3">
      <c r="D18" s="8"/>
      <c r="F18" s="5" t="s">
        <v>52</v>
      </c>
      <c r="H18" s="5" t="s">
        <v>52</v>
      </c>
      <c r="J18" s="5" t="s">
        <v>52</v>
      </c>
      <c r="L18" s="5" t="s">
        <v>52</v>
      </c>
      <c r="N18" s="5" t="s">
        <v>52</v>
      </c>
    </row>
    <row r="19" spans="4:14" ht="17.25" thickBot="1" x14ac:dyDescent="0.35">
      <c r="D19" s="8"/>
      <c r="F19" s="6" t="s">
        <v>51</v>
      </c>
      <c r="H19" s="6" t="s">
        <v>51</v>
      </c>
      <c r="J19" s="6" t="s">
        <v>51</v>
      </c>
      <c r="L19" s="6" t="s">
        <v>51</v>
      </c>
      <c r="N19" s="6" t="s">
        <v>51</v>
      </c>
    </row>
    <row r="20" spans="4:14" x14ac:dyDescent="0.3">
      <c r="D20" s="8"/>
    </row>
    <row r="21" spans="4:14" ht="17.25" thickBot="1" x14ac:dyDescent="0.35">
      <c r="D21" s="8"/>
    </row>
    <row r="22" spans="4:14" x14ac:dyDescent="0.3">
      <c r="D22" s="8"/>
      <c r="F22" s="4" t="s">
        <v>7</v>
      </c>
      <c r="H22" s="4" t="s">
        <v>8</v>
      </c>
      <c r="J22" s="4" t="s">
        <v>9</v>
      </c>
      <c r="L22" s="4" t="s">
        <v>10</v>
      </c>
      <c r="N22" s="4" t="s">
        <v>9</v>
      </c>
    </row>
    <row r="23" spans="4:14" x14ac:dyDescent="0.3">
      <c r="D23" s="8"/>
      <c r="F23" s="5" t="s">
        <v>48</v>
      </c>
      <c r="H23" s="5" t="s">
        <v>48</v>
      </c>
      <c r="J23" s="5" t="s">
        <v>48</v>
      </c>
      <c r="L23" s="5" t="s">
        <v>48</v>
      </c>
      <c r="N23" s="5" t="s">
        <v>48</v>
      </c>
    </row>
    <row r="24" spans="4:14" x14ac:dyDescent="0.3">
      <c r="D24" s="8"/>
      <c r="F24" s="5" t="s">
        <v>49</v>
      </c>
      <c r="H24" s="5" t="s">
        <v>49</v>
      </c>
      <c r="J24" s="5" t="s">
        <v>49</v>
      </c>
      <c r="L24" s="5" t="s">
        <v>49</v>
      </c>
      <c r="N24" s="5" t="s">
        <v>49</v>
      </c>
    </row>
    <row r="25" spans="4:14" x14ac:dyDescent="0.3">
      <c r="D25" s="8"/>
      <c r="F25" s="5" t="s">
        <v>50</v>
      </c>
      <c r="H25" s="5" t="s">
        <v>50</v>
      </c>
      <c r="J25" s="5" t="s">
        <v>50</v>
      </c>
      <c r="L25" s="5" t="s">
        <v>50</v>
      </c>
      <c r="N25" s="5" t="s">
        <v>50</v>
      </c>
    </row>
    <row r="26" spans="4:14" x14ac:dyDescent="0.3">
      <c r="D26" s="8"/>
      <c r="F26" s="5" t="s">
        <v>52</v>
      </c>
      <c r="H26" s="5" t="s">
        <v>52</v>
      </c>
      <c r="J26" s="5" t="s">
        <v>52</v>
      </c>
      <c r="L26" s="5" t="s">
        <v>52</v>
      </c>
      <c r="N26" s="5" t="s">
        <v>52</v>
      </c>
    </row>
    <row r="27" spans="4:14" ht="17.25" thickBot="1" x14ac:dyDescent="0.35">
      <c r="D27" s="8"/>
      <c r="F27" s="6" t="s">
        <v>51</v>
      </c>
      <c r="H27" s="6" t="s">
        <v>51</v>
      </c>
      <c r="J27" s="6" t="s">
        <v>51</v>
      </c>
      <c r="L27" s="6" t="s">
        <v>51</v>
      </c>
      <c r="N27" s="6" t="s">
        <v>51</v>
      </c>
    </row>
    <row r="28" spans="4:14" x14ac:dyDescent="0.3">
      <c r="D28" s="8"/>
    </row>
    <row r="29" spans="4:14" x14ac:dyDescent="0.3">
      <c r="D29" s="8"/>
    </row>
    <row r="30" spans="4:14" x14ac:dyDescent="0.3">
      <c r="D30" s="8"/>
      <c r="H30" s="78" t="s">
        <v>16</v>
      </c>
      <c r="I30" s="78"/>
      <c r="J30" s="78"/>
      <c r="K30" s="78"/>
      <c r="L30" s="78"/>
    </row>
    <row r="31" spans="4:14" x14ac:dyDescent="0.3">
      <c r="D31" s="8"/>
    </row>
    <row r="33" spans="4:6" x14ac:dyDescent="0.3">
      <c r="D33" t="s">
        <v>44</v>
      </c>
      <c r="F33" t="s">
        <v>53</v>
      </c>
    </row>
    <row r="34" spans="4:6" x14ac:dyDescent="0.3">
      <c r="F34" t="s">
        <v>54</v>
      </c>
    </row>
    <row r="35" spans="4:6" x14ac:dyDescent="0.3">
      <c r="F35" t="s">
        <v>56</v>
      </c>
    </row>
    <row r="36" spans="4:6" x14ac:dyDescent="0.3">
      <c r="F36" s="18"/>
    </row>
    <row r="37" spans="4:6" x14ac:dyDescent="0.3">
      <c r="F37" t="s">
        <v>63</v>
      </c>
    </row>
  </sheetData>
  <mergeCells count="1">
    <mergeCell ref="H30:L30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17A2-11FF-4A75-BE67-F776EC0B0FE4}">
  <dimension ref="B1:R33"/>
  <sheetViews>
    <sheetView showGridLines="0" topLeftCell="A12" workbookViewId="0">
      <selection activeCell="C34" sqref="C34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21.375" customWidth="1"/>
    <col min="8" max="8" width="21.625" customWidth="1"/>
    <col min="10" max="10" width="21.625" customWidth="1"/>
    <col min="12" max="12" width="21.125" customWidth="1"/>
    <col min="14" max="14" width="21.375" customWidth="1"/>
  </cols>
  <sheetData>
    <row r="1" spans="2:18" x14ac:dyDescent="0.3">
      <c r="D1" s="8"/>
      <c r="L1" t="s">
        <v>65</v>
      </c>
      <c r="M1" t="s">
        <v>66</v>
      </c>
    </row>
    <row r="2" spans="2:18" x14ac:dyDescent="0.3">
      <c r="D2" s="8"/>
    </row>
    <row r="3" spans="2:18" ht="17.25" thickBot="1" x14ac:dyDescent="0.35">
      <c r="D3" s="8"/>
    </row>
    <row r="4" spans="2:18" s="2" customFormat="1" ht="17.25" thickBot="1" x14ac:dyDescent="0.35">
      <c r="C4" s="14"/>
      <c r="D4" s="15"/>
      <c r="E4" s="14"/>
      <c r="F4" s="16" t="s">
        <v>1</v>
      </c>
      <c r="G4" s="14"/>
      <c r="H4" s="17" t="s">
        <v>11</v>
      </c>
      <c r="I4" s="14"/>
      <c r="J4" s="17" t="s">
        <v>12</v>
      </c>
      <c r="K4" s="14"/>
      <c r="L4" s="17" t="s">
        <v>13</v>
      </c>
      <c r="M4" s="14"/>
      <c r="N4" s="17" t="s">
        <v>14</v>
      </c>
      <c r="O4" s="27"/>
      <c r="P4" s="17" t="s">
        <v>143</v>
      </c>
      <c r="Q4" s="14"/>
      <c r="R4" s="14"/>
    </row>
    <row r="5" spans="2:18" ht="17.25" thickBot="1" x14ac:dyDescent="0.35">
      <c r="D5" s="8"/>
    </row>
    <row r="6" spans="2:18" x14ac:dyDescent="0.3">
      <c r="B6" s="1"/>
      <c r="D6" s="11" t="s">
        <v>2</v>
      </c>
      <c r="E6" s="2"/>
      <c r="F6" s="4" t="s">
        <v>7</v>
      </c>
      <c r="H6" s="4" t="s">
        <v>8</v>
      </c>
      <c r="J6" s="4" t="s">
        <v>9</v>
      </c>
      <c r="L6" s="4" t="s">
        <v>10</v>
      </c>
      <c r="N6" s="4" t="s">
        <v>9</v>
      </c>
      <c r="P6" t="s">
        <v>218</v>
      </c>
    </row>
    <row r="7" spans="2:18" x14ac:dyDescent="0.3">
      <c r="B7" s="1"/>
      <c r="D7" s="8"/>
      <c r="F7" s="5" t="s">
        <v>58</v>
      </c>
      <c r="H7" s="5" t="s">
        <v>58</v>
      </c>
      <c r="J7" s="5" t="s">
        <v>58</v>
      </c>
      <c r="L7" s="5" t="s">
        <v>58</v>
      </c>
      <c r="N7" s="5" t="s">
        <v>58</v>
      </c>
    </row>
    <row r="8" spans="2:18" x14ac:dyDescent="0.3">
      <c r="B8" s="1"/>
      <c r="D8" s="8"/>
      <c r="F8" s="5" t="s">
        <v>59</v>
      </c>
      <c r="H8" s="5" t="s">
        <v>59</v>
      </c>
      <c r="J8" s="5" t="s">
        <v>59</v>
      </c>
      <c r="L8" s="5" t="s">
        <v>59</v>
      </c>
      <c r="N8" s="5" t="s">
        <v>59</v>
      </c>
    </row>
    <row r="9" spans="2:18" x14ac:dyDescent="0.3">
      <c r="B9" s="1"/>
      <c r="D9" s="8"/>
      <c r="F9" s="5" t="s">
        <v>60</v>
      </c>
      <c r="H9" s="5" t="s">
        <v>60</v>
      </c>
      <c r="J9" s="5" t="s">
        <v>60</v>
      </c>
      <c r="L9" s="5" t="s">
        <v>60</v>
      </c>
      <c r="N9" s="5" t="s">
        <v>60</v>
      </c>
    </row>
    <row r="10" spans="2:18" ht="17.25" thickBot="1" x14ac:dyDescent="0.35">
      <c r="B10" s="1"/>
      <c r="D10" s="8"/>
      <c r="F10" s="6"/>
      <c r="H10" s="6"/>
      <c r="J10" s="6"/>
      <c r="L10" s="6"/>
      <c r="N10" s="6"/>
    </row>
    <row r="11" spans="2:18" x14ac:dyDescent="0.3">
      <c r="D11" s="8"/>
    </row>
    <row r="12" spans="2:18" ht="17.25" thickBot="1" x14ac:dyDescent="0.35">
      <c r="D12" s="8"/>
    </row>
    <row r="13" spans="2:18" x14ac:dyDescent="0.3">
      <c r="D13" s="8"/>
      <c r="F13" s="4" t="s">
        <v>7</v>
      </c>
      <c r="H13" s="4" t="s">
        <v>8</v>
      </c>
      <c r="J13" s="4" t="s">
        <v>9</v>
      </c>
      <c r="L13" s="4" t="s">
        <v>10</v>
      </c>
      <c r="N13" s="4" t="s">
        <v>9</v>
      </c>
    </row>
    <row r="14" spans="2:18" x14ac:dyDescent="0.3">
      <c r="D14" s="8"/>
      <c r="F14" s="5" t="s">
        <v>58</v>
      </c>
      <c r="H14" s="5" t="s">
        <v>58</v>
      </c>
      <c r="J14" s="5" t="s">
        <v>58</v>
      </c>
      <c r="L14" s="5" t="s">
        <v>58</v>
      </c>
      <c r="N14" s="5" t="s">
        <v>58</v>
      </c>
    </row>
    <row r="15" spans="2:18" x14ac:dyDescent="0.3">
      <c r="C15" s="3" t="s">
        <v>15</v>
      </c>
      <c r="D15" s="10" t="s">
        <v>57</v>
      </c>
      <c r="E15" s="21" t="s">
        <v>91</v>
      </c>
      <c r="F15" s="5" t="s">
        <v>59</v>
      </c>
      <c r="H15" s="5" t="s">
        <v>59</v>
      </c>
      <c r="J15" s="5" t="s">
        <v>59</v>
      </c>
      <c r="L15" s="5" t="s">
        <v>59</v>
      </c>
      <c r="N15" s="5" t="s">
        <v>59</v>
      </c>
    </row>
    <row r="16" spans="2:18" x14ac:dyDescent="0.3">
      <c r="D16" s="8"/>
      <c r="F16" s="5" t="s">
        <v>60</v>
      </c>
      <c r="H16" s="5" t="s">
        <v>60</v>
      </c>
      <c r="J16" s="5" t="s">
        <v>60</v>
      </c>
      <c r="L16" s="5" t="s">
        <v>60</v>
      </c>
      <c r="N16" s="5" t="s">
        <v>60</v>
      </c>
    </row>
    <row r="17" spans="4:14" ht="17.25" thickBot="1" x14ac:dyDescent="0.35">
      <c r="D17" s="8"/>
      <c r="F17" s="6"/>
      <c r="H17" s="6"/>
      <c r="J17" s="6"/>
      <c r="L17" s="6"/>
      <c r="N17" s="6"/>
    </row>
    <row r="18" spans="4:14" x14ac:dyDescent="0.3">
      <c r="D18" s="8"/>
    </row>
    <row r="19" spans="4:14" ht="17.25" thickBot="1" x14ac:dyDescent="0.35">
      <c r="D19" s="8"/>
    </row>
    <row r="20" spans="4:14" x14ac:dyDescent="0.3">
      <c r="D20" s="8"/>
      <c r="F20" s="4" t="s">
        <v>7</v>
      </c>
      <c r="H20" s="4" t="s">
        <v>8</v>
      </c>
      <c r="J20" s="4" t="s">
        <v>9</v>
      </c>
      <c r="L20" s="4" t="s">
        <v>10</v>
      </c>
      <c r="N20" s="4" t="s">
        <v>9</v>
      </c>
    </row>
    <row r="21" spans="4:14" x14ac:dyDescent="0.3">
      <c r="D21" s="8"/>
      <c r="F21" s="5" t="s">
        <v>58</v>
      </c>
      <c r="H21" s="5" t="s">
        <v>58</v>
      </c>
      <c r="J21" s="5" t="s">
        <v>58</v>
      </c>
      <c r="L21" s="5" t="s">
        <v>58</v>
      </c>
      <c r="N21" s="5" t="s">
        <v>58</v>
      </c>
    </row>
    <row r="22" spans="4:14" x14ac:dyDescent="0.3">
      <c r="D22" s="8"/>
      <c r="F22" s="5" t="s">
        <v>59</v>
      </c>
      <c r="H22" s="5" t="s">
        <v>59</v>
      </c>
      <c r="J22" s="5" t="s">
        <v>59</v>
      </c>
      <c r="L22" s="5" t="s">
        <v>59</v>
      </c>
      <c r="N22" s="5" t="s">
        <v>59</v>
      </c>
    </row>
    <row r="23" spans="4:14" x14ac:dyDescent="0.3">
      <c r="D23" s="8"/>
      <c r="F23" s="5" t="s">
        <v>60</v>
      </c>
      <c r="H23" s="5" t="s">
        <v>60</v>
      </c>
      <c r="J23" s="5" t="s">
        <v>60</v>
      </c>
      <c r="L23" s="5" t="s">
        <v>60</v>
      </c>
      <c r="N23" s="5" t="s">
        <v>60</v>
      </c>
    </row>
    <row r="24" spans="4:14" ht="17.25" thickBot="1" x14ac:dyDescent="0.35">
      <c r="D24" s="8"/>
      <c r="F24" s="6"/>
      <c r="H24" s="6"/>
      <c r="J24" s="6"/>
      <c r="L24" s="6"/>
      <c r="N24" s="6"/>
    </row>
    <row r="25" spans="4:14" x14ac:dyDescent="0.3">
      <c r="D25" s="8"/>
    </row>
    <row r="26" spans="4:14" x14ac:dyDescent="0.3">
      <c r="D26" s="8"/>
    </row>
    <row r="27" spans="4:14" x14ac:dyDescent="0.3">
      <c r="D27" s="8"/>
      <c r="H27" s="78" t="s">
        <v>16</v>
      </c>
      <c r="I27" s="78"/>
      <c r="J27" s="78"/>
      <c r="K27" s="78"/>
      <c r="L27" s="78"/>
    </row>
    <row r="28" spans="4:14" x14ac:dyDescent="0.3">
      <c r="D28" s="8"/>
    </row>
    <row r="30" spans="4:14" x14ac:dyDescent="0.3">
      <c r="D30" t="s">
        <v>44</v>
      </c>
      <c r="F30" t="s">
        <v>61</v>
      </c>
    </row>
    <row r="32" spans="4:14" x14ac:dyDescent="0.3">
      <c r="F32" t="s">
        <v>64</v>
      </c>
    </row>
    <row r="33" spans="6:6" x14ac:dyDescent="0.3">
      <c r="F33" s="18"/>
    </row>
  </sheetData>
  <mergeCells count="1">
    <mergeCell ref="H27:L27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14E8-452F-4F1F-BE17-47380913CBD2}">
  <dimension ref="B1:R33"/>
  <sheetViews>
    <sheetView showGridLines="0" topLeftCell="A12" workbookViewId="0">
      <selection activeCell="C34" sqref="C34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16" customWidth="1"/>
    <col min="8" max="8" width="21.625" customWidth="1"/>
    <col min="10" max="10" width="21.625" customWidth="1"/>
    <col min="12" max="12" width="21.125" customWidth="1"/>
    <col min="14" max="14" width="21.375" customWidth="1"/>
  </cols>
  <sheetData>
    <row r="1" spans="2:18" x14ac:dyDescent="0.3">
      <c r="D1" s="8"/>
      <c r="L1" t="s">
        <v>65</v>
      </c>
      <c r="M1" t="s">
        <v>66</v>
      </c>
    </row>
    <row r="2" spans="2:18" x14ac:dyDescent="0.3">
      <c r="D2" s="8"/>
    </row>
    <row r="3" spans="2:18" ht="17.25" thickBot="1" x14ac:dyDescent="0.35">
      <c r="D3" s="8"/>
    </row>
    <row r="4" spans="2:18" s="2" customFormat="1" ht="17.25" thickBot="1" x14ac:dyDescent="0.35">
      <c r="C4" s="14"/>
      <c r="D4" s="15"/>
      <c r="E4" s="14"/>
      <c r="F4" s="16" t="s">
        <v>1</v>
      </c>
      <c r="G4" s="14"/>
      <c r="H4" s="17" t="s">
        <v>11</v>
      </c>
      <c r="I4" s="14"/>
      <c r="J4" s="17" t="s">
        <v>12</v>
      </c>
      <c r="K4" s="14"/>
      <c r="L4" s="17" t="s">
        <v>13</v>
      </c>
      <c r="M4" s="14"/>
      <c r="N4" s="17" t="s">
        <v>14</v>
      </c>
      <c r="O4" s="27"/>
      <c r="P4" s="17" t="s">
        <v>143</v>
      </c>
      <c r="Q4" s="14"/>
      <c r="R4" s="14"/>
    </row>
    <row r="5" spans="2:18" x14ac:dyDescent="0.3">
      <c r="D5" s="8"/>
    </row>
    <row r="6" spans="2:18" x14ac:dyDescent="0.3">
      <c r="B6" s="1"/>
      <c r="D6" s="11"/>
      <c r="E6" s="2"/>
      <c r="F6" t="s">
        <v>72</v>
      </c>
      <c r="G6" s="61" t="s">
        <v>209</v>
      </c>
    </row>
    <row r="7" spans="2:18" x14ac:dyDescent="0.3">
      <c r="B7" s="1"/>
      <c r="D7" s="8"/>
      <c r="F7" t="s">
        <v>73</v>
      </c>
      <c r="G7" t="s">
        <v>74</v>
      </c>
      <c r="H7" t="s">
        <v>210</v>
      </c>
      <c r="I7" t="s">
        <v>208</v>
      </c>
      <c r="N7" t="s">
        <v>218</v>
      </c>
    </row>
    <row r="8" spans="2:18" x14ac:dyDescent="0.3">
      <c r="B8" s="1"/>
      <c r="D8" s="8"/>
      <c r="N8" t="s">
        <v>219</v>
      </c>
    </row>
    <row r="9" spans="2:18" x14ac:dyDescent="0.3">
      <c r="B9" s="1"/>
      <c r="D9" s="8"/>
      <c r="F9" t="s">
        <v>75</v>
      </c>
    </row>
    <row r="10" spans="2:18" x14ac:dyDescent="0.3">
      <c r="B10" s="1"/>
      <c r="D10" s="8"/>
      <c r="F10" t="s">
        <v>65</v>
      </c>
      <c r="G10" t="s">
        <v>211</v>
      </c>
      <c r="H10" t="s">
        <v>212</v>
      </c>
      <c r="I10" t="s">
        <v>213</v>
      </c>
      <c r="J10" t="s">
        <v>214</v>
      </c>
      <c r="K10" t="s">
        <v>112</v>
      </c>
      <c r="L10" t="s">
        <v>112</v>
      </c>
      <c r="M10" t="s">
        <v>112</v>
      </c>
      <c r="N10" t="s">
        <v>112</v>
      </c>
      <c r="O10" t="s">
        <v>215</v>
      </c>
      <c r="P10" t="s">
        <v>216</v>
      </c>
    </row>
    <row r="11" spans="2:18" x14ac:dyDescent="0.3">
      <c r="D11" s="8"/>
      <c r="F11" s="62">
        <v>45658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 s="63">
        <v>0.5</v>
      </c>
    </row>
    <row r="12" spans="2:18" x14ac:dyDescent="0.3">
      <c r="D12" s="8"/>
      <c r="F12" s="62">
        <v>45659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 s="63">
        <v>0.5</v>
      </c>
    </row>
    <row r="13" spans="2:18" x14ac:dyDescent="0.3">
      <c r="D13" s="8"/>
      <c r="F13" s="62">
        <v>45660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  <c r="O13" s="63">
        <v>0.6</v>
      </c>
    </row>
    <row r="14" spans="2:18" x14ac:dyDescent="0.3">
      <c r="D14" s="8"/>
      <c r="F14" s="62">
        <v>45661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 s="63">
        <v>0.7</v>
      </c>
    </row>
    <row r="15" spans="2:18" x14ac:dyDescent="0.3">
      <c r="D15" s="11" t="s">
        <v>57</v>
      </c>
      <c r="E15" s="21"/>
      <c r="F15" s="62">
        <v>45662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 s="63">
        <v>0.8</v>
      </c>
    </row>
    <row r="16" spans="2:18" x14ac:dyDescent="0.3">
      <c r="D16" s="20" t="s">
        <v>90</v>
      </c>
      <c r="F16" s="62">
        <v>45663</v>
      </c>
      <c r="G16">
        <v>0</v>
      </c>
      <c r="H16">
        <v>1</v>
      </c>
      <c r="I16">
        <v>2</v>
      </c>
      <c r="J16">
        <v>3</v>
      </c>
      <c r="K16">
        <v>4</v>
      </c>
      <c r="L16">
        <v>5</v>
      </c>
      <c r="M16">
        <v>6</v>
      </c>
      <c r="N16">
        <v>7</v>
      </c>
      <c r="O16" s="63">
        <v>0.5</v>
      </c>
    </row>
    <row r="17" spans="3:14" x14ac:dyDescent="0.3">
      <c r="C17" s="3" t="s">
        <v>15</v>
      </c>
      <c r="D17" s="64" t="s">
        <v>217</v>
      </c>
      <c r="E17" s="21" t="s">
        <v>91</v>
      </c>
      <c r="F17" s="62">
        <v>45664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</row>
    <row r="18" spans="3:14" x14ac:dyDescent="0.3">
      <c r="D18" s="8"/>
      <c r="F18" s="62">
        <v>45665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</row>
    <row r="19" spans="3:14" x14ac:dyDescent="0.3">
      <c r="D19" s="8"/>
      <c r="F19" s="62">
        <v>45666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</row>
    <row r="20" spans="3:14" x14ac:dyDescent="0.3">
      <c r="D20" s="8"/>
      <c r="F20" s="62">
        <v>45667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</row>
    <row r="21" spans="3:14" x14ac:dyDescent="0.3">
      <c r="D21" s="8"/>
      <c r="F21" s="62">
        <v>45668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</row>
    <row r="22" spans="3:14" x14ac:dyDescent="0.3">
      <c r="D22" s="8"/>
      <c r="F22" s="62">
        <v>45669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</row>
    <row r="23" spans="3:14" x14ac:dyDescent="0.3">
      <c r="D23" s="8"/>
      <c r="F23" s="2" t="s">
        <v>112</v>
      </c>
    </row>
    <row r="24" spans="3:14" x14ac:dyDescent="0.3">
      <c r="D24" s="8"/>
      <c r="F24" s="2" t="s">
        <v>112</v>
      </c>
    </row>
    <row r="25" spans="3:14" x14ac:dyDescent="0.3">
      <c r="D25" s="8"/>
      <c r="F25" s="2" t="s">
        <v>112</v>
      </c>
    </row>
    <row r="26" spans="3:14" x14ac:dyDescent="0.3">
      <c r="D26" s="8"/>
      <c r="F26" s="2" t="s">
        <v>112</v>
      </c>
    </row>
    <row r="27" spans="3:14" x14ac:dyDescent="0.3">
      <c r="D27" s="8"/>
      <c r="F27" s="2" t="s">
        <v>112</v>
      </c>
    </row>
    <row r="28" spans="3:14" x14ac:dyDescent="0.3">
      <c r="D28" s="8"/>
      <c r="F28" s="2" t="s">
        <v>112</v>
      </c>
    </row>
    <row r="30" spans="3:14" x14ac:dyDescent="0.3">
      <c r="D30" t="s">
        <v>44</v>
      </c>
      <c r="F30" t="s">
        <v>61</v>
      </c>
    </row>
    <row r="32" spans="3:14" x14ac:dyDescent="0.3">
      <c r="F32" t="s">
        <v>64</v>
      </c>
    </row>
    <row r="33" spans="6:6" x14ac:dyDescent="0.3">
      <c r="F33" s="18"/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2765-998C-49F4-ABD4-88ECE542265A}">
  <dimension ref="B1:R33"/>
  <sheetViews>
    <sheetView showGridLines="0" topLeftCell="A33" zoomScale="85" zoomScaleNormal="85" workbookViewId="0">
      <selection activeCell="C35" sqref="C35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21.375" customWidth="1"/>
    <col min="8" max="8" width="21.625" customWidth="1"/>
    <col min="10" max="10" width="21.625" customWidth="1"/>
    <col min="12" max="12" width="21.125" customWidth="1"/>
    <col min="14" max="14" width="21.375" customWidth="1"/>
  </cols>
  <sheetData>
    <row r="1" spans="2:18" x14ac:dyDescent="0.3">
      <c r="D1" s="8"/>
      <c r="L1" t="s">
        <v>65</v>
      </c>
      <c r="M1" t="s">
        <v>66</v>
      </c>
    </row>
    <row r="2" spans="2:18" x14ac:dyDescent="0.3">
      <c r="D2" s="8"/>
    </row>
    <row r="3" spans="2:18" ht="17.25" thickBot="1" x14ac:dyDescent="0.35">
      <c r="D3" s="8"/>
    </row>
    <row r="4" spans="2:18" s="2" customFormat="1" ht="17.25" thickBot="1" x14ac:dyDescent="0.35">
      <c r="C4" s="14"/>
      <c r="D4" s="15"/>
      <c r="E4" s="14"/>
      <c r="F4" s="17" t="s">
        <v>1</v>
      </c>
      <c r="G4" s="14"/>
      <c r="H4" s="16" t="s">
        <v>11</v>
      </c>
      <c r="I4" s="14"/>
      <c r="J4" s="17" t="s">
        <v>12</v>
      </c>
      <c r="K4" s="14"/>
      <c r="L4" s="17" t="s">
        <v>13</v>
      </c>
      <c r="M4" s="14"/>
      <c r="N4" s="17" t="s">
        <v>14</v>
      </c>
      <c r="O4" s="27"/>
      <c r="P4" s="17" t="s">
        <v>143</v>
      </c>
      <c r="Q4" s="14"/>
      <c r="R4" s="14"/>
    </row>
    <row r="5" spans="2:18" x14ac:dyDescent="0.3">
      <c r="D5" s="8"/>
    </row>
    <row r="6" spans="2:18" x14ac:dyDescent="0.3">
      <c r="B6" s="1"/>
      <c r="D6" s="10" t="s">
        <v>67</v>
      </c>
      <c r="E6" s="21" t="s">
        <v>91</v>
      </c>
      <c r="F6" t="s">
        <v>72</v>
      </c>
    </row>
    <row r="7" spans="2:18" x14ac:dyDescent="0.3">
      <c r="B7" s="1"/>
      <c r="D7" s="11"/>
      <c r="F7" s="19" t="s">
        <v>73</v>
      </c>
      <c r="G7" s="19" t="s">
        <v>74</v>
      </c>
      <c r="H7" s="19" t="s">
        <v>75</v>
      </c>
    </row>
    <row r="8" spans="2:18" x14ac:dyDescent="0.3">
      <c r="B8" s="1"/>
      <c r="D8" s="11" t="s">
        <v>68</v>
      </c>
    </row>
    <row r="9" spans="2:18" x14ac:dyDescent="0.3">
      <c r="B9" s="1"/>
      <c r="D9" s="11"/>
    </row>
    <row r="10" spans="2:18" x14ac:dyDescent="0.3">
      <c r="B10" s="1"/>
      <c r="D10" s="11" t="s">
        <v>69</v>
      </c>
      <c r="F10" t="s">
        <v>77</v>
      </c>
      <c r="H10" t="s">
        <v>78</v>
      </c>
    </row>
    <row r="11" spans="2:18" x14ac:dyDescent="0.3">
      <c r="D11" s="11"/>
      <c r="F11" t="s">
        <v>81</v>
      </c>
      <c r="H11" t="s">
        <v>82</v>
      </c>
      <c r="I11" t="s">
        <v>85</v>
      </c>
    </row>
    <row r="12" spans="2:18" x14ac:dyDescent="0.3">
      <c r="D12" s="11" t="s">
        <v>70</v>
      </c>
      <c r="F12" t="s">
        <v>81</v>
      </c>
      <c r="H12" t="s">
        <v>83</v>
      </c>
    </row>
    <row r="13" spans="2:18" x14ac:dyDescent="0.3">
      <c r="D13" s="11"/>
      <c r="F13" t="s">
        <v>81</v>
      </c>
      <c r="H13" t="s">
        <v>84</v>
      </c>
    </row>
    <row r="14" spans="2:18" x14ac:dyDescent="0.3">
      <c r="D14" s="11" t="s">
        <v>71</v>
      </c>
    </row>
    <row r="15" spans="2:18" x14ac:dyDescent="0.3">
      <c r="D15" s="11"/>
    </row>
    <row r="16" spans="2:18" x14ac:dyDescent="0.3">
      <c r="D16" s="11"/>
    </row>
    <row r="17" spans="4:12" x14ac:dyDescent="0.3">
      <c r="D17" s="11"/>
    </row>
    <row r="18" spans="4:12" x14ac:dyDescent="0.3">
      <c r="D18" s="11"/>
    </row>
    <row r="19" spans="4:12" x14ac:dyDescent="0.3">
      <c r="D19" s="8"/>
    </row>
    <row r="20" spans="4:12" x14ac:dyDescent="0.3">
      <c r="D20" s="8"/>
    </row>
    <row r="21" spans="4:12" x14ac:dyDescent="0.3">
      <c r="D21" s="8"/>
    </row>
    <row r="22" spans="4:12" x14ac:dyDescent="0.3">
      <c r="D22" s="8"/>
    </row>
    <row r="23" spans="4:12" x14ac:dyDescent="0.3">
      <c r="D23" s="8"/>
    </row>
    <row r="24" spans="4:12" x14ac:dyDescent="0.3">
      <c r="D24" s="8"/>
    </row>
    <row r="25" spans="4:12" x14ac:dyDescent="0.3">
      <c r="D25" s="8"/>
    </row>
    <row r="26" spans="4:12" x14ac:dyDescent="0.3">
      <c r="D26" s="8"/>
    </row>
    <row r="27" spans="4:12" x14ac:dyDescent="0.3">
      <c r="D27" s="8"/>
      <c r="H27" s="78" t="s">
        <v>16</v>
      </c>
      <c r="I27" s="78"/>
      <c r="J27" s="78"/>
      <c r="K27" s="78"/>
      <c r="L27" s="78"/>
    </row>
    <row r="28" spans="4:12" x14ac:dyDescent="0.3">
      <c r="D28" s="8"/>
    </row>
    <row r="30" spans="4:12" x14ac:dyDescent="0.3">
      <c r="D30" t="s">
        <v>44</v>
      </c>
      <c r="F30" t="s">
        <v>76</v>
      </c>
    </row>
    <row r="32" spans="4:12" x14ac:dyDescent="0.3">
      <c r="F32" t="s">
        <v>79</v>
      </c>
    </row>
    <row r="33" spans="6:6" x14ac:dyDescent="0.3">
      <c r="F33" s="18" t="s">
        <v>80</v>
      </c>
    </row>
  </sheetData>
  <mergeCells count="1">
    <mergeCell ref="H27:L27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7BC0-2434-458F-8C34-DDE14734BB63}">
  <dimension ref="B1:R37"/>
  <sheetViews>
    <sheetView showGridLines="0" topLeftCell="A19" zoomScale="70" zoomScaleNormal="70" workbookViewId="0">
      <selection activeCell="H30" sqref="H30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21.375" customWidth="1"/>
    <col min="8" max="8" width="21.625" customWidth="1"/>
    <col min="10" max="10" width="21.625" customWidth="1"/>
    <col min="12" max="12" width="21.125" customWidth="1"/>
    <col min="14" max="14" width="21.375" customWidth="1"/>
    <col min="16" max="16" width="5.875" customWidth="1"/>
    <col min="18" max="18" width="10.875" bestFit="1" customWidth="1"/>
  </cols>
  <sheetData>
    <row r="1" spans="2:18" x14ac:dyDescent="0.3">
      <c r="D1" s="8"/>
      <c r="L1" t="s">
        <v>65</v>
      </c>
      <c r="M1" t="s">
        <v>66</v>
      </c>
    </row>
    <row r="2" spans="2:18" x14ac:dyDescent="0.3">
      <c r="D2" s="8"/>
    </row>
    <row r="3" spans="2:18" ht="17.25" thickBot="1" x14ac:dyDescent="0.35">
      <c r="D3" s="8"/>
    </row>
    <row r="4" spans="2:18" s="2" customFormat="1" ht="17.25" thickBot="1" x14ac:dyDescent="0.35">
      <c r="C4" s="14"/>
      <c r="D4" s="15"/>
      <c r="E4" s="14"/>
      <c r="F4" s="17" t="s">
        <v>1</v>
      </c>
      <c r="G4" s="14"/>
      <c r="H4" s="16" t="s">
        <v>11</v>
      </c>
      <c r="I4" s="14"/>
      <c r="J4" s="17" t="s">
        <v>12</v>
      </c>
      <c r="K4" s="14"/>
      <c r="L4" s="17" t="s">
        <v>13</v>
      </c>
      <c r="M4" s="14"/>
      <c r="N4" s="17" t="s">
        <v>14</v>
      </c>
      <c r="O4" s="27"/>
      <c r="P4" s="17" t="s">
        <v>143</v>
      </c>
      <c r="Q4" s="14"/>
      <c r="R4" s="14"/>
    </row>
    <row r="5" spans="2:18" x14ac:dyDescent="0.3">
      <c r="D5" s="8"/>
      <c r="F5" s="81" t="s">
        <v>180</v>
      </c>
      <c r="G5" s="81"/>
      <c r="H5" s="81"/>
      <c r="I5" s="81"/>
      <c r="J5" s="81"/>
      <c r="K5" s="81"/>
      <c r="L5" s="81"/>
      <c r="M5" t="s">
        <v>178</v>
      </c>
      <c r="N5" t="s">
        <v>179</v>
      </c>
      <c r="P5" s="80" t="s">
        <v>128</v>
      </c>
      <c r="Q5" s="81"/>
      <c r="R5" s="81"/>
    </row>
    <row r="6" spans="2:18" x14ac:dyDescent="0.3">
      <c r="B6" s="1"/>
      <c r="D6" s="10" t="s">
        <v>67</v>
      </c>
      <c r="E6" s="2"/>
      <c r="P6" s="28" t="s">
        <v>129</v>
      </c>
      <c r="Q6" t="s">
        <v>130</v>
      </c>
      <c r="R6" s="37">
        <v>120000</v>
      </c>
    </row>
    <row r="7" spans="2:18" x14ac:dyDescent="0.3">
      <c r="B7" s="1"/>
      <c r="D7" s="20" t="s">
        <v>90</v>
      </c>
      <c r="F7" s="25" t="s">
        <v>103</v>
      </c>
      <c r="H7" s="25" t="s">
        <v>104</v>
      </c>
      <c r="J7" s="25" t="s">
        <v>105</v>
      </c>
      <c r="L7" s="25" t="s">
        <v>106</v>
      </c>
      <c r="N7" s="25" t="s">
        <v>107</v>
      </c>
      <c r="P7" s="28"/>
      <c r="Q7" t="s">
        <v>131</v>
      </c>
      <c r="R7" s="37">
        <v>10000</v>
      </c>
    </row>
    <row r="8" spans="2:18" x14ac:dyDescent="0.3">
      <c r="B8" s="1"/>
      <c r="D8" s="10" t="s">
        <v>86</v>
      </c>
      <c r="E8" s="21" t="s">
        <v>91</v>
      </c>
      <c r="F8" s="22"/>
      <c r="H8" s="22"/>
      <c r="J8" s="22"/>
      <c r="L8" s="22"/>
      <c r="N8" s="22"/>
      <c r="P8" s="28"/>
      <c r="Q8" t="s">
        <v>132</v>
      </c>
      <c r="R8" s="37">
        <v>100000</v>
      </c>
    </row>
    <row r="9" spans="2:18" x14ac:dyDescent="0.3">
      <c r="B9" s="1"/>
      <c r="D9" s="20" t="s">
        <v>90</v>
      </c>
      <c r="E9" s="21"/>
      <c r="F9" s="24" t="s">
        <v>256</v>
      </c>
      <c r="H9" s="24" t="s">
        <v>255</v>
      </c>
      <c r="J9" s="24" t="s">
        <v>109</v>
      </c>
      <c r="L9" s="24" t="s">
        <v>110</v>
      </c>
      <c r="N9" s="24" t="s">
        <v>111</v>
      </c>
      <c r="P9" s="28"/>
      <c r="R9" s="37"/>
    </row>
    <row r="10" spans="2:18" x14ac:dyDescent="0.3">
      <c r="B10" s="1"/>
      <c r="D10" s="11" t="s">
        <v>87</v>
      </c>
      <c r="F10" s="24" t="s">
        <v>92</v>
      </c>
      <c r="H10" s="24" t="s">
        <v>92</v>
      </c>
      <c r="J10" s="24" t="s">
        <v>92</v>
      </c>
      <c r="L10" s="24" t="s">
        <v>92</v>
      </c>
      <c r="N10" s="24" t="s">
        <v>92</v>
      </c>
      <c r="P10" s="28" t="s">
        <v>133</v>
      </c>
      <c r="Q10" t="s">
        <v>130</v>
      </c>
      <c r="R10" s="37">
        <v>1200000</v>
      </c>
    </row>
    <row r="11" spans="2:18" x14ac:dyDescent="0.3">
      <c r="D11" s="20" t="s">
        <v>90</v>
      </c>
      <c r="F11" s="26" t="s">
        <v>93</v>
      </c>
      <c r="H11" s="26" t="s">
        <v>93</v>
      </c>
      <c r="J11" s="26" t="s">
        <v>93</v>
      </c>
      <c r="L11" s="26" t="s">
        <v>93</v>
      </c>
      <c r="N11" s="26" t="s">
        <v>93</v>
      </c>
      <c r="P11" s="28"/>
      <c r="Q11" t="s">
        <v>131</v>
      </c>
      <c r="R11" s="37">
        <v>100000</v>
      </c>
    </row>
    <row r="12" spans="2:18" x14ac:dyDescent="0.3">
      <c r="D12" s="11" t="s">
        <v>88</v>
      </c>
      <c r="P12" s="28"/>
      <c r="Q12" t="s">
        <v>132</v>
      </c>
      <c r="R12" s="37">
        <v>1000000</v>
      </c>
    </row>
    <row r="13" spans="2:18" x14ac:dyDescent="0.3">
      <c r="D13" s="20" t="s">
        <v>90</v>
      </c>
      <c r="P13" s="28"/>
      <c r="R13" s="37"/>
    </row>
    <row r="14" spans="2:18" x14ac:dyDescent="0.3">
      <c r="D14" s="11" t="s">
        <v>89</v>
      </c>
      <c r="F14" s="25" t="s">
        <v>113</v>
      </c>
      <c r="H14" s="25" t="s">
        <v>114</v>
      </c>
      <c r="J14" s="25" t="s">
        <v>115</v>
      </c>
      <c r="L14" s="25" t="s">
        <v>116</v>
      </c>
      <c r="N14" s="25" t="s">
        <v>117</v>
      </c>
      <c r="P14" s="28" t="s">
        <v>163</v>
      </c>
      <c r="Q14" t="s">
        <v>164</v>
      </c>
    </row>
    <row r="15" spans="2:18" x14ac:dyDescent="0.3">
      <c r="D15" s="8"/>
      <c r="F15" s="22"/>
      <c r="H15" s="22"/>
      <c r="J15" s="22"/>
      <c r="L15" s="22"/>
      <c r="N15" s="22"/>
      <c r="P15" s="28"/>
    </row>
    <row r="16" spans="2:18" x14ac:dyDescent="0.3">
      <c r="D16" s="11"/>
      <c r="F16" s="24" t="s">
        <v>118</v>
      </c>
      <c r="H16" s="24" t="s">
        <v>119</v>
      </c>
      <c r="J16" s="24" t="s">
        <v>120</v>
      </c>
      <c r="L16" s="24" t="s">
        <v>121</v>
      </c>
      <c r="N16" s="24" t="s">
        <v>111</v>
      </c>
      <c r="P16" s="28"/>
    </row>
    <row r="17" spans="4:18" x14ac:dyDescent="0.3">
      <c r="D17" s="8"/>
      <c r="F17" s="24" t="s">
        <v>126</v>
      </c>
      <c r="H17" s="24" t="s">
        <v>92</v>
      </c>
      <c r="J17" s="24" t="s">
        <v>92</v>
      </c>
      <c r="L17" s="24" t="s">
        <v>92</v>
      </c>
      <c r="N17" s="24" t="s">
        <v>92</v>
      </c>
      <c r="P17" s="28"/>
    </row>
    <row r="18" spans="4:18" x14ac:dyDescent="0.3">
      <c r="D18" s="8"/>
      <c r="F18" s="26" t="s">
        <v>127</v>
      </c>
      <c r="H18" s="26" t="s">
        <v>93</v>
      </c>
      <c r="J18" s="26" t="s">
        <v>93</v>
      </c>
      <c r="L18" s="26" t="s">
        <v>93</v>
      </c>
      <c r="N18" s="26" t="s">
        <v>93</v>
      </c>
      <c r="P18" s="28"/>
    </row>
    <row r="19" spans="4:18" x14ac:dyDescent="0.3">
      <c r="D19" s="8"/>
      <c r="P19" s="28"/>
    </row>
    <row r="20" spans="4:18" x14ac:dyDescent="0.3">
      <c r="D20" s="8"/>
      <c r="F20" s="2" t="s">
        <v>112</v>
      </c>
      <c r="H20" s="2" t="s">
        <v>112</v>
      </c>
      <c r="J20" s="2" t="s">
        <v>112</v>
      </c>
      <c r="L20" s="2" t="s">
        <v>112</v>
      </c>
      <c r="N20" s="2" t="s">
        <v>112</v>
      </c>
      <c r="P20" s="28"/>
    </row>
    <row r="21" spans="4:18" x14ac:dyDescent="0.3">
      <c r="D21" s="8"/>
      <c r="F21" s="2" t="s">
        <v>112</v>
      </c>
      <c r="H21" s="2" t="s">
        <v>112</v>
      </c>
      <c r="J21" s="2" t="s">
        <v>112</v>
      </c>
      <c r="L21" s="2" t="s">
        <v>112</v>
      </c>
      <c r="N21" s="2" t="s">
        <v>112</v>
      </c>
      <c r="P21" s="28"/>
    </row>
    <row r="22" spans="4:18" x14ac:dyDescent="0.3">
      <c r="D22" s="8"/>
      <c r="F22" s="2" t="s">
        <v>112</v>
      </c>
      <c r="H22" s="2" t="s">
        <v>112</v>
      </c>
      <c r="J22" s="2" t="s">
        <v>112</v>
      </c>
      <c r="L22" s="2" t="s">
        <v>112</v>
      </c>
      <c r="N22" s="2" t="s">
        <v>112</v>
      </c>
      <c r="P22" s="28"/>
    </row>
    <row r="23" spans="4:18" ht="17.25" thickBot="1" x14ac:dyDescent="0.35">
      <c r="D23" s="8"/>
      <c r="F23" s="2" t="s">
        <v>112</v>
      </c>
      <c r="H23" s="2" t="s">
        <v>112</v>
      </c>
      <c r="J23" s="2" t="s">
        <v>112</v>
      </c>
      <c r="L23" s="2" t="s">
        <v>112</v>
      </c>
      <c r="N23" s="2" t="s">
        <v>112</v>
      </c>
      <c r="P23" s="28"/>
    </row>
    <row r="24" spans="4:18" ht="17.25" thickBot="1" x14ac:dyDescent="0.35">
      <c r="D24" s="11" t="s">
        <v>67</v>
      </c>
      <c r="P24" s="28"/>
      <c r="Q24" s="49" t="s">
        <v>134</v>
      </c>
      <c r="R24" t="s">
        <v>139</v>
      </c>
    </row>
    <row r="25" spans="4:18" ht="17.25" thickBot="1" x14ac:dyDescent="0.35">
      <c r="D25" s="11" t="s">
        <v>68</v>
      </c>
      <c r="F25" s="2" t="s">
        <v>112</v>
      </c>
      <c r="H25" s="2" t="s">
        <v>112</v>
      </c>
      <c r="J25" s="2" t="s">
        <v>112</v>
      </c>
      <c r="L25" s="2" t="s">
        <v>112</v>
      </c>
      <c r="N25" s="2" t="s">
        <v>112</v>
      </c>
      <c r="P25" s="28"/>
    </row>
    <row r="26" spans="4:18" ht="17.25" thickBot="1" x14ac:dyDescent="0.35">
      <c r="D26" s="11" t="s">
        <v>69</v>
      </c>
      <c r="F26" s="2" t="s">
        <v>112</v>
      </c>
      <c r="H26" s="2" t="s">
        <v>112</v>
      </c>
      <c r="J26" s="2" t="s">
        <v>112</v>
      </c>
      <c r="L26" s="2" t="s">
        <v>112</v>
      </c>
      <c r="N26" s="2" t="s">
        <v>112</v>
      </c>
      <c r="P26" s="28"/>
      <c r="Q26" s="49" t="s">
        <v>135</v>
      </c>
      <c r="R26" t="s">
        <v>138</v>
      </c>
    </row>
    <row r="27" spans="4:18" ht="17.25" thickBot="1" x14ac:dyDescent="0.35">
      <c r="D27" s="11" t="s">
        <v>70</v>
      </c>
      <c r="F27" s="2" t="s">
        <v>112</v>
      </c>
      <c r="H27" s="2" t="s">
        <v>112</v>
      </c>
      <c r="J27" s="2" t="s">
        <v>112</v>
      </c>
      <c r="L27" s="2" t="s">
        <v>112</v>
      </c>
      <c r="N27" s="2" t="s">
        <v>112</v>
      </c>
      <c r="P27" s="28"/>
    </row>
    <row r="28" spans="4:18" ht="17.25" thickBot="1" x14ac:dyDescent="0.35">
      <c r="D28" s="11" t="s">
        <v>71</v>
      </c>
      <c r="F28" s="2" t="s">
        <v>112</v>
      </c>
      <c r="H28" s="2" t="s">
        <v>112</v>
      </c>
      <c r="J28" s="2" t="s">
        <v>112</v>
      </c>
      <c r="L28" s="2" t="s">
        <v>112</v>
      </c>
      <c r="N28" s="2" t="s">
        <v>112</v>
      </c>
      <c r="P28" s="28"/>
      <c r="Q28" s="49" t="s">
        <v>136</v>
      </c>
      <c r="R28" t="s">
        <v>138</v>
      </c>
    </row>
    <row r="30" spans="4:18" x14ac:dyDescent="0.3">
      <c r="D30" t="s">
        <v>44</v>
      </c>
      <c r="F30" t="s">
        <v>102</v>
      </c>
      <c r="J30" t="s">
        <v>140</v>
      </c>
    </row>
    <row r="31" spans="4:18" x14ac:dyDescent="0.3">
      <c r="F31" t="s">
        <v>100</v>
      </c>
    </row>
    <row r="32" spans="4:18" x14ac:dyDescent="0.3">
      <c r="E32" s="79" t="s">
        <v>125</v>
      </c>
      <c r="F32" s="29" t="s">
        <v>123</v>
      </c>
      <c r="G32" s="32" t="s">
        <v>95</v>
      </c>
    </row>
    <row r="33" spans="5:7" x14ac:dyDescent="0.3">
      <c r="E33" s="78"/>
      <c r="F33" s="30" t="s">
        <v>122</v>
      </c>
      <c r="G33" s="33" t="s">
        <v>96</v>
      </c>
    </row>
    <row r="34" spans="5:7" x14ac:dyDescent="0.3">
      <c r="E34" s="78"/>
      <c r="F34" s="31" t="s">
        <v>124</v>
      </c>
      <c r="G34" s="34" t="s">
        <v>97</v>
      </c>
    </row>
    <row r="35" spans="5:7" x14ac:dyDescent="0.3">
      <c r="G35" s="3" t="s">
        <v>98</v>
      </c>
    </row>
    <row r="36" spans="5:7" x14ac:dyDescent="0.3">
      <c r="G36" s="35" t="s">
        <v>99</v>
      </c>
    </row>
    <row r="37" spans="5:7" x14ac:dyDescent="0.3">
      <c r="G37" s="36" t="s">
        <v>101</v>
      </c>
    </row>
  </sheetData>
  <mergeCells count="3">
    <mergeCell ref="E32:E34"/>
    <mergeCell ref="P5:R5"/>
    <mergeCell ref="F5:L5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149D-6411-4F0E-B134-B5885BE1BC9F}">
  <dimension ref="B1:R37"/>
  <sheetViews>
    <sheetView showGridLines="0" topLeftCell="A21" zoomScale="70" zoomScaleNormal="70" workbookViewId="0">
      <selection activeCell="C42" sqref="C42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21.375" customWidth="1"/>
    <col min="8" max="8" width="21.625" customWidth="1"/>
    <col min="10" max="10" width="21.625" customWidth="1"/>
    <col min="12" max="12" width="21.125" customWidth="1"/>
    <col min="14" max="14" width="21.375" customWidth="1"/>
    <col min="16" max="16" width="5.875" customWidth="1"/>
    <col min="18" max="18" width="10.875" bestFit="1" customWidth="1"/>
  </cols>
  <sheetData>
    <row r="1" spans="2:18" x14ac:dyDescent="0.3">
      <c r="D1" s="8"/>
      <c r="F1" t="s">
        <v>140</v>
      </c>
      <c r="L1" t="s">
        <v>65</v>
      </c>
      <c r="M1" t="s">
        <v>66</v>
      </c>
    </row>
    <row r="2" spans="2:18" x14ac:dyDescent="0.3">
      <c r="D2" s="8"/>
    </row>
    <row r="3" spans="2:18" ht="17.25" thickBot="1" x14ac:dyDescent="0.35">
      <c r="D3" s="8"/>
    </row>
    <row r="4" spans="2:18" s="2" customFormat="1" ht="17.25" thickBot="1" x14ac:dyDescent="0.35">
      <c r="C4" s="14"/>
      <c r="D4" s="15"/>
      <c r="E4" s="14"/>
      <c r="F4" s="17" t="s">
        <v>1</v>
      </c>
      <c r="G4" s="14"/>
      <c r="H4" s="16" t="s">
        <v>11</v>
      </c>
      <c r="I4" s="14"/>
      <c r="J4" s="17" t="s">
        <v>12</v>
      </c>
      <c r="K4" s="14"/>
      <c r="L4" s="17" t="s">
        <v>13</v>
      </c>
      <c r="M4" s="14"/>
      <c r="N4" s="17" t="s">
        <v>14</v>
      </c>
      <c r="O4" s="27"/>
      <c r="P4" s="17" t="s">
        <v>143</v>
      </c>
      <c r="Q4" s="14"/>
      <c r="R4" s="14"/>
    </row>
    <row r="5" spans="2:18" x14ac:dyDescent="0.3">
      <c r="D5" s="8"/>
      <c r="F5" s="81" t="s">
        <v>180</v>
      </c>
      <c r="G5" s="81"/>
      <c r="H5" s="81"/>
      <c r="I5" s="81"/>
      <c r="J5" s="81"/>
      <c r="K5" s="81"/>
      <c r="L5" s="81"/>
      <c r="M5" t="s">
        <v>178</v>
      </c>
      <c r="N5" t="s">
        <v>179</v>
      </c>
      <c r="P5" s="80" t="s">
        <v>128</v>
      </c>
      <c r="Q5" s="81"/>
      <c r="R5" s="81"/>
    </row>
    <row r="6" spans="2:18" x14ac:dyDescent="0.3">
      <c r="B6" s="1"/>
      <c r="D6" s="10" t="s">
        <v>67</v>
      </c>
      <c r="E6" s="2"/>
      <c r="P6" s="28" t="s">
        <v>129</v>
      </c>
      <c r="Q6" t="s">
        <v>130</v>
      </c>
      <c r="R6" s="37">
        <v>120000</v>
      </c>
    </row>
    <row r="7" spans="2:18" x14ac:dyDescent="0.3">
      <c r="B7" s="1"/>
      <c r="D7" s="20" t="s">
        <v>90</v>
      </c>
      <c r="F7" s="25" t="s">
        <v>103</v>
      </c>
      <c r="G7" t="s">
        <v>141</v>
      </c>
      <c r="H7" s="2"/>
      <c r="J7" s="2"/>
      <c r="L7" s="2"/>
      <c r="N7" s="2"/>
      <c r="P7" s="28"/>
      <c r="Q7" t="s">
        <v>131</v>
      </c>
      <c r="R7" s="37">
        <v>10000</v>
      </c>
    </row>
    <row r="8" spans="2:18" x14ac:dyDescent="0.3">
      <c r="B8" s="1"/>
      <c r="D8" s="10" t="s">
        <v>86</v>
      </c>
      <c r="E8" s="21" t="s">
        <v>91</v>
      </c>
      <c r="F8" s="22"/>
      <c r="G8" s="47" t="s">
        <v>91</v>
      </c>
      <c r="H8" s="51"/>
      <c r="I8" s="38"/>
      <c r="J8" s="38"/>
      <c r="K8" s="38"/>
      <c r="L8" s="39" t="s">
        <v>162</v>
      </c>
      <c r="N8" s="25" t="s">
        <v>165</v>
      </c>
      <c r="P8" s="28"/>
      <c r="Q8" t="s">
        <v>132</v>
      </c>
      <c r="R8" s="37">
        <v>100000</v>
      </c>
    </row>
    <row r="9" spans="2:18" x14ac:dyDescent="0.3">
      <c r="B9" s="1"/>
      <c r="D9" s="20" t="s">
        <v>90</v>
      </c>
      <c r="E9" s="21"/>
      <c r="F9" s="24" t="s">
        <v>108</v>
      </c>
      <c r="H9" s="42" t="s">
        <v>166</v>
      </c>
      <c r="J9" s="2" t="s">
        <v>145</v>
      </c>
      <c r="L9" s="41" t="s">
        <v>197</v>
      </c>
      <c r="N9" s="24" t="s">
        <v>252</v>
      </c>
      <c r="P9" s="28"/>
      <c r="R9" s="37"/>
    </row>
    <row r="10" spans="2:18" x14ac:dyDescent="0.3">
      <c r="B10" s="1"/>
      <c r="D10" s="11" t="s">
        <v>87</v>
      </c>
      <c r="F10" s="24" t="s">
        <v>92</v>
      </c>
      <c r="H10" s="42"/>
      <c r="J10" s="2" t="s">
        <v>148</v>
      </c>
      <c r="L10" s="41"/>
      <c r="N10" s="24" t="s">
        <v>251</v>
      </c>
      <c r="P10" s="28" t="s">
        <v>133</v>
      </c>
      <c r="Q10" t="s">
        <v>130</v>
      </c>
      <c r="R10" s="37">
        <v>1200000</v>
      </c>
    </row>
    <row r="11" spans="2:18" x14ac:dyDescent="0.3">
      <c r="D11" s="20" t="s">
        <v>90</v>
      </c>
      <c r="F11" s="26" t="s">
        <v>93</v>
      </c>
      <c r="H11" s="42" t="s">
        <v>164</v>
      </c>
      <c r="J11" t="s">
        <v>149</v>
      </c>
      <c r="K11" s="1" t="s">
        <v>146</v>
      </c>
      <c r="L11" s="43"/>
      <c r="N11" s="24" t="s">
        <v>253</v>
      </c>
      <c r="P11" s="28"/>
      <c r="Q11" t="s">
        <v>131</v>
      </c>
      <c r="R11" s="37">
        <v>100000</v>
      </c>
    </row>
    <row r="12" spans="2:18" x14ac:dyDescent="0.3">
      <c r="D12" s="20" t="s">
        <v>207</v>
      </c>
      <c r="H12" s="42" t="s">
        <v>198</v>
      </c>
      <c r="J12" s="2" t="s">
        <v>150</v>
      </c>
      <c r="K12" s="1" t="s">
        <v>147</v>
      </c>
      <c r="L12" s="43"/>
      <c r="N12" s="24" t="s">
        <v>254</v>
      </c>
      <c r="P12" s="28"/>
      <c r="Q12" t="s">
        <v>132</v>
      </c>
      <c r="R12" s="37">
        <v>1000000</v>
      </c>
    </row>
    <row r="13" spans="2:18" x14ac:dyDescent="0.3">
      <c r="D13" s="20" t="s">
        <v>90</v>
      </c>
      <c r="H13" s="42" t="s">
        <v>174</v>
      </c>
      <c r="J13" s="2" t="s">
        <v>151</v>
      </c>
      <c r="L13" s="43"/>
      <c r="N13" s="24" t="s">
        <v>160</v>
      </c>
      <c r="P13" s="28"/>
      <c r="R13" s="37"/>
    </row>
    <row r="14" spans="2:18" x14ac:dyDescent="0.3">
      <c r="D14" s="11" t="s">
        <v>88</v>
      </c>
      <c r="F14" s="25" t="s">
        <v>113</v>
      </c>
      <c r="H14" s="42" t="s">
        <v>175</v>
      </c>
      <c r="J14" s="2" t="s">
        <v>152</v>
      </c>
      <c r="L14" s="41"/>
      <c r="N14" s="24" t="s">
        <v>155</v>
      </c>
      <c r="P14" s="28" t="s">
        <v>163</v>
      </c>
      <c r="Q14" t="s">
        <v>164</v>
      </c>
    </row>
    <row r="15" spans="2:18" x14ac:dyDescent="0.3">
      <c r="D15" s="20"/>
      <c r="F15" s="22"/>
      <c r="H15" s="42" t="s">
        <v>92</v>
      </c>
      <c r="J15" s="2" t="s">
        <v>130</v>
      </c>
      <c r="L15" s="41"/>
      <c r="N15" s="24" t="s">
        <v>156</v>
      </c>
      <c r="P15" s="28"/>
    </row>
    <row r="16" spans="2:18" x14ac:dyDescent="0.3">
      <c r="D16" s="11"/>
      <c r="F16" s="24" t="s">
        <v>118</v>
      </c>
      <c r="H16" s="42" t="s">
        <v>176</v>
      </c>
      <c r="J16" s="2" t="s">
        <v>131</v>
      </c>
      <c r="K16" s="82" t="s">
        <v>236</v>
      </c>
      <c r="L16" s="83"/>
      <c r="N16" s="24" t="s">
        <v>157</v>
      </c>
      <c r="P16" s="28"/>
    </row>
    <row r="17" spans="4:18" x14ac:dyDescent="0.3">
      <c r="D17" s="8"/>
      <c r="F17" s="24" t="s">
        <v>126</v>
      </c>
      <c r="H17" s="42"/>
      <c r="J17" s="2" t="s">
        <v>195</v>
      </c>
      <c r="K17" s="54" t="s">
        <v>235</v>
      </c>
      <c r="L17" s="66" t="s">
        <v>173</v>
      </c>
      <c r="N17" s="24" t="s">
        <v>158</v>
      </c>
      <c r="P17" s="28"/>
    </row>
    <row r="18" spans="4:18" x14ac:dyDescent="0.3">
      <c r="D18" s="8"/>
      <c r="F18" s="26" t="s">
        <v>127</v>
      </c>
      <c r="H18" s="42" t="s">
        <v>170</v>
      </c>
      <c r="J18" s="2" t="s">
        <v>154</v>
      </c>
      <c r="K18" s="40" t="s">
        <v>137</v>
      </c>
      <c r="L18" s="66" t="s">
        <v>94</v>
      </c>
      <c r="N18" s="24" t="s">
        <v>159</v>
      </c>
      <c r="P18" s="28"/>
    </row>
    <row r="19" spans="4:18" x14ac:dyDescent="0.3">
      <c r="D19" s="8"/>
      <c r="H19" s="42"/>
      <c r="J19" s="2" t="s">
        <v>153</v>
      </c>
      <c r="K19" s="57" t="s">
        <v>87</v>
      </c>
      <c r="L19" s="66" t="s">
        <v>167</v>
      </c>
      <c r="N19" s="24" t="s">
        <v>161</v>
      </c>
      <c r="P19" s="28"/>
    </row>
    <row r="20" spans="4:18" x14ac:dyDescent="0.3">
      <c r="D20" s="8"/>
      <c r="F20" s="2" t="s">
        <v>112</v>
      </c>
      <c r="H20" s="42" t="s">
        <v>177</v>
      </c>
      <c r="J20" s="2" t="s">
        <v>131</v>
      </c>
      <c r="L20" s="66" t="s">
        <v>96</v>
      </c>
      <c r="N20" s="24" t="s">
        <v>14</v>
      </c>
      <c r="P20" s="28"/>
    </row>
    <row r="21" spans="4:18" x14ac:dyDescent="0.3">
      <c r="D21" s="8"/>
      <c r="F21" s="2" t="s">
        <v>112</v>
      </c>
      <c r="H21" s="42"/>
      <c r="J21" s="2" t="s">
        <v>195</v>
      </c>
      <c r="L21" s="66" t="s">
        <v>168</v>
      </c>
      <c r="N21" s="24" t="s">
        <v>112</v>
      </c>
      <c r="P21" s="28"/>
    </row>
    <row r="22" spans="4:18" x14ac:dyDescent="0.3">
      <c r="D22" s="8"/>
      <c r="F22" s="2" t="s">
        <v>112</v>
      </c>
      <c r="H22" s="42" t="s">
        <v>169</v>
      </c>
      <c r="J22" s="2" t="s">
        <v>154</v>
      </c>
      <c r="L22" s="66" t="s">
        <v>95</v>
      </c>
      <c r="N22" s="24" t="s">
        <v>112</v>
      </c>
      <c r="P22" s="28"/>
    </row>
    <row r="23" spans="4:18" ht="17.25" thickBot="1" x14ac:dyDescent="0.35">
      <c r="D23" s="8"/>
      <c r="F23" s="2" t="s">
        <v>112</v>
      </c>
      <c r="H23" s="42"/>
      <c r="J23" s="2" t="s">
        <v>172</v>
      </c>
      <c r="L23" s="66" t="s">
        <v>99</v>
      </c>
      <c r="N23" s="24" t="s">
        <v>112</v>
      </c>
      <c r="P23" s="28"/>
    </row>
    <row r="24" spans="4:18" ht="17.25" thickBot="1" x14ac:dyDescent="0.35">
      <c r="D24" s="11"/>
      <c r="H24" s="44"/>
      <c r="I24" s="45"/>
      <c r="J24" s="46" t="s">
        <v>171</v>
      </c>
      <c r="K24" s="45"/>
      <c r="L24" s="66" t="s">
        <v>101</v>
      </c>
      <c r="N24" s="23"/>
      <c r="P24" s="28"/>
      <c r="Q24" s="49" t="s">
        <v>134</v>
      </c>
      <c r="R24" t="s">
        <v>139</v>
      </c>
    </row>
    <row r="25" spans="4:18" ht="17.25" thickBot="1" x14ac:dyDescent="0.35">
      <c r="D25" s="11" t="s">
        <v>68</v>
      </c>
      <c r="F25" s="2" t="s">
        <v>112</v>
      </c>
      <c r="H25" s="2"/>
      <c r="J25" s="2"/>
      <c r="L25" s="2"/>
      <c r="N25" s="2"/>
      <c r="P25" s="28"/>
    </row>
    <row r="26" spans="4:18" ht="17.25" thickBot="1" x14ac:dyDescent="0.35">
      <c r="D26" s="11" t="s">
        <v>69</v>
      </c>
      <c r="F26" s="2" t="s">
        <v>112</v>
      </c>
      <c r="H26" s="2"/>
      <c r="J26" s="2"/>
      <c r="L26" s="2"/>
      <c r="N26" s="2"/>
      <c r="P26" s="28"/>
      <c r="Q26" s="49" t="s">
        <v>135</v>
      </c>
      <c r="R26" t="s">
        <v>138</v>
      </c>
    </row>
    <row r="27" spans="4:18" ht="17.25" thickBot="1" x14ac:dyDescent="0.35">
      <c r="D27" s="11" t="s">
        <v>70</v>
      </c>
      <c r="F27" s="2" t="s">
        <v>112</v>
      </c>
      <c r="H27" s="2"/>
      <c r="J27" s="2"/>
      <c r="L27" s="2"/>
      <c r="N27" s="2"/>
      <c r="P27" s="28"/>
    </row>
    <row r="28" spans="4:18" ht="17.25" thickBot="1" x14ac:dyDescent="0.35">
      <c r="D28" s="11" t="s">
        <v>71</v>
      </c>
      <c r="F28" s="2" t="s">
        <v>112</v>
      </c>
      <c r="H28" s="2"/>
      <c r="L28" s="2"/>
      <c r="N28" s="2"/>
      <c r="P28" s="28"/>
      <c r="Q28" s="49" t="s">
        <v>136</v>
      </c>
      <c r="R28" t="s">
        <v>138</v>
      </c>
    </row>
    <row r="29" spans="4:18" x14ac:dyDescent="0.3">
      <c r="N29" s="2"/>
    </row>
    <row r="30" spans="4:18" x14ac:dyDescent="0.3">
      <c r="D30" t="s">
        <v>44</v>
      </c>
      <c r="F30" t="s">
        <v>142</v>
      </c>
    </row>
    <row r="31" spans="4:18" x14ac:dyDescent="0.3">
      <c r="F31" t="s">
        <v>100</v>
      </c>
    </row>
    <row r="32" spans="4:18" x14ac:dyDescent="0.3">
      <c r="E32" s="79" t="s">
        <v>125</v>
      </c>
      <c r="F32" s="29" t="s">
        <v>123</v>
      </c>
      <c r="G32" s="32" t="s">
        <v>95</v>
      </c>
    </row>
    <row r="33" spans="5:7" x14ac:dyDescent="0.3">
      <c r="E33" s="78"/>
      <c r="F33" s="30" t="s">
        <v>122</v>
      </c>
      <c r="G33" s="33" t="s">
        <v>96</v>
      </c>
    </row>
    <row r="34" spans="5:7" x14ac:dyDescent="0.3">
      <c r="E34" s="78"/>
      <c r="F34" s="31" t="s">
        <v>124</v>
      </c>
      <c r="G34" s="34" t="s">
        <v>97</v>
      </c>
    </row>
    <row r="35" spans="5:7" x14ac:dyDescent="0.3">
      <c r="F35" s="53" t="s">
        <v>173</v>
      </c>
      <c r="G35" s="3" t="s">
        <v>98</v>
      </c>
    </row>
    <row r="36" spans="5:7" x14ac:dyDescent="0.3">
      <c r="G36" s="35" t="s">
        <v>99</v>
      </c>
    </row>
    <row r="37" spans="5:7" x14ac:dyDescent="0.3">
      <c r="G37" s="36" t="s">
        <v>101</v>
      </c>
    </row>
  </sheetData>
  <mergeCells count="4">
    <mergeCell ref="P5:R5"/>
    <mergeCell ref="E32:E34"/>
    <mergeCell ref="F5:L5"/>
    <mergeCell ref="K16:L16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F173-E1A0-4514-A97A-E14E13496358}">
  <dimension ref="B1:Y33"/>
  <sheetViews>
    <sheetView showGridLines="0" topLeftCell="A24" zoomScale="70" zoomScaleNormal="70" workbookViewId="0">
      <selection activeCell="C39" sqref="C39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4.75" bestFit="1" customWidth="1"/>
    <col min="7" max="7" width="12.5" customWidth="1"/>
    <col min="8" max="8" width="5.25" bestFit="1" customWidth="1"/>
    <col min="9" max="9" width="16.5" bestFit="1" customWidth="1"/>
    <col min="10" max="10" width="5" bestFit="1" customWidth="1"/>
    <col min="11" max="11" width="7.125" bestFit="1" customWidth="1"/>
    <col min="12" max="12" width="7.125" customWidth="1"/>
    <col min="13" max="13" width="7.125" bestFit="1" customWidth="1"/>
    <col min="14" max="14" width="12.375" bestFit="1" customWidth="1"/>
    <col min="15" max="15" width="11.625" customWidth="1"/>
    <col min="16" max="16" width="12.375" bestFit="1" customWidth="1"/>
    <col min="17" max="17" width="9" bestFit="1" customWidth="1"/>
    <col min="18" max="21" width="9" customWidth="1"/>
    <col min="23" max="23" width="5.875" customWidth="1"/>
    <col min="25" max="25" width="10.875" bestFit="1" customWidth="1"/>
  </cols>
  <sheetData>
    <row r="1" spans="2:25" x14ac:dyDescent="0.3">
      <c r="D1" s="8"/>
    </row>
    <row r="2" spans="2:25" x14ac:dyDescent="0.3">
      <c r="D2" s="8"/>
      <c r="G2" s="21" t="s">
        <v>182</v>
      </c>
      <c r="O2" s="2"/>
      <c r="Q2" s="2"/>
    </row>
    <row r="3" spans="2:25" ht="17.25" thickBot="1" x14ac:dyDescent="0.35">
      <c r="B3" s="21"/>
      <c r="D3" s="8"/>
    </row>
    <row r="4" spans="2:25" s="2" customFormat="1" ht="17.25" thickBot="1" x14ac:dyDescent="0.35">
      <c r="C4" s="14"/>
      <c r="D4" s="15"/>
      <c r="E4" s="14"/>
      <c r="F4" s="84" t="s">
        <v>1</v>
      </c>
      <c r="G4" s="85"/>
      <c r="H4" s="86"/>
      <c r="I4" s="14"/>
      <c r="J4" s="89" t="s">
        <v>11</v>
      </c>
      <c r="K4" s="90"/>
      <c r="N4" s="84" t="s">
        <v>12</v>
      </c>
      <c r="O4" s="86"/>
      <c r="Q4" s="84" t="s">
        <v>13</v>
      </c>
      <c r="R4" s="86"/>
      <c r="S4" s="14"/>
      <c r="T4" s="17" t="s">
        <v>14</v>
      </c>
      <c r="U4" s="27"/>
      <c r="V4" s="27"/>
      <c r="W4" s="17" t="s">
        <v>143</v>
      </c>
      <c r="X4" s="14"/>
      <c r="Y4" s="14"/>
    </row>
    <row r="5" spans="2:25" x14ac:dyDescent="0.3">
      <c r="D5" s="8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2"/>
      <c r="W5" s="80" t="s">
        <v>128</v>
      </c>
      <c r="X5" s="81"/>
      <c r="Y5" s="81"/>
    </row>
    <row r="6" spans="2:25" ht="17.25" thickBot="1" x14ac:dyDescent="0.35">
      <c r="B6" s="1"/>
      <c r="D6" s="10" t="s">
        <v>67</v>
      </c>
      <c r="E6" s="2"/>
      <c r="G6" t="s">
        <v>180</v>
      </c>
      <c r="W6" s="28" t="s">
        <v>129</v>
      </c>
      <c r="X6" t="s">
        <v>130</v>
      </c>
      <c r="Y6" s="37">
        <v>120000</v>
      </c>
    </row>
    <row r="7" spans="2:25" ht="18" thickTop="1" thickBot="1" x14ac:dyDescent="0.35">
      <c r="B7" s="1"/>
      <c r="D7" s="20" t="s">
        <v>90</v>
      </c>
      <c r="F7" s="87" t="s">
        <v>202</v>
      </c>
      <c r="G7" s="88"/>
      <c r="H7" s="88"/>
      <c r="I7" s="58" t="s">
        <v>203</v>
      </c>
      <c r="Q7" s="19" t="s">
        <v>234</v>
      </c>
      <c r="S7" t="s">
        <v>206</v>
      </c>
      <c r="W7" s="28"/>
      <c r="X7" t="s">
        <v>131</v>
      </c>
      <c r="Y7" s="37">
        <v>10000</v>
      </c>
    </row>
    <row r="8" spans="2:25" ht="17.25" thickTop="1" x14ac:dyDescent="0.3">
      <c r="B8" s="1"/>
      <c r="D8" s="11" t="s">
        <v>86</v>
      </c>
      <c r="E8" s="21"/>
      <c r="F8" s="24" t="s">
        <v>201</v>
      </c>
      <c r="G8" s="55" t="s">
        <v>200</v>
      </c>
      <c r="H8" s="38" t="s">
        <v>199</v>
      </c>
      <c r="I8" s="24" t="s">
        <v>185</v>
      </c>
      <c r="J8" s="38" t="s">
        <v>183</v>
      </c>
      <c r="K8" s="38" t="s">
        <v>184</v>
      </c>
      <c r="L8" s="38" t="s">
        <v>260</v>
      </c>
      <c r="M8" s="38" t="s">
        <v>144</v>
      </c>
      <c r="N8" s="38" t="s">
        <v>204</v>
      </c>
      <c r="O8" s="38" t="s">
        <v>187</v>
      </c>
      <c r="P8" s="38" t="s">
        <v>205</v>
      </c>
      <c r="Q8" s="38" t="s">
        <v>188</v>
      </c>
      <c r="R8" s="38" t="s">
        <v>189</v>
      </c>
      <c r="S8" s="38" t="s">
        <v>204</v>
      </c>
      <c r="T8" s="38" t="s">
        <v>187</v>
      </c>
      <c r="U8" s="56" t="s">
        <v>43</v>
      </c>
      <c r="W8" s="28"/>
      <c r="X8" t="s">
        <v>132</v>
      </c>
      <c r="Y8" s="37">
        <v>100000</v>
      </c>
    </row>
    <row r="9" spans="2:25" x14ac:dyDescent="0.3">
      <c r="B9" s="1"/>
      <c r="D9" s="20" t="s">
        <v>90</v>
      </c>
      <c r="E9" s="21"/>
      <c r="F9" s="24">
        <v>1</v>
      </c>
      <c r="G9" s="42" t="s">
        <v>181</v>
      </c>
      <c r="I9" s="24" t="s">
        <v>252</v>
      </c>
      <c r="L9" s="2" t="s">
        <v>181</v>
      </c>
      <c r="N9" t="s">
        <v>181</v>
      </c>
      <c r="P9" t="s">
        <v>181</v>
      </c>
      <c r="Q9" t="s">
        <v>190</v>
      </c>
      <c r="S9" t="s">
        <v>181</v>
      </c>
      <c r="U9" s="43"/>
      <c r="W9" s="28"/>
      <c r="Y9" s="37"/>
    </row>
    <row r="10" spans="2:25" x14ac:dyDescent="0.3">
      <c r="B10" s="1"/>
      <c r="D10" s="10" t="s">
        <v>87</v>
      </c>
      <c r="E10" s="21" t="s">
        <v>91</v>
      </c>
      <c r="F10" s="24">
        <v>2</v>
      </c>
      <c r="G10" s="42" t="s">
        <v>173</v>
      </c>
      <c r="I10" s="24" t="s">
        <v>251</v>
      </c>
      <c r="L10" t="s">
        <v>257</v>
      </c>
      <c r="N10" t="s">
        <v>130</v>
      </c>
      <c r="P10" t="s">
        <v>192</v>
      </c>
      <c r="Q10" t="s">
        <v>193</v>
      </c>
      <c r="S10" t="s">
        <v>131</v>
      </c>
      <c r="U10" s="43"/>
      <c r="W10" s="28" t="s">
        <v>133</v>
      </c>
      <c r="X10" t="s">
        <v>130</v>
      </c>
      <c r="Y10" s="37">
        <v>1200000</v>
      </c>
    </row>
    <row r="11" spans="2:25" x14ac:dyDescent="0.3">
      <c r="D11" s="20" t="s">
        <v>90</v>
      </c>
      <c r="F11" s="24">
        <v>3</v>
      </c>
      <c r="G11" s="42" t="s">
        <v>94</v>
      </c>
      <c r="I11" s="24" t="s">
        <v>253</v>
      </c>
      <c r="L11" t="s">
        <v>259</v>
      </c>
      <c r="N11" t="s">
        <v>131</v>
      </c>
      <c r="P11" t="s">
        <v>196</v>
      </c>
      <c r="Q11" t="s">
        <v>194</v>
      </c>
      <c r="S11" t="s">
        <v>195</v>
      </c>
      <c r="U11" s="43"/>
      <c r="W11" s="28"/>
      <c r="X11" t="s">
        <v>131</v>
      </c>
      <c r="Y11" s="37">
        <v>100000</v>
      </c>
    </row>
    <row r="12" spans="2:25" x14ac:dyDescent="0.3">
      <c r="D12" s="20" t="s">
        <v>207</v>
      </c>
      <c r="F12" s="24">
        <v>4</v>
      </c>
      <c r="I12" s="24" t="s">
        <v>254</v>
      </c>
      <c r="L12" t="s">
        <v>258</v>
      </c>
      <c r="N12" t="s">
        <v>195</v>
      </c>
      <c r="P12" t="s">
        <v>191</v>
      </c>
      <c r="S12" t="s">
        <v>154</v>
      </c>
      <c r="U12" s="43"/>
      <c r="W12" s="28"/>
      <c r="X12" t="s">
        <v>132</v>
      </c>
      <c r="Y12" s="37">
        <v>1000000</v>
      </c>
    </row>
    <row r="13" spans="2:25" x14ac:dyDescent="0.3">
      <c r="D13" s="20" t="s">
        <v>90</v>
      </c>
      <c r="F13" s="24">
        <v>5</v>
      </c>
      <c r="I13" s="24" t="s">
        <v>160</v>
      </c>
      <c r="L13" t="s">
        <v>112</v>
      </c>
      <c r="N13" t="s">
        <v>154</v>
      </c>
      <c r="P13" t="s">
        <v>14</v>
      </c>
      <c r="S13" t="s">
        <v>186</v>
      </c>
      <c r="U13" s="43"/>
      <c r="W13" s="28"/>
      <c r="Y13" s="37"/>
    </row>
    <row r="14" spans="2:25" x14ac:dyDescent="0.3">
      <c r="D14" s="11" t="s">
        <v>88</v>
      </c>
      <c r="F14" s="24">
        <v>6</v>
      </c>
      <c r="I14" s="24" t="s">
        <v>155</v>
      </c>
      <c r="L14" t="s">
        <v>112</v>
      </c>
      <c r="N14" t="s">
        <v>186</v>
      </c>
      <c r="U14" s="43"/>
      <c r="W14" s="28" t="s">
        <v>163</v>
      </c>
      <c r="X14" t="s">
        <v>164</v>
      </c>
    </row>
    <row r="15" spans="2:25" x14ac:dyDescent="0.3">
      <c r="D15" s="20"/>
      <c r="F15" s="24">
        <v>7</v>
      </c>
      <c r="I15" s="24" t="s">
        <v>156</v>
      </c>
      <c r="L15" t="s">
        <v>112</v>
      </c>
      <c r="U15" s="43"/>
      <c r="W15" s="28"/>
    </row>
    <row r="16" spans="2:25" x14ac:dyDescent="0.3">
      <c r="D16" s="11"/>
      <c r="F16" s="24">
        <v>8</v>
      </c>
      <c r="I16" s="24" t="s">
        <v>157</v>
      </c>
      <c r="U16" s="43"/>
      <c r="W16" s="28"/>
    </row>
    <row r="17" spans="4:25" x14ac:dyDescent="0.3">
      <c r="D17" s="8"/>
      <c r="F17" s="24">
        <v>9</v>
      </c>
      <c r="I17" s="24" t="s">
        <v>158</v>
      </c>
      <c r="U17" s="43"/>
      <c r="W17" s="28"/>
    </row>
    <row r="18" spans="4:25" x14ac:dyDescent="0.3">
      <c r="D18" s="8"/>
      <c r="F18" s="24">
        <v>10</v>
      </c>
      <c r="I18" s="24" t="s">
        <v>159</v>
      </c>
      <c r="U18" s="43"/>
      <c r="W18" s="28"/>
    </row>
    <row r="19" spans="4:25" x14ac:dyDescent="0.3">
      <c r="D19" s="8"/>
      <c r="F19" s="24">
        <v>11</v>
      </c>
      <c r="I19" s="24" t="s">
        <v>161</v>
      </c>
      <c r="U19" s="43"/>
      <c r="W19" s="28"/>
    </row>
    <row r="20" spans="4:25" x14ac:dyDescent="0.3">
      <c r="D20" s="8"/>
      <c r="F20" s="24">
        <v>12</v>
      </c>
      <c r="I20" s="24" t="s">
        <v>14</v>
      </c>
      <c r="U20" s="43"/>
      <c r="W20" s="28"/>
    </row>
    <row r="21" spans="4:25" x14ac:dyDescent="0.3">
      <c r="D21" s="8"/>
      <c r="F21" s="24">
        <v>13</v>
      </c>
      <c r="I21" s="24" t="s">
        <v>112</v>
      </c>
      <c r="U21" s="43"/>
      <c r="W21" s="28"/>
    </row>
    <row r="22" spans="4:25" x14ac:dyDescent="0.3">
      <c r="D22" s="8"/>
      <c r="F22" s="24">
        <v>14</v>
      </c>
      <c r="I22" s="24" t="s">
        <v>112</v>
      </c>
      <c r="U22" s="43"/>
      <c r="W22" s="28"/>
    </row>
    <row r="23" spans="4:25" ht="17.25" thickBot="1" x14ac:dyDescent="0.35">
      <c r="D23" s="8"/>
      <c r="F23" s="24">
        <v>15</v>
      </c>
      <c r="I23" s="24" t="s">
        <v>112</v>
      </c>
      <c r="U23" s="43"/>
      <c r="W23" s="28"/>
    </row>
    <row r="24" spans="4:25" ht="17.25" thickBot="1" x14ac:dyDescent="0.35">
      <c r="D24" s="11"/>
      <c r="F24" s="24">
        <v>16</v>
      </c>
      <c r="I24" s="23"/>
      <c r="U24" s="43"/>
      <c r="W24" s="28"/>
      <c r="X24" s="49" t="s">
        <v>134</v>
      </c>
      <c r="Y24" t="s">
        <v>139</v>
      </c>
    </row>
    <row r="25" spans="4:25" ht="17.25" thickBot="1" x14ac:dyDescent="0.35">
      <c r="D25" s="11" t="s">
        <v>68</v>
      </c>
      <c r="F25" s="24" t="s">
        <v>112</v>
      </c>
      <c r="U25" s="43"/>
      <c r="W25" s="28"/>
    </row>
    <row r="26" spans="4:25" ht="17.25" thickBot="1" x14ac:dyDescent="0.35">
      <c r="D26" s="11" t="s">
        <v>69</v>
      </c>
      <c r="F26" s="24" t="s">
        <v>112</v>
      </c>
      <c r="U26" s="43"/>
      <c r="W26" s="28"/>
      <c r="X26" s="49" t="s">
        <v>135</v>
      </c>
      <c r="Y26" t="s">
        <v>138</v>
      </c>
    </row>
    <row r="27" spans="4:25" ht="17.25" thickBot="1" x14ac:dyDescent="0.35">
      <c r="D27" s="11" t="s">
        <v>70</v>
      </c>
      <c r="F27" s="24" t="s">
        <v>112</v>
      </c>
      <c r="U27" s="43"/>
      <c r="W27" s="28"/>
    </row>
    <row r="28" spans="4:25" ht="17.25" thickBot="1" x14ac:dyDescent="0.35">
      <c r="D28" s="11" t="s">
        <v>71</v>
      </c>
      <c r="F28" s="24" t="s">
        <v>112</v>
      </c>
      <c r="U28" s="43"/>
      <c r="W28" s="28"/>
      <c r="X28" s="49" t="s">
        <v>136</v>
      </c>
      <c r="Y28" t="s">
        <v>138</v>
      </c>
    </row>
    <row r="29" spans="4:25" x14ac:dyDescent="0.3">
      <c r="F29" s="26" t="s">
        <v>112</v>
      </c>
      <c r="G29" s="45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52"/>
    </row>
    <row r="30" spans="4:25" x14ac:dyDescent="0.3">
      <c r="D30" t="s">
        <v>44</v>
      </c>
    </row>
    <row r="31" spans="4:25" x14ac:dyDescent="0.3">
      <c r="F31">
        <v>1</v>
      </c>
      <c r="G31" t="s">
        <v>233</v>
      </c>
    </row>
    <row r="32" spans="4:25" ht="16.5" customHeight="1" x14ac:dyDescent="0.3"/>
    <row r="33" spans="6:7" x14ac:dyDescent="0.3">
      <c r="F33">
        <v>2</v>
      </c>
      <c r="G33" t="s">
        <v>237</v>
      </c>
    </row>
  </sheetData>
  <mergeCells count="7">
    <mergeCell ref="H5:T5"/>
    <mergeCell ref="W5:Y5"/>
    <mergeCell ref="F4:H4"/>
    <mergeCell ref="F7:H7"/>
    <mergeCell ref="N4:O4"/>
    <mergeCell ref="J4:K4"/>
    <mergeCell ref="Q4:R4"/>
  </mergeCells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FB5C-9E3B-4AA1-83AB-0FFC1B907E15}">
  <dimension ref="B1:X32"/>
  <sheetViews>
    <sheetView showGridLines="0" topLeftCell="A17" zoomScale="70" zoomScaleNormal="70" workbookViewId="0">
      <selection activeCell="C33" sqref="C33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4.75" bestFit="1" customWidth="1"/>
    <col min="7" max="7" width="12.5" customWidth="1"/>
    <col min="8" max="8" width="5.25" bestFit="1" customWidth="1"/>
    <col min="9" max="9" width="16.5" bestFit="1" customWidth="1"/>
    <col min="10" max="10" width="5" bestFit="1" customWidth="1"/>
    <col min="11" max="12" width="7.125" bestFit="1" customWidth="1"/>
    <col min="13" max="13" width="12.375" bestFit="1" customWidth="1"/>
    <col min="14" max="14" width="11.625" customWidth="1"/>
    <col min="15" max="15" width="12.375" bestFit="1" customWidth="1"/>
    <col min="16" max="16" width="9" bestFit="1" customWidth="1"/>
    <col min="17" max="20" width="9" customWidth="1"/>
    <col min="22" max="22" width="5.875" customWidth="1"/>
    <col min="24" max="24" width="10.875" bestFit="1" customWidth="1"/>
  </cols>
  <sheetData>
    <row r="1" spans="2:24" x14ac:dyDescent="0.3">
      <c r="D1" s="8"/>
    </row>
    <row r="2" spans="2:24" x14ac:dyDescent="0.3">
      <c r="D2" s="8"/>
      <c r="N2" s="2"/>
      <c r="P2" s="2"/>
    </row>
    <row r="3" spans="2:24" ht="17.25" thickBot="1" x14ac:dyDescent="0.35">
      <c r="B3" s="21" t="s">
        <v>182</v>
      </c>
      <c r="D3" s="8"/>
    </row>
    <row r="4" spans="2:24" s="2" customFormat="1" ht="17.25" thickBot="1" x14ac:dyDescent="0.35">
      <c r="C4" s="14"/>
      <c r="D4" s="15"/>
      <c r="E4" s="14"/>
      <c r="F4" s="84" t="s">
        <v>1</v>
      </c>
      <c r="G4" s="85"/>
      <c r="H4" s="86"/>
      <c r="I4" s="14"/>
      <c r="J4" s="89" t="s">
        <v>11</v>
      </c>
      <c r="K4" s="90"/>
      <c r="M4" s="84" t="s">
        <v>12</v>
      </c>
      <c r="N4" s="86"/>
      <c r="P4" s="84" t="s">
        <v>13</v>
      </c>
      <c r="Q4" s="86"/>
      <c r="R4" s="14"/>
      <c r="S4" s="17" t="s">
        <v>14</v>
      </c>
      <c r="T4" s="27"/>
      <c r="U4" s="27"/>
      <c r="V4" s="17" t="s">
        <v>143</v>
      </c>
      <c r="W4" s="14"/>
      <c r="X4" s="14"/>
    </row>
    <row r="5" spans="2:24" x14ac:dyDescent="0.3">
      <c r="D5" s="8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2"/>
      <c r="V5" s="80" t="s">
        <v>128</v>
      </c>
      <c r="W5" s="81"/>
      <c r="X5" s="81"/>
    </row>
    <row r="6" spans="2:24" ht="17.25" thickBot="1" x14ac:dyDescent="0.35">
      <c r="B6" s="1"/>
      <c r="D6" s="10" t="s">
        <v>67</v>
      </c>
      <c r="E6" s="2"/>
      <c r="G6" t="s">
        <v>180</v>
      </c>
      <c r="V6" s="28" t="s">
        <v>129</v>
      </c>
      <c r="W6" t="s">
        <v>130</v>
      </c>
      <c r="X6" s="37">
        <v>120000</v>
      </c>
    </row>
    <row r="7" spans="2:24" ht="18" thickTop="1" thickBot="1" x14ac:dyDescent="0.35">
      <c r="B7" s="1"/>
      <c r="D7" s="20" t="s">
        <v>90</v>
      </c>
      <c r="F7" s="91" t="s">
        <v>202</v>
      </c>
      <c r="G7" s="92"/>
      <c r="H7" s="92"/>
      <c r="I7" s="59" t="s">
        <v>203</v>
      </c>
      <c r="P7" s="19" t="s">
        <v>234</v>
      </c>
      <c r="R7" t="s">
        <v>178</v>
      </c>
      <c r="V7" s="28"/>
      <c r="W7" t="s">
        <v>131</v>
      </c>
      <c r="X7" s="37">
        <v>10000</v>
      </c>
    </row>
    <row r="8" spans="2:24" ht="17.25" thickTop="1" x14ac:dyDescent="0.3">
      <c r="B8" s="1"/>
      <c r="D8" s="11" t="s">
        <v>86</v>
      </c>
      <c r="E8" s="21"/>
      <c r="F8" s="24" t="s">
        <v>201</v>
      </c>
      <c r="G8" s="55" t="s">
        <v>200</v>
      </c>
      <c r="H8" s="38" t="s">
        <v>199</v>
      </c>
      <c r="I8" s="24" t="s">
        <v>185</v>
      </c>
      <c r="J8" s="38" t="s">
        <v>183</v>
      </c>
      <c r="K8" s="38" t="s">
        <v>184</v>
      </c>
      <c r="L8" s="38" t="s">
        <v>144</v>
      </c>
      <c r="M8" s="38" t="s">
        <v>204</v>
      </c>
      <c r="N8" s="38" t="s">
        <v>187</v>
      </c>
      <c r="O8" s="38" t="s">
        <v>205</v>
      </c>
      <c r="P8" s="38" t="s">
        <v>188</v>
      </c>
      <c r="Q8" s="38" t="s">
        <v>189</v>
      </c>
      <c r="R8" s="38" t="s">
        <v>204</v>
      </c>
      <c r="S8" s="38" t="s">
        <v>187</v>
      </c>
      <c r="T8" s="56" t="s">
        <v>43</v>
      </c>
      <c r="V8" s="28"/>
      <c r="W8" t="s">
        <v>132</v>
      </c>
      <c r="X8" s="37">
        <v>100000</v>
      </c>
    </row>
    <row r="9" spans="2:24" x14ac:dyDescent="0.3">
      <c r="B9" s="1"/>
      <c r="D9" s="20" t="s">
        <v>90</v>
      </c>
      <c r="E9" s="21"/>
      <c r="F9" s="24">
        <v>1</v>
      </c>
      <c r="G9" s="42" t="s">
        <v>181</v>
      </c>
      <c r="I9" s="24" t="s">
        <v>252</v>
      </c>
      <c r="M9" t="s">
        <v>181</v>
      </c>
      <c r="O9" t="s">
        <v>181</v>
      </c>
      <c r="P9" t="s">
        <v>190</v>
      </c>
      <c r="R9" t="s">
        <v>190</v>
      </c>
      <c r="T9" s="43"/>
      <c r="V9" s="28"/>
      <c r="X9" s="37"/>
    </row>
    <row r="10" spans="2:24" x14ac:dyDescent="0.3">
      <c r="B10" s="1"/>
      <c r="D10" s="10" t="s">
        <v>87</v>
      </c>
      <c r="E10" s="21" t="s">
        <v>91</v>
      </c>
      <c r="F10" s="24">
        <v>2</v>
      </c>
      <c r="G10" s="42" t="s">
        <v>173</v>
      </c>
      <c r="I10" s="24" t="s">
        <v>251</v>
      </c>
      <c r="M10" t="s">
        <v>130</v>
      </c>
      <c r="O10" t="s">
        <v>192</v>
      </c>
      <c r="P10" t="s">
        <v>193</v>
      </c>
      <c r="R10" t="s">
        <v>131</v>
      </c>
      <c r="T10" s="43"/>
      <c r="V10" s="28" t="s">
        <v>133</v>
      </c>
      <c r="W10" t="s">
        <v>130</v>
      </c>
      <c r="X10" s="37">
        <v>1200000</v>
      </c>
    </row>
    <row r="11" spans="2:24" x14ac:dyDescent="0.3">
      <c r="D11" s="20" t="s">
        <v>90</v>
      </c>
      <c r="F11" s="24">
        <v>3</v>
      </c>
      <c r="G11" s="42" t="s">
        <v>94</v>
      </c>
      <c r="I11" s="24" t="s">
        <v>253</v>
      </c>
      <c r="M11" t="s">
        <v>131</v>
      </c>
      <c r="O11" t="s">
        <v>196</v>
      </c>
      <c r="P11" t="s">
        <v>194</v>
      </c>
      <c r="R11" t="s">
        <v>195</v>
      </c>
      <c r="T11" s="43"/>
      <c r="V11" s="28"/>
      <c r="W11" t="s">
        <v>131</v>
      </c>
      <c r="X11" s="37">
        <v>100000</v>
      </c>
    </row>
    <row r="12" spans="2:24" x14ac:dyDescent="0.3">
      <c r="D12" s="20" t="s">
        <v>207</v>
      </c>
      <c r="F12" s="24">
        <v>4</v>
      </c>
      <c r="I12" s="24" t="s">
        <v>254</v>
      </c>
      <c r="M12" t="s">
        <v>195</v>
      </c>
      <c r="O12" t="s">
        <v>191</v>
      </c>
      <c r="R12" t="s">
        <v>154</v>
      </c>
      <c r="T12" s="43"/>
      <c r="V12" s="28"/>
      <c r="W12" t="s">
        <v>132</v>
      </c>
      <c r="X12" s="37">
        <v>1000000</v>
      </c>
    </row>
    <row r="13" spans="2:24" x14ac:dyDescent="0.3">
      <c r="D13" s="20" t="s">
        <v>90</v>
      </c>
      <c r="F13" s="24">
        <v>5</v>
      </c>
      <c r="I13" s="24" t="s">
        <v>160</v>
      </c>
      <c r="M13" t="s">
        <v>154</v>
      </c>
      <c r="O13" t="s">
        <v>14</v>
      </c>
      <c r="R13" t="s">
        <v>186</v>
      </c>
      <c r="T13" s="43"/>
      <c r="V13" s="28"/>
      <c r="X13" s="37"/>
    </row>
    <row r="14" spans="2:24" x14ac:dyDescent="0.3">
      <c r="D14" s="11" t="s">
        <v>88</v>
      </c>
      <c r="F14" s="24">
        <v>6</v>
      </c>
      <c r="I14" s="24" t="s">
        <v>155</v>
      </c>
      <c r="M14" t="s">
        <v>186</v>
      </c>
      <c r="T14" s="43"/>
      <c r="V14" s="28" t="s">
        <v>163</v>
      </c>
      <c r="W14" t="s">
        <v>164</v>
      </c>
    </row>
    <row r="15" spans="2:24" x14ac:dyDescent="0.3">
      <c r="D15" s="20"/>
      <c r="F15" s="24">
        <v>7</v>
      </c>
      <c r="I15" s="24" t="s">
        <v>156</v>
      </c>
      <c r="T15" s="43"/>
      <c r="V15" s="28"/>
    </row>
    <row r="16" spans="2:24" x14ac:dyDescent="0.3">
      <c r="D16" s="11"/>
      <c r="F16" s="24">
        <v>8</v>
      </c>
      <c r="I16" s="24" t="s">
        <v>157</v>
      </c>
      <c r="T16" s="43"/>
      <c r="V16" s="28"/>
    </row>
    <row r="17" spans="4:24" x14ac:dyDescent="0.3">
      <c r="D17" s="8"/>
      <c r="F17" s="24">
        <v>9</v>
      </c>
      <c r="I17" s="24" t="s">
        <v>158</v>
      </c>
      <c r="T17" s="43"/>
      <c r="V17" s="28"/>
    </row>
    <row r="18" spans="4:24" x14ac:dyDescent="0.3">
      <c r="D18" s="8"/>
      <c r="F18" s="24">
        <v>10</v>
      </c>
      <c r="I18" s="24" t="s">
        <v>159</v>
      </c>
      <c r="T18" s="43"/>
      <c r="V18" s="28"/>
    </row>
    <row r="19" spans="4:24" x14ac:dyDescent="0.3">
      <c r="D19" s="8"/>
      <c r="F19" s="24">
        <v>11</v>
      </c>
      <c r="I19" s="24" t="s">
        <v>161</v>
      </c>
      <c r="T19" s="43"/>
      <c r="V19" s="28"/>
    </row>
    <row r="20" spans="4:24" x14ac:dyDescent="0.3">
      <c r="D20" s="8"/>
      <c r="F20" s="24">
        <v>12</v>
      </c>
      <c r="I20" s="24" t="s">
        <v>14</v>
      </c>
      <c r="T20" s="43"/>
      <c r="V20" s="28"/>
    </row>
    <row r="21" spans="4:24" x14ac:dyDescent="0.3">
      <c r="D21" s="8"/>
      <c r="F21" s="24">
        <v>13</v>
      </c>
      <c r="I21" s="24" t="s">
        <v>112</v>
      </c>
      <c r="T21" s="43"/>
      <c r="V21" s="28"/>
    </row>
    <row r="22" spans="4:24" x14ac:dyDescent="0.3">
      <c r="D22" s="8"/>
      <c r="F22" s="24">
        <v>14</v>
      </c>
      <c r="I22" s="24" t="s">
        <v>112</v>
      </c>
      <c r="T22" s="43"/>
      <c r="V22" s="28"/>
    </row>
    <row r="23" spans="4:24" ht="17.25" thickBot="1" x14ac:dyDescent="0.35">
      <c r="D23" s="8"/>
      <c r="F23" s="24">
        <v>15</v>
      </c>
      <c r="I23" s="24" t="s">
        <v>112</v>
      </c>
      <c r="T23" s="43"/>
      <c r="V23" s="28"/>
    </row>
    <row r="24" spans="4:24" ht="17.25" thickBot="1" x14ac:dyDescent="0.35">
      <c r="D24" s="11" t="s">
        <v>67</v>
      </c>
      <c r="F24" s="24">
        <v>16</v>
      </c>
      <c r="I24" s="23"/>
      <c r="T24" s="43"/>
      <c r="V24" s="28"/>
      <c r="W24" s="49" t="s">
        <v>134</v>
      </c>
      <c r="X24" t="s">
        <v>139</v>
      </c>
    </row>
    <row r="25" spans="4:24" ht="17.25" thickBot="1" x14ac:dyDescent="0.35">
      <c r="D25" s="11" t="s">
        <v>68</v>
      </c>
      <c r="F25" s="24" t="s">
        <v>112</v>
      </c>
      <c r="T25" s="43"/>
      <c r="V25" s="28"/>
    </row>
    <row r="26" spans="4:24" ht="17.25" thickBot="1" x14ac:dyDescent="0.35">
      <c r="D26" s="11" t="s">
        <v>69</v>
      </c>
      <c r="F26" s="24" t="s">
        <v>112</v>
      </c>
      <c r="T26" s="43"/>
      <c r="V26" s="28"/>
      <c r="W26" s="49" t="s">
        <v>135</v>
      </c>
      <c r="X26" t="s">
        <v>138</v>
      </c>
    </row>
    <row r="27" spans="4:24" ht="17.25" thickBot="1" x14ac:dyDescent="0.35">
      <c r="D27" s="11" t="s">
        <v>70</v>
      </c>
      <c r="F27" s="24" t="s">
        <v>112</v>
      </c>
      <c r="T27" s="43"/>
      <c r="V27" s="28"/>
    </row>
    <row r="28" spans="4:24" ht="17.25" thickBot="1" x14ac:dyDescent="0.35">
      <c r="D28" s="11" t="s">
        <v>71</v>
      </c>
      <c r="F28" s="24" t="s">
        <v>112</v>
      </c>
      <c r="T28" s="43"/>
      <c r="V28" s="28"/>
      <c r="W28" s="49" t="s">
        <v>136</v>
      </c>
      <c r="X28" t="s">
        <v>138</v>
      </c>
    </row>
    <row r="29" spans="4:24" x14ac:dyDescent="0.3">
      <c r="F29" s="26" t="s">
        <v>112</v>
      </c>
      <c r="G29" s="45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52"/>
    </row>
    <row r="30" spans="4:24" x14ac:dyDescent="0.3">
      <c r="D30" t="s">
        <v>44</v>
      </c>
    </row>
    <row r="32" spans="4:24" ht="16.5" customHeight="1" x14ac:dyDescent="0.3"/>
  </sheetData>
  <mergeCells count="7">
    <mergeCell ref="V5:X5"/>
    <mergeCell ref="F7:H7"/>
    <mergeCell ref="F4:H4"/>
    <mergeCell ref="J4:K4"/>
    <mergeCell ref="M4:N4"/>
    <mergeCell ref="P4:Q4"/>
    <mergeCell ref="H5:S5"/>
  </mergeCells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70A3-8819-4CD2-81AA-8FE096C17A03}">
  <dimension ref="B1:X32"/>
  <sheetViews>
    <sheetView showGridLines="0" zoomScale="70" zoomScaleNormal="70" workbookViewId="0">
      <selection activeCell="C33" sqref="C33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11.625" customWidth="1"/>
    <col min="7" max="7" width="9.375" customWidth="1"/>
    <col min="8" max="8" width="9.625" customWidth="1"/>
    <col min="9" max="10" width="12" customWidth="1"/>
    <col min="11" max="12" width="7.125" bestFit="1" customWidth="1"/>
    <col min="13" max="13" width="12.375" bestFit="1" customWidth="1"/>
    <col min="14" max="14" width="11.625" customWidth="1"/>
    <col min="15" max="15" width="12.375" bestFit="1" customWidth="1"/>
    <col min="16" max="16" width="9" bestFit="1" customWidth="1"/>
    <col min="17" max="20" width="9" customWidth="1"/>
    <col min="22" max="22" width="5.875" customWidth="1"/>
    <col min="24" max="24" width="10.875" bestFit="1" customWidth="1"/>
  </cols>
  <sheetData>
    <row r="1" spans="2:24" x14ac:dyDescent="0.3">
      <c r="D1" s="8"/>
    </row>
    <row r="2" spans="2:24" x14ac:dyDescent="0.3">
      <c r="D2" s="8"/>
      <c r="N2" s="2"/>
      <c r="P2" s="2"/>
    </row>
    <row r="3" spans="2:24" ht="17.25" thickBot="1" x14ac:dyDescent="0.35">
      <c r="B3" s="21" t="s">
        <v>182</v>
      </c>
      <c r="D3" s="8"/>
    </row>
    <row r="4" spans="2:24" s="2" customFormat="1" ht="17.25" thickBot="1" x14ac:dyDescent="0.35">
      <c r="C4" s="14"/>
      <c r="D4" s="15"/>
      <c r="E4" s="14"/>
      <c r="F4" s="84" t="s">
        <v>1</v>
      </c>
      <c r="G4" s="85"/>
      <c r="H4" s="86"/>
      <c r="I4" s="14"/>
      <c r="J4" s="89" t="s">
        <v>11</v>
      </c>
      <c r="K4" s="90"/>
      <c r="M4" s="84" t="s">
        <v>12</v>
      </c>
      <c r="N4" s="86"/>
      <c r="P4" s="84" t="s">
        <v>13</v>
      </c>
      <c r="Q4" s="86"/>
      <c r="R4" s="14"/>
      <c r="S4" s="17" t="s">
        <v>14</v>
      </c>
      <c r="T4" s="27"/>
      <c r="U4" s="27"/>
      <c r="V4" s="17" t="s">
        <v>143</v>
      </c>
      <c r="W4" s="14"/>
      <c r="X4" s="14"/>
    </row>
    <row r="5" spans="2:24" x14ac:dyDescent="0.3">
      <c r="D5" s="8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2"/>
      <c r="V5" s="80"/>
      <c r="W5" s="81"/>
      <c r="X5" s="81"/>
    </row>
    <row r="6" spans="2:24" x14ac:dyDescent="0.3">
      <c r="B6" s="1"/>
      <c r="D6" s="10" t="s">
        <v>67</v>
      </c>
      <c r="E6" s="2"/>
      <c r="F6" s="2" t="s">
        <v>208</v>
      </c>
      <c r="G6" s="61" t="s">
        <v>209</v>
      </c>
      <c r="I6" t="s">
        <v>220</v>
      </c>
      <c r="R6" t="s">
        <v>218</v>
      </c>
    </row>
    <row r="7" spans="2:24" x14ac:dyDescent="0.3">
      <c r="B7" s="1"/>
      <c r="D7" s="20" t="s">
        <v>90</v>
      </c>
      <c r="R7" t="s">
        <v>219</v>
      </c>
    </row>
    <row r="8" spans="2:24" x14ac:dyDescent="0.3">
      <c r="B8" s="1"/>
      <c r="D8" s="11" t="s">
        <v>86</v>
      </c>
      <c r="E8" s="21"/>
      <c r="F8" t="s">
        <v>65</v>
      </c>
      <c r="G8" t="s">
        <v>211</v>
      </c>
      <c r="H8" t="s">
        <v>212</v>
      </c>
      <c r="I8" t="s">
        <v>213</v>
      </c>
      <c r="J8" t="s">
        <v>214</v>
      </c>
      <c r="K8" t="s">
        <v>112</v>
      </c>
      <c r="L8" t="s">
        <v>112</v>
      </c>
      <c r="M8" t="s">
        <v>112</v>
      </c>
      <c r="N8" t="s">
        <v>112</v>
      </c>
      <c r="O8" t="s">
        <v>215</v>
      </c>
      <c r="P8" t="s">
        <v>216</v>
      </c>
    </row>
    <row r="9" spans="2:24" x14ac:dyDescent="0.3">
      <c r="B9" s="1"/>
      <c r="D9" s="20" t="s">
        <v>90</v>
      </c>
      <c r="E9" s="21"/>
      <c r="F9" s="62">
        <v>45658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 s="63">
        <v>0.5</v>
      </c>
    </row>
    <row r="10" spans="2:24" x14ac:dyDescent="0.3">
      <c r="B10" s="1"/>
      <c r="D10" s="11" t="s">
        <v>87</v>
      </c>
      <c r="E10" s="21"/>
      <c r="F10" s="62">
        <v>45659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 s="63">
        <v>0.5</v>
      </c>
    </row>
    <row r="11" spans="2:24" x14ac:dyDescent="0.3">
      <c r="D11" s="20" t="s">
        <v>90</v>
      </c>
      <c r="F11" s="62">
        <v>45660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 s="63">
        <v>0.6</v>
      </c>
    </row>
    <row r="12" spans="2:24" x14ac:dyDescent="0.3">
      <c r="D12" s="60" t="s">
        <v>207</v>
      </c>
      <c r="E12" s="21" t="s">
        <v>91</v>
      </c>
      <c r="F12" s="62">
        <v>45661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 s="63">
        <v>0.7</v>
      </c>
    </row>
    <row r="13" spans="2:24" x14ac:dyDescent="0.3">
      <c r="D13" s="20" t="s">
        <v>90</v>
      </c>
      <c r="F13" s="62">
        <v>45662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 s="63">
        <v>0.8</v>
      </c>
    </row>
    <row r="14" spans="2:24" x14ac:dyDescent="0.3">
      <c r="D14" s="11" t="s">
        <v>88</v>
      </c>
      <c r="F14" s="62">
        <v>45663</v>
      </c>
      <c r="G14">
        <v>0</v>
      </c>
      <c r="H14">
        <v>1</v>
      </c>
      <c r="I14">
        <v>2</v>
      </c>
      <c r="J14">
        <v>3</v>
      </c>
      <c r="K14">
        <v>4</v>
      </c>
      <c r="L14">
        <v>5</v>
      </c>
      <c r="M14">
        <v>6</v>
      </c>
      <c r="N14">
        <v>7</v>
      </c>
      <c r="O14" s="63">
        <v>0.5</v>
      </c>
    </row>
    <row r="15" spans="2:24" x14ac:dyDescent="0.3">
      <c r="D15" s="20"/>
      <c r="F15" s="62">
        <v>45664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</row>
    <row r="16" spans="2:24" x14ac:dyDescent="0.3">
      <c r="D16" s="11"/>
      <c r="F16" s="62">
        <v>45665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</row>
    <row r="17" spans="4:14" x14ac:dyDescent="0.3">
      <c r="D17" s="8"/>
      <c r="F17" s="62">
        <v>45666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</row>
    <row r="18" spans="4:14" x14ac:dyDescent="0.3">
      <c r="D18" s="8"/>
      <c r="F18" s="62">
        <v>45667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</row>
    <row r="19" spans="4:14" x14ac:dyDescent="0.3">
      <c r="D19" s="8"/>
      <c r="F19" s="62">
        <v>45668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</row>
    <row r="20" spans="4:14" x14ac:dyDescent="0.3">
      <c r="D20" s="8"/>
      <c r="F20" s="62">
        <v>45669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</row>
    <row r="21" spans="4:14" x14ac:dyDescent="0.3">
      <c r="D21" s="8"/>
      <c r="F21" s="2" t="s">
        <v>112</v>
      </c>
    </row>
    <row r="22" spans="4:14" x14ac:dyDescent="0.3">
      <c r="D22" s="8"/>
      <c r="F22" s="2" t="s">
        <v>112</v>
      </c>
    </row>
    <row r="23" spans="4:14" x14ac:dyDescent="0.3">
      <c r="D23" s="8"/>
      <c r="F23" s="2" t="s">
        <v>112</v>
      </c>
    </row>
    <row r="24" spans="4:14" x14ac:dyDescent="0.3">
      <c r="D24" s="11" t="s">
        <v>67</v>
      </c>
      <c r="F24" s="2" t="s">
        <v>112</v>
      </c>
    </row>
    <row r="25" spans="4:14" x14ac:dyDescent="0.3">
      <c r="D25" s="11" t="s">
        <v>68</v>
      </c>
      <c r="F25" s="2" t="s">
        <v>112</v>
      </c>
    </row>
    <row r="26" spans="4:14" x14ac:dyDescent="0.3">
      <c r="D26" s="11" t="s">
        <v>69</v>
      </c>
      <c r="F26" s="2" t="s">
        <v>112</v>
      </c>
    </row>
    <row r="27" spans="4:14" x14ac:dyDescent="0.3">
      <c r="D27" s="11" t="s">
        <v>70</v>
      </c>
    </row>
    <row r="28" spans="4:14" x14ac:dyDescent="0.3">
      <c r="D28" s="11" t="s">
        <v>71</v>
      </c>
    </row>
    <row r="30" spans="4:14" x14ac:dyDescent="0.3">
      <c r="D30" t="s">
        <v>44</v>
      </c>
    </row>
    <row r="32" spans="4:14" ht="16.5" customHeight="1" x14ac:dyDescent="0.3"/>
  </sheetData>
  <mergeCells count="6">
    <mergeCell ref="V5:X5"/>
    <mergeCell ref="F4:H4"/>
    <mergeCell ref="J4:K4"/>
    <mergeCell ref="M4:N4"/>
    <mergeCell ref="P4:Q4"/>
    <mergeCell ref="H5:S5"/>
  </mergeCells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BE01-D110-46F8-9CCB-FAB6D5A49B68}">
  <dimension ref="B1:X32"/>
  <sheetViews>
    <sheetView showGridLines="0" topLeftCell="B28" zoomScale="85" zoomScaleNormal="85" workbookViewId="0">
      <selection activeCell="C34" sqref="C34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11.625" customWidth="1"/>
    <col min="7" max="7" width="9.375" customWidth="1"/>
    <col min="8" max="8" width="9.625" customWidth="1"/>
    <col min="9" max="10" width="12" customWidth="1"/>
    <col min="11" max="12" width="7.125" bestFit="1" customWidth="1"/>
    <col min="13" max="13" width="12.375" bestFit="1" customWidth="1"/>
    <col min="14" max="14" width="11.625" customWidth="1"/>
    <col min="15" max="15" width="12.375" bestFit="1" customWidth="1"/>
    <col min="16" max="16" width="9" bestFit="1" customWidth="1"/>
    <col min="17" max="20" width="9" customWidth="1"/>
    <col min="22" max="22" width="5.875" customWidth="1"/>
    <col min="24" max="24" width="10.875" bestFit="1" customWidth="1"/>
  </cols>
  <sheetData>
    <row r="1" spans="2:24" x14ac:dyDescent="0.3">
      <c r="D1" s="8"/>
    </row>
    <row r="2" spans="2:24" x14ac:dyDescent="0.3">
      <c r="D2" s="8"/>
      <c r="N2" s="2"/>
      <c r="P2" s="2"/>
    </row>
    <row r="3" spans="2:24" ht="17.25" thickBot="1" x14ac:dyDescent="0.35">
      <c r="B3" s="21" t="s">
        <v>182</v>
      </c>
      <c r="D3" s="8"/>
    </row>
    <row r="4" spans="2:24" s="2" customFormat="1" ht="17.25" thickBot="1" x14ac:dyDescent="0.35">
      <c r="C4" s="14"/>
      <c r="D4" s="15"/>
      <c r="E4" s="14"/>
      <c r="F4" s="84" t="s">
        <v>1</v>
      </c>
      <c r="G4" s="85"/>
      <c r="H4" s="86"/>
      <c r="I4" s="14"/>
      <c r="J4" s="89" t="s">
        <v>11</v>
      </c>
      <c r="K4" s="90"/>
      <c r="M4" s="84" t="s">
        <v>12</v>
      </c>
      <c r="N4" s="86"/>
      <c r="P4" s="84" t="s">
        <v>13</v>
      </c>
      <c r="Q4" s="86"/>
      <c r="R4" s="14"/>
      <c r="S4" s="17" t="s">
        <v>14</v>
      </c>
      <c r="T4" s="27"/>
      <c r="U4" s="27"/>
      <c r="V4" s="17" t="s">
        <v>143</v>
      </c>
      <c r="W4" s="14"/>
      <c r="X4" s="14"/>
    </row>
    <row r="5" spans="2:24" x14ac:dyDescent="0.3">
      <c r="D5" s="8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2"/>
      <c r="V5" s="80"/>
      <c r="W5" s="81"/>
      <c r="X5" s="81"/>
    </row>
    <row r="6" spans="2:24" x14ac:dyDescent="0.3">
      <c r="B6" s="1"/>
      <c r="D6" s="10" t="s">
        <v>67</v>
      </c>
      <c r="E6" s="2"/>
      <c r="F6" s="2" t="s">
        <v>208</v>
      </c>
      <c r="G6" s="61" t="s">
        <v>209</v>
      </c>
      <c r="I6" t="s">
        <v>220</v>
      </c>
      <c r="J6" s="61" t="s">
        <v>209</v>
      </c>
      <c r="L6" t="s">
        <v>221</v>
      </c>
      <c r="M6" s="61" t="s">
        <v>209</v>
      </c>
      <c r="R6" t="s">
        <v>218</v>
      </c>
    </row>
    <row r="7" spans="2:24" x14ac:dyDescent="0.3">
      <c r="B7" s="1"/>
      <c r="D7" s="20" t="s">
        <v>90</v>
      </c>
      <c r="R7" t="s">
        <v>219</v>
      </c>
    </row>
    <row r="8" spans="2:24" x14ac:dyDescent="0.3">
      <c r="B8" s="1"/>
      <c r="D8" s="11" t="s">
        <v>86</v>
      </c>
      <c r="E8" s="21"/>
    </row>
    <row r="9" spans="2:24" x14ac:dyDescent="0.3">
      <c r="B9" s="1"/>
      <c r="D9" s="20" t="s">
        <v>90</v>
      </c>
      <c r="E9" s="21"/>
      <c r="F9" s="2" t="s">
        <v>208</v>
      </c>
      <c r="G9" s="61" t="s">
        <v>209</v>
      </c>
      <c r="I9" t="s">
        <v>220</v>
      </c>
      <c r="J9" s="61" t="s">
        <v>209</v>
      </c>
      <c r="M9" t="s">
        <v>227</v>
      </c>
    </row>
    <row r="10" spans="2:24" x14ac:dyDescent="0.3">
      <c r="B10" s="1"/>
      <c r="D10" s="11" t="s">
        <v>87</v>
      </c>
      <c r="E10" s="21"/>
    </row>
    <row r="11" spans="2:24" x14ac:dyDescent="0.3">
      <c r="D11" s="20" t="s">
        <v>90</v>
      </c>
    </row>
    <row r="12" spans="2:24" x14ac:dyDescent="0.3">
      <c r="D12" s="20" t="s">
        <v>207</v>
      </c>
      <c r="E12" s="21"/>
    </row>
    <row r="13" spans="2:24" x14ac:dyDescent="0.3">
      <c r="D13" s="20" t="s">
        <v>90</v>
      </c>
    </row>
    <row r="14" spans="2:24" x14ac:dyDescent="0.3">
      <c r="D14" s="10" t="s">
        <v>88</v>
      </c>
      <c r="E14" s="21" t="s">
        <v>91</v>
      </c>
    </row>
    <row r="15" spans="2:24" x14ac:dyDescent="0.3">
      <c r="D15" s="20"/>
    </row>
    <row r="16" spans="2:24" x14ac:dyDescent="0.3">
      <c r="D16" s="11"/>
    </row>
    <row r="17" spans="4:6" x14ac:dyDescent="0.3">
      <c r="D17" s="8"/>
    </row>
    <row r="18" spans="4:6" x14ac:dyDescent="0.3">
      <c r="D18" s="8"/>
    </row>
    <row r="19" spans="4:6" x14ac:dyDescent="0.3">
      <c r="D19" s="8"/>
    </row>
    <row r="20" spans="4:6" x14ac:dyDescent="0.3">
      <c r="D20" s="8"/>
    </row>
    <row r="21" spans="4:6" x14ac:dyDescent="0.3">
      <c r="D21" s="8"/>
    </row>
    <row r="22" spans="4:6" x14ac:dyDescent="0.3">
      <c r="D22" s="8"/>
    </row>
    <row r="23" spans="4:6" x14ac:dyDescent="0.3">
      <c r="D23" s="8"/>
    </row>
    <row r="24" spans="4:6" x14ac:dyDescent="0.3">
      <c r="D24" s="11" t="s">
        <v>67</v>
      </c>
    </row>
    <row r="25" spans="4:6" x14ac:dyDescent="0.3">
      <c r="D25" s="11" t="s">
        <v>68</v>
      </c>
    </row>
    <row r="26" spans="4:6" x14ac:dyDescent="0.3">
      <c r="D26" s="11" t="s">
        <v>69</v>
      </c>
      <c r="F26" s="2" t="s">
        <v>112</v>
      </c>
    </row>
    <row r="27" spans="4:6" x14ac:dyDescent="0.3">
      <c r="D27" s="11" t="s">
        <v>70</v>
      </c>
    </row>
    <row r="28" spans="4:6" x14ac:dyDescent="0.3">
      <c r="D28" s="11" t="s">
        <v>71</v>
      </c>
    </row>
    <row r="30" spans="4:6" x14ac:dyDescent="0.3">
      <c r="D30" t="s">
        <v>44</v>
      </c>
    </row>
    <row r="32" spans="4:6" ht="16.5" customHeight="1" x14ac:dyDescent="0.3"/>
  </sheetData>
  <mergeCells count="6">
    <mergeCell ref="V5:X5"/>
    <mergeCell ref="F4:H4"/>
    <mergeCell ref="J4:K4"/>
    <mergeCell ref="M4:N4"/>
    <mergeCell ref="P4:Q4"/>
    <mergeCell ref="H5:S5"/>
  </mergeCells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3625-6086-4A42-BEFE-7FC0CAF29FE2}">
  <dimension ref="B1:X32"/>
  <sheetViews>
    <sheetView showGridLines="0" topLeftCell="A7" zoomScale="70" zoomScaleNormal="70" workbookViewId="0">
      <selection activeCell="C34" sqref="C34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8.125" customWidth="1"/>
    <col min="7" max="7" width="9.375" customWidth="1"/>
    <col min="8" max="8" width="9.625" customWidth="1"/>
    <col min="9" max="10" width="12" customWidth="1"/>
    <col min="11" max="11" width="9.5" customWidth="1"/>
    <col min="12" max="12" width="9.375" bestFit="1" customWidth="1"/>
    <col min="13" max="13" width="12.375" bestFit="1" customWidth="1"/>
    <col min="14" max="14" width="11.625" customWidth="1"/>
    <col min="15" max="15" width="12.375" bestFit="1" customWidth="1"/>
    <col min="16" max="16" width="9" bestFit="1" customWidth="1"/>
    <col min="17" max="20" width="9" customWidth="1"/>
    <col min="22" max="22" width="5.875" customWidth="1"/>
    <col min="24" max="24" width="10.875" bestFit="1" customWidth="1"/>
  </cols>
  <sheetData>
    <row r="1" spans="2:24" x14ac:dyDescent="0.3">
      <c r="D1" s="8"/>
    </row>
    <row r="2" spans="2:24" x14ac:dyDescent="0.3">
      <c r="D2" s="8"/>
      <c r="N2" s="2"/>
      <c r="P2" s="2"/>
    </row>
    <row r="3" spans="2:24" ht="17.25" thickBot="1" x14ac:dyDescent="0.35">
      <c r="B3" s="21" t="s">
        <v>182</v>
      </c>
      <c r="D3" s="8"/>
    </row>
    <row r="4" spans="2:24" s="2" customFormat="1" ht="17.25" thickBot="1" x14ac:dyDescent="0.35">
      <c r="C4" s="14"/>
      <c r="D4" s="15"/>
      <c r="E4" s="14"/>
      <c r="F4" s="84" t="s">
        <v>1</v>
      </c>
      <c r="G4" s="85"/>
      <c r="H4" s="86"/>
      <c r="I4" s="14"/>
      <c r="J4" s="93" t="s">
        <v>11</v>
      </c>
      <c r="K4" s="94"/>
      <c r="M4" s="89" t="s">
        <v>12</v>
      </c>
      <c r="N4" s="90"/>
      <c r="P4" s="84" t="s">
        <v>13</v>
      </c>
      <c r="Q4" s="86"/>
      <c r="R4" s="14"/>
      <c r="S4" s="17" t="s">
        <v>14</v>
      </c>
      <c r="T4" s="27"/>
      <c r="U4" s="27"/>
      <c r="V4" s="17" t="s">
        <v>143</v>
      </c>
      <c r="W4" s="14"/>
      <c r="X4" s="14"/>
    </row>
    <row r="5" spans="2:24" x14ac:dyDescent="0.3">
      <c r="D5" s="8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2"/>
      <c r="V5" s="80"/>
      <c r="W5" s="81"/>
      <c r="X5" s="81"/>
    </row>
    <row r="6" spans="2:24" x14ac:dyDescent="0.3">
      <c r="B6" s="1"/>
      <c r="D6" s="69"/>
      <c r="E6" s="2"/>
      <c r="F6" s="2" t="s">
        <v>72</v>
      </c>
      <c r="G6" s="61" t="s">
        <v>209</v>
      </c>
      <c r="J6" s="61"/>
      <c r="M6" s="61"/>
      <c r="R6" t="s">
        <v>218</v>
      </c>
    </row>
    <row r="7" spans="2:24" x14ac:dyDescent="0.3">
      <c r="B7" s="1"/>
      <c r="D7" s="72" t="s">
        <v>136</v>
      </c>
      <c r="E7" s="21" t="s">
        <v>91</v>
      </c>
      <c r="F7" t="s">
        <v>73</v>
      </c>
      <c r="G7" t="s">
        <v>74</v>
      </c>
      <c r="H7" t="s">
        <v>210</v>
      </c>
      <c r="I7" t="s">
        <v>250</v>
      </c>
      <c r="R7" t="s">
        <v>219</v>
      </c>
    </row>
    <row r="8" spans="2:24" x14ac:dyDescent="0.3">
      <c r="B8" s="1"/>
      <c r="D8" s="69"/>
      <c r="E8" s="21"/>
      <c r="I8" t="s">
        <v>208</v>
      </c>
    </row>
    <row r="9" spans="2:24" x14ac:dyDescent="0.3">
      <c r="B9" s="1"/>
      <c r="D9" s="72"/>
      <c r="E9" s="21"/>
      <c r="F9" s="2" t="s">
        <v>72</v>
      </c>
      <c r="G9" s="61" t="s">
        <v>209</v>
      </c>
    </row>
    <row r="10" spans="2:24" x14ac:dyDescent="0.3">
      <c r="B10" s="1"/>
      <c r="D10" s="69"/>
      <c r="E10" s="21"/>
      <c r="F10" t="s">
        <v>73</v>
      </c>
      <c r="G10" t="s">
        <v>74</v>
      </c>
      <c r="H10" t="s">
        <v>210</v>
      </c>
      <c r="I10" t="s">
        <v>250</v>
      </c>
    </row>
    <row r="11" spans="2:24" x14ac:dyDescent="0.3">
      <c r="D11" s="72" t="s">
        <v>246</v>
      </c>
      <c r="I11" t="s">
        <v>208</v>
      </c>
    </row>
    <row r="12" spans="2:24" x14ac:dyDescent="0.3">
      <c r="D12" s="72"/>
      <c r="E12" s="21"/>
    </row>
    <row r="13" spans="2:24" x14ac:dyDescent="0.3">
      <c r="D13" s="72"/>
    </row>
    <row r="14" spans="2:24" x14ac:dyDescent="0.3">
      <c r="D14" s="69" t="s">
        <v>247</v>
      </c>
      <c r="E14" s="21"/>
    </row>
    <row r="15" spans="2:24" x14ac:dyDescent="0.3">
      <c r="D15" s="72"/>
    </row>
    <row r="16" spans="2:24" x14ac:dyDescent="0.3">
      <c r="D16" s="69"/>
      <c r="E16" s="21"/>
    </row>
    <row r="17" spans="4:4" x14ac:dyDescent="0.3">
      <c r="D17" s="73" t="s">
        <v>248</v>
      </c>
    </row>
    <row r="18" spans="4:4" x14ac:dyDescent="0.3">
      <c r="D18" s="73" t="s">
        <v>249</v>
      </c>
    </row>
    <row r="19" spans="4:4" x14ac:dyDescent="0.3">
      <c r="D19" s="73"/>
    </row>
    <row r="20" spans="4:4" x14ac:dyDescent="0.3">
      <c r="D20" s="8"/>
    </row>
    <row r="21" spans="4:4" x14ac:dyDescent="0.3">
      <c r="D21" s="8"/>
    </row>
    <row r="22" spans="4:4" x14ac:dyDescent="0.3">
      <c r="D22" s="8"/>
    </row>
    <row r="23" spans="4:4" x14ac:dyDescent="0.3">
      <c r="D23" s="8"/>
    </row>
    <row r="24" spans="4:4" x14ac:dyDescent="0.3">
      <c r="D24" s="11"/>
    </row>
    <row r="25" spans="4:4" x14ac:dyDescent="0.3">
      <c r="D25" s="11"/>
    </row>
    <row r="26" spans="4:4" x14ac:dyDescent="0.3">
      <c r="D26" s="11"/>
    </row>
    <row r="27" spans="4:4" x14ac:dyDescent="0.3">
      <c r="D27" s="11"/>
    </row>
    <row r="28" spans="4:4" x14ac:dyDescent="0.3">
      <c r="D28" s="11"/>
    </row>
    <row r="30" spans="4:4" x14ac:dyDescent="0.3">
      <c r="D30" t="s">
        <v>44</v>
      </c>
    </row>
    <row r="32" spans="4:4" ht="16.5" customHeight="1" x14ac:dyDescent="0.3"/>
  </sheetData>
  <mergeCells count="6">
    <mergeCell ref="V5:X5"/>
    <mergeCell ref="F4:H4"/>
    <mergeCell ref="J4:K4"/>
    <mergeCell ref="M4:N4"/>
    <mergeCell ref="P4:Q4"/>
    <mergeCell ref="H5:S5"/>
  </mergeCells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B3EC-2266-4873-B5F0-23F9286FAFC6}">
  <dimension ref="B1:X32"/>
  <sheetViews>
    <sheetView showGridLines="0" workbookViewId="0">
      <selection activeCell="I12" sqref="I12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8.125" customWidth="1"/>
    <col min="7" max="7" width="9.375" customWidth="1"/>
    <col min="8" max="8" width="9.625" customWidth="1"/>
    <col min="9" max="10" width="12" customWidth="1"/>
    <col min="11" max="11" width="9.5" customWidth="1"/>
    <col min="12" max="12" width="9.375" bestFit="1" customWidth="1"/>
    <col min="13" max="13" width="12.375" bestFit="1" customWidth="1"/>
    <col min="14" max="14" width="11.625" customWidth="1"/>
    <col min="15" max="15" width="12.375" bestFit="1" customWidth="1"/>
    <col min="16" max="16" width="9" bestFit="1" customWidth="1"/>
    <col min="17" max="20" width="9" customWidth="1"/>
    <col min="22" max="22" width="5.875" customWidth="1"/>
    <col min="24" max="24" width="10.875" bestFit="1" customWidth="1"/>
  </cols>
  <sheetData>
    <row r="1" spans="2:24" x14ac:dyDescent="0.3">
      <c r="D1" s="8"/>
    </row>
    <row r="2" spans="2:24" x14ac:dyDescent="0.3">
      <c r="D2" s="8"/>
      <c r="N2" s="2"/>
      <c r="P2" s="2"/>
    </row>
    <row r="3" spans="2:24" ht="17.25" thickBot="1" x14ac:dyDescent="0.35">
      <c r="B3" s="21" t="s">
        <v>182</v>
      </c>
      <c r="D3" s="8"/>
    </row>
    <row r="4" spans="2:24" s="2" customFormat="1" ht="17.25" thickBot="1" x14ac:dyDescent="0.35">
      <c r="C4" s="14"/>
      <c r="D4" s="15"/>
      <c r="E4" s="14"/>
      <c r="F4" s="84" t="s">
        <v>1</v>
      </c>
      <c r="G4" s="85"/>
      <c r="H4" s="86"/>
      <c r="I4" s="14"/>
      <c r="J4" s="93" t="s">
        <v>11</v>
      </c>
      <c r="K4" s="94"/>
      <c r="M4" s="89" t="s">
        <v>12</v>
      </c>
      <c r="N4" s="90"/>
      <c r="P4" s="84" t="s">
        <v>13</v>
      </c>
      <c r="Q4" s="86"/>
      <c r="R4" s="14"/>
      <c r="S4" s="17" t="s">
        <v>14</v>
      </c>
      <c r="T4" s="27"/>
      <c r="U4" s="27"/>
      <c r="V4" s="17" t="s">
        <v>143</v>
      </c>
      <c r="W4" s="14"/>
      <c r="X4" s="14"/>
    </row>
    <row r="5" spans="2:24" x14ac:dyDescent="0.3">
      <c r="D5" s="8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2"/>
      <c r="V5" s="80"/>
      <c r="W5" s="81"/>
      <c r="X5" s="81"/>
    </row>
    <row r="6" spans="2:24" x14ac:dyDescent="0.3">
      <c r="B6" s="1"/>
      <c r="D6" s="69"/>
      <c r="E6" s="2"/>
      <c r="F6" s="2" t="s">
        <v>72</v>
      </c>
      <c r="G6" s="61" t="s">
        <v>209</v>
      </c>
      <c r="J6" s="61"/>
      <c r="M6" s="61"/>
      <c r="R6" t="s">
        <v>218</v>
      </c>
    </row>
    <row r="7" spans="2:24" x14ac:dyDescent="0.3">
      <c r="B7" s="1"/>
      <c r="D7" s="60" t="s">
        <v>136</v>
      </c>
      <c r="E7" s="21"/>
      <c r="F7" t="s">
        <v>73</v>
      </c>
      <c r="G7" t="s">
        <v>74</v>
      </c>
      <c r="H7" t="s">
        <v>210</v>
      </c>
      <c r="I7" t="s">
        <v>250</v>
      </c>
      <c r="R7" t="s">
        <v>219</v>
      </c>
    </row>
    <row r="8" spans="2:24" x14ac:dyDescent="0.3">
      <c r="B8" s="1"/>
      <c r="D8" s="69"/>
      <c r="E8" s="21"/>
      <c r="I8" t="s">
        <v>208</v>
      </c>
    </row>
    <row r="9" spans="2:24" x14ac:dyDescent="0.3">
      <c r="B9" s="1"/>
      <c r="D9" s="60" t="s">
        <v>208</v>
      </c>
      <c r="E9" s="21" t="s">
        <v>91</v>
      </c>
      <c r="F9" s="2" t="s">
        <v>72</v>
      </c>
      <c r="G9" s="61" t="s">
        <v>209</v>
      </c>
    </row>
    <row r="10" spans="2:24" x14ac:dyDescent="0.3">
      <c r="B10" s="1"/>
      <c r="D10" s="69"/>
      <c r="E10" s="21"/>
      <c r="F10" t="s">
        <v>73</v>
      </c>
      <c r="G10" t="s">
        <v>74</v>
      </c>
      <c r="H10" t="s">
        <v>210</v>
      </c>
      <c r="I10" t="s">
        <v>250</v>
      </c>
    </row>
    <row r="11" spans="2:24" x14ac:dyDescent="0.3">
      <c r="D11" s="72" t="s">
        <v>261</v>
      </c>
      <c r="I11" t="s">
        <v>208</v>
      </c>
    </row>
    <row r="12" spans="2:24" x14ac:dyDescent="0.3">
      <c r="D12" s="72"/>
      <c r="E12" s="21"/>
    </row>
    <row r="13" spans="2:24" x14ac:dyDescent="0.3">
      <c r="D13" s="72" t="s">
        <v>246</v>
      </c>
    </row>
    <row r="14" spans="2:24" x14ac:dyDescent="0.3">
      <c r="D14" s="72"/>
      <c r="E14" s="21"/>
    </row>
    <row r="15" spans="2:24" x14ac:dyDescent="0.3">
      <c r="D15" s="72"/>
    </row>
    <row r="16" spans="2:24" x14ac:dyDescent="0.3">
      <c r="D16" s="69" t="s">
        <v>247</v>
      </c>
      <c r="E16" s="21"/>
    </row>
    <row r="17" spans="4:4" x14ac:dyDescent="0.3">
      <c r="D17" s="72"/>
    </row>
    <row r="18" spans="4:4" x14ac:dyDescent="0.3">
      <c r="D18" s="69"/>
    </row>
    <row r="19" spans="4:4" x14ac:dyDescent="0.3">
      <c r="D19" s="73" t="s">
        <v>248</v>
      </c>
    </row>
    <row r="20" spans="4:4" x14ac:dyDescent="0.3">
      <c r="D20" s="73" t="s">
        <v>249</v>
      </c>
    </row>
    <row r="21" spans="4:4" x14ac:dyDescent="0.3">
      <c r="D21" s="73"/>
    </row>
    <row r="22" spans="4:4" x14ac:dyDescent="0.3">
      <c r="D22" s="8"/>
    </row>
    <row r="23" spans="4:4" x14ac:dyDescent="0.3">
      <c r="D23" s="8"/>
    </row>
    <row r="24" spans="4:4" x14ac:dyDescent="0.3">
      <c r="D24" s="11"/>
    </row>
    <row r="25" spans="4:4" x14ac:dyDescent="0.3">
      <c r="D25" s="11"/>
    </row>
    <row r="26" spans="4:4" x14ac:dyDescent="0.3">
      <c r="D26" s="11"/>
    </row>
    <row r="27" spans="4:4" x14ac:dyDescent="0.3">
      <c r="D27" s="11"/>
    </row>
    <row r="28" spans="4:4" x14ac:dyDescent="0.3">
      <c r="D28" s="11"/>
    </row>
    <row r="30" spans="4:4" x14ac:dyDescent="0.3">
      <c r="D30" t="s">
        <v>44</v>
      </c>
    </row>
    <row r="32" spans="4:4" ht="16.5" customHeight="1" x14ac:dyDescent="0.3"/>
  </sheetData>
  <mergeCells count="6">
    <mergeCell ref="F4:H4"/>
    <mergeCell ref="J4:K4"/>
    <mergeCell ref="M4:N4"/>
    <mergeCell ref="P4:Q4"/>
    <mergeCell ref="H5:S5"/>
    <mergeCell ref="V5:X5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ADDF-AC5F-41C9-BE18-5C3F0A32D4A9}">
  <dimension ref="B1:X32"/>
  <sheetViews>
    <sheetView showGridLines="0" topLeftCell="B1" zoomScale="85" zoomScaleNormal="85" workbookViewId="0">
      <selection activeCell="C32" sqref="C32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8.125" customWidth="1"/>
    <col min="7" max="7" width="9.375" customWidth="1"/>
    <col min="8" max="8" width="9.625" customWidth="1"/>
    <col min="9" max="10" width="12" customWidth="1"/>
    <col min="11" max="11" width="9.5" customWidth="1"/>
    <col min="12" max="12" width="9.375" bestFit="1" customWidth="1"/>
    <col min="13" max="13" width="12.375" bestFit="1" customWidth="1"/>
    <col min="14" max="14" width="11.625" customWidth="1"/>
    <col min="15" max="15" width="12.375" bestFit="1" customWidth="1"/>
    <col min="16" max="16" width="9" bestFit="1" customWidth="1"/>
    <col min="17" max="20" width="9" customWidth="1"/>
    <col min="22" max="22" width="5.875" customWidth="1"/>
    <col min="24" max="24" width="10.875" bestFit="1" customWidth="1"/>
  </cols>
  <sheetData>
    <row r="1" spans="2:24" x14ac:dyDescent="0.3">
      <c r="D1" s="8"/>
    </row>
    <row r="2" spans="2:24" x14ac:dyDescent="0.3">
      <c r="D2" s="8"/>
      <c r="N2" s="2"/>
      <c r="P2" s="2"/>
    </row>
    <row r="3" spans="2:24" ht="17.25" thickBot="1" x14ac:dyDescent="0.35">
      <c r="B3" s="21" t="s">
        <v>182</v>
      </c>
      <c r="D3" s="8"/>
    </row>
    <row r="4" spans="2:24" s="2" customFormat="1" ht="17.25" thickBot="1" x14ac:dyDescent="0.35">
      <c r="C4" s="14"/>
      <c r="D4" s="15"/>
      <c r="E4" s="14"/>
      <c r="F4" s="84" t="s">
        <v>1</v>
      </c>
      <c r="G4" s="85"/>
      <c r="H4" s="86"/>
      <c r="I4" s="14"/>
      <c r="J4" s="93" t="s">
        <v>11</v>
      </c>
      <c r="K4" s="94"/>
      <c r="M4" s="89" t="s">
        <v>12</v>
      </c>
      <c r="N4" s="90"/>
      <c r="P4" s="84" t="s">
        <v>13</v>
      </c>
      <c r="Q4" s="86"/>
      <c r="R4" s="14"/>
      <c r="S4" s="17" t="s">
        <v>14</v>
      </c>
      <c r="T4" s="27"/>
      <c r="U4" s="27"/>
      <c r="V4" s="17" t="s">
        <v>143</v>
      </c>
      <c r="W4" s="14"/>
      <c r="X4" s="14"/>
    </row>
    <row r="5" spans="2:24" x14ac:dyDescent="0.3">
      <c r="D5" s="8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2"/>
      <c r="V5" s="80"/>
      <c r="W5" s="81"/>
      <c r="X5" s="81"/>
    </row>
    <row r="6" spans="2:24" x14ac:dyDescent="0.3">
      <c r="B6" s="1"/>
      <c r="D6" s="69"/>
      <c r="E6" s="2"/>
      <c r="F6" s="2" t="s">
        <v>72</v>
      </c>
      <c r="G6" s="61" t="s">
        <v>209</v>
      </c>
      <c r="J6" s="61"/>
      <c r="M6" s="61"/>
      <c r="R6" t="s">
        <v>218</v>
      </c>
    </row>
    <row r="7" spans="2:24" x14ac:dyDescent="0.3">
      <c r="B7" s="1"/>
      <c r="D7" s="60" t="s">
        <v>136</v>
      </c>
      <c r="E7" s="21"/>
      <c r="F7" t="s">
        <v>73</v>
      </c>
      <c r="G7" t="s">
        <v>74</v>
      </c>
      <c r="H7" t="s">
        <v>210</v>
      </c>
      <c r="I7" t="s">
        <v>250</v>
      </c>
      <c r="R7" t="s">
        <v>219</v>
      </c>
    </row>
    <row r="8" spans="2:24" x14ac:dyDescent="0.3">
      <c r="B8" s="1"/>
      <c r="D8" s="20" t="s">
        <v>90</v>
      </c>
      <c r="E8" s="21"/>
      <c r="I8" t="s">
        <v>208</v>
      </c>
    </row>
    <row r="9" spans="2:24" x14ac:dyDescent="0.3">
      <c r="B9" s="1"/>
      <c r="D9" s="72" t="s">
        <v>208</v>
      </c>
      <c r="E9" s="21"/>
      <c r="F9" s="2" t="s">
        <v>72</v>
      </c>
      <c r="G9" s="61" t="s">
        <v>209</v>
      </c>
    </row>
    <row r="10" spans="2:24" x14ac:dyDescent="0.3">
      <c r="B10" s="1"/>
      <c r="D10" s="20" t="s">
        <v>90</v>
      </c>
      <c r="E10" s="21"/>
      <c r="F10" t="s">
        <v>73</v>
      </c>
      <c r="G10" t="s">
        <v>74</v>
      </c>
      <c r="H10" t="s">
        <v>210</v>
      </c>
      <c r="I10" t="s">
        <v>250</v>
      </c>
    </row>
    <row r="11" spans="2:24" x14ac:dyDescent="0.3">
      <c r="D11" s="72" t="s">
        <v>261</v>
      </c>
      <c r="E11" s="21" t="s">
        <v>91</v>
      </c>
      <c r="I11" t="s">
        <v>208</v>
      </c>
    </row>
    <row r="12" spans="2:24" x14ac:dyDescent="0.3">
      <c r="D12" s="72"/>
      <c r="E12" s="21"/>
    </row>
    <row r="13" spans="2:24" x14ac:dyDescent="0.3">
      <c r="D13" s="72" t="s">
        <v>246</v>
      </c>
    </row>
    <row r="14" spans="2:24" x14ac:dyDescent="0.3">
      <c r="D14" s="72"/>
      <c r="E14" s="21"/>
    </row>
    <row r="15" spans="2:24" x14ac:dyDescent="0.3">
      <c r="D15" s="72"/>
    </row>
    <row r="16" spans="2:24" x14ac:dyDescent="0.3">
      <c r="D16" s="69" t="s">
        <v>247</v>
      </c>
      <c r="E16" s="21"/>
    </row>
    <row r="17" spans="4:4" x14ac:dyDescent="0.3">
      <c r="D17" s="72"/>
    </row>
    <row r="18" spans="4:4" x14ac:dyDescent="0.3">
      <c r="D18" s="69"/>
    </row>
    <row r="19" spans="4:4" x14ac:dyDescent="0.3">
      <c r="D19" s="73" t="s">
        <v>248</v>
      </c>
    </row>
    <row r="20" spans="4:4" x14ac:dyDescent="0.3">
      <c r="D20" s="73" t="s">
        <v>249</v>
      </c>
    </row>
    <row r="21" spans="4:4" x14ac:dyDescent="0.3">
      <c r="D21" s="73"/>
    </row>
    <row r="22" spans="4:4" x14ac:dyDescent="0.3">
      <c r="D22" s="8"/>
    </row>
    <row r="23" spans="4:4" x14ac:dyDescent="0.3">
      <c r="D23" s="8"/>
    </row>
    <row r="24" spans="4:4" x14ac:dyDescent="0.3">
      <c r="D24" s="11"/>
    </row>
    <row r="25" spans="4:4" x14ac:dyDescent="0.3">
      <c r="D25" s="11"/>
    </row>
    <row r="26" spans="4:4" x14ac:dyDescent="0.3">
      <c r="D26" s="11"/>
    </row>
    <row r="27" spans="4:4" x14ac:dyDescent="0.3">
      <c r="D27" s="11"/>
    </row>
    <row r="28" spans="4:4" x14ac:dyDescent="0.3">
      <c r="D28" s="11"/>
    </row>
    <row r="30" spans="4:4" x14ac:dyDescent="0.3">
      <c r="D30" t="s">
        <v>44</v>
      </c>
    </row>
    <row r="32" spans="4:4" ht="16.5" customHeight="1" x14ac:dyDescent="0.3"/>
  </sheetData>
  <mergeCells count="6">
    <mergeCell ref="F4:H4"/>
    <mergeCell ref="J4:K4"/>
    <mergeCell ref="M4:N4"/>
    <mergeCell ref="P4:Q4"/>
    <mergeCell ref="H5:S5"/>
    <mergeCell ref="V5:X5"/>
  </mergeCells>
  <phoneticPr fontId="1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423C-3C11-4927-BDB9-CE631DF5F0A7}">
  <dimension ref="B1:X32"/>
  <sheetViews>
    <sheetView showGridLines="0" workbookViewId="0">
      <selection activeCell="H16" sqref="H16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8.125" customWidth="1"/>
    <col min="7" max="7" width="9.375" customWidth="1"/>
    <col min="8" max="8" width="9.625" customWidth="1"/>
    <col min="9" max="10" width="12" customWidth="1"/>
    <col min="11" max="11" width="9.5" customWidth="1"/>
    <col min="12" max="12" width="9.375" bestFit="1" customWidth="1"/>
    <col min="13" max="13" width="12.375" bestFit="1" customWidth="1"/>
    <col min="14" max="14" width="11.625" customWidth="1"/>
    <col min="15" max="15" width="12.375" bestFit="1" customWidth="1"/>
    <col min="16" max="16" width="9" bestFit="1" customWidth="1"/>
    <col min="17" max="20" width="9" customWidth="1"/>
    <col min="22" max="22" width="5.875" customWidth="1"/>
    <col min="24" max="24" width="10.875" bestFit="1" customWidth="1"/>
  </cols>
  <sheetData>
    <row r="1" spans="2:24" x14ac:dyDescent="0.3">
      <c r="D1" s="8"/>
    </row>
    <row r="2" spans="2:24" x14ac:dyDescent="0.3">
      <c r="D2" s="8"/>
      <c r="N2" s="2"/>
      <c r="P2" s="2"/>
    </row>
    <row r="3" spans="2:24" ht="17.25" thickBot="1" x14ac:dyDescent="0.35">
      <c r="B3" s="21" t="s">
        <v>182</v>
      </c>
      <c r="D3" s="8"/>
    </row>
    <row r="4" spans="2:24" s="2" customFormat="1" ht="17.25" thickBot="1" x14ac:dyDescent="0.35">
      <c r="C4" s="14"/>
      <c r="D4" s="15"/>
      <c r="E4" s="14"/>
      <c r="F4" s="84" t="s">
        <v>1</v>
      </c>
      <c r="G4" s="85"/>
      <c r="H4" s="86"/>
      <c r="I4" s="14"/>
      <c r="J4" s="93" t="s">
        <v>11</v>
      </c>
      <c r="K4" s="94"/>
      <c r="M4" s="89" t="s">
        <v>12</v>
      </c>
      <c r="N4" s="90"/>
      <c r="P4" s="84" t="s">
        <v>13</v>
      </c>
      <c r="Q4" s="86"/>
      <c r="R4" s="14"/>
      <c r="S4" s="17" t="s">
        <v>14</v>
      </c>
      <c r="T4" s="27"/>
      <c r="U4" s="27"/>
      <c r="V4" s="17" t="s">
        <v>143</v>
      </c>
      <c r="W4" s="14"/>
      <c r="X4" s="14"/>
    </row>
    <row r="5" spans="2:24" x14ac:dyDescent="0.3">
      <c r="D5" s="8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2"/>
      <c r="V5" s="80"/>
      <c r="W5" s="81"/>
      <c r="X5" s="81"/>
    </row>
    <row r="6" spans="2:24" x14ac:dyDescent="0.3">
      <c r="B6" s="1"/>
      <c r="D6" s="69"/>
      <c r="E6" s="2"/>
      <c r="F6" s="2" t="s">
        <v>72</v>
      </c>
      <c r="G6" s="61" t="s">
        <v>209</v>
      </c>
      <c r="J6" s="61"/>
      <c r="M6" s="61"/>
      <c r="R6" t="s">
        <v>218</v>
      </c>
    </row>
    <row r="7" spans="2:24" x14ac:dyDescent="0.3">
      <c r="B7" s="1"/>
      <c r="D7" s="60" t="s">
        <v>136</v>
      </c>
      <c r="E7" s="21"/>
      <c r="F7" t="s">
        <v>73</v>
      </c>
      <c r="G7" t="s">
        <v>74</v>
      </c>
      <c r="H7" t="s">
        <v>210</v>
      </c>
      <c r="I7" t="s">
        <v>250</v>
      </c>
      <c r="R7" t="s">
        <v>219</v>
      </c>
    </row>
    <row r="8" spans="2:24" x14ac:dyDescent="0.3">
      <c r="B8" s="1"/>
      <c r="D8" s="20" t="s">
        <v>90</v>
      </c>
      <c r="E8" s="21"/>
      <c r="I8" t="s">
        <v>208</v>
      </c>
    </row>
    <row r="9" spans="2:24" x14ac:dyDescent="0.3">
      <c r="B9" s="1"/>
      <c r="D9" s="72" t="s">
        <v>208</v>
      </c>
      <c r="E9" s="21"/>
      <c r="F9" s="2" t="s">
        <v>72</v>
      </c>
      <c r="G9" s="61" t="s">
        <v>209</v>
      </c>
    </row>
    <row r="10" spans="2:24" x14ac:dyDescent="0.3">
      <c r="B10" s="1"/>
      <c r="D10" s="20" t="s">
        <v>90</v>
      </c>
      <c r="E10" s="21"/>
      <c r="F10" t="s">
        <v>73</v>
      </c>
      <c r="G10" t="s">
        <v>74</v>
      </c>
      <c r="H10" t="s">
        <v>210</v>
      </c>
      <c r="I10" t="s">
        <v>250</v>
      </c>
    </row>
    <row r="11" spans="2:24" x14ac:dyDescent="0.3">
      <c r="D11" s="72" t="s">
        <v>261</v>
      </c>
      <c r="E11" s="21" t="s">
        <v>91</v>
      </c>
      <c r="I11" t="s">
        <v>208</v>
      </c>
    </row>
    <row r="12" spans="2:24" x14ac:dyDescent="0.3">
      <c r="D12" s="72"/>
      <c r="E12" s="21"/>
    </row>
    <row r="13" spans="2:24" x14ac:dyDescent="0.3">
      <c r="D13" s="72" t="s">
        <v>246</v>
      </c>
    </row>
    <row r="14" spans="2:24" x14ac:dyDescent="0.3">
      <c r="D14" s="72"/>
      <c r="E14" s="21"/>
    </row>
    <row r="15" spans="2:24" x14ac:dyDescent="0.3">
      <c r="D15" s="72"/>
    </row>
    <row r="16" spans="2:24" x14ac:dyDescent="0.3">
      <c r="D16" s="69" t="s">
        <v>247</v>
      </c>
      <c r="E16" s="21"/>
    </row>
    <row r="17" spans="4:4" x14ac:dyDescent="0.3">
      <c r="D17" s="72"/>
    </row>
    <row r="18" spans="4:4" x14ac:dyDescent="0.3">
      <c r="D18" s="69"/>
    </row>
    <row r="19" spans="4:4" x14ac:dyDescent="0.3">
      <c r="D19" s="73" t="s">
        <v>248</v>
      </c>
    </row>
    <row r="20" spans="4:4" x14ac:dyDescent="0.3">
      <c r="D20" s="73" t="s">
        <v>249</v>
      </c>
    </row>
    <row r="21" spans="4:4" x14ac:dyDescent="0.3">
      <c r="D21" s="73"/>
    </row>
    <row r="22" spans="4:4" x14ac:dyDescent="0.3">
      <c r="D22" s="8"/>
    </row>
    <row r="23" spans="4:4" x14ac:dyDescent="0.3">
      <c r="D23" s="8"/>
    </row>
    <row r="24" spans="4:4" x14ac:dyDescent="0.3">
      <c r="D24" s="11"/>
    </row>
    <row r="25" spans="4:4" x14ac:dyDescent="0.3">
      <c r="D25" s="11"/>
    </row>
    <row r="26" spans="4:4" x14ac:dyDescent="0.3">
      <c r="D26" s="11"/>
    </row>
    <row r="27" spans="4:4" x14ac:dyDescent="0.3">
      <c r="D27" s="11"/>
    </row>
    <row r="28" spans="4:4" x14ac:dyDescent="0.3">
      <c r="D28" s="11"/>
    </row>
    <row r="30" spans="4:4" x14ac:dyDescent="0.3">
      <c r="D30" t="s">
        <v>44</v>
      </c>
    </row>
    <row r="32" spans="4:4" ht="16.5" customHeight="1" x14ac:dyDescent="0.3"/>
  </sheetData>
  <mergeCells count="6">
    <mergeCell ref="F4:H4"/>
    <mergeCell ref="J4:K4"/>
    <mergeCell ref="M4:N4"/>
    <mergeCell ref="P4:Q4"/>
    <mergeCell ref="H5:S5"/>
    <mergeCell ref="V5:X5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B80B-9F75-4C8F-B95E-079EF4F91188}">
  <dimension ref="B1:X32"/>
  <sheetViews>
    <sheetView showGridLines="0" topLeftCell="A19" zoomScale="70" zoomScaleNormal="70" workbookViewId="0">
      <selection activeCell="N28" sqref="N28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8.125" customWidth="1"/>
    <col min="7" max="7" width="9.375" customWidth="1"/>
    <col min="8" max="8" width="9.625" customWidth="1"/>
    <col min="9" max="10" width="12" customWidth="1"/>
    <col min="11" max="11" width="9.5" customWidth="1"/>
    <col min="12" max="12" width="9.375" bestFit="1" customWidth="1"/>
    <col min="13" max="13" width="12.375" bestFit="1" customWidth="1"/>
    <col min="14" max="14" width="11.625" customWidth="1"/>
    <col min="15" max="15" width="12.375" bestFit="1" customWidth="1"/>
    <col min="16" max="16" width="9" bestFit="1" customWidth="1"/>
    <col min="17" max="20" width="9" customWidth="1"/>
    <col min="22" max="22" width="5.875" customWidth="1"/>
    <col min="24" max="24" width="10.875" bestFit="1" customWidth="1"/>
  </cols>
  <sheetData>
    <row r="1" spans="2:24" x14ac:dyDescent="0.3">
      <c r="D1" s="8"/>
    </row>
    <row r="2" spans="2:24" x14ac:dyDescent="0.3">
      <c r="D2" s="8"/>
      <c r="N2" s="2"/>
      <c r="P2" s="2"/>
    </row>
    <row r="3" spans="2:24" ht="17.25" thickBot="1" x14ac:dyDescent="0.35">
      <c r="B3" s="21" t="s">
        <v>182</v>
      </c>
      <c r="D3" s="8"/>
    </row>
    <row r="4" spans="2:24" s="2" customFormat="1" ht="17.25" thickBot="1" x14ac:dyDescent="0.35">
      <c r="C4" s="14"/>
      <c r="D4" s="15"/>
      <c r="E4" s="14"/>
      <c r="F4" s="84" t="s">
        <v>1</v>
      </c>
      <c r="G4" s="85"/>
      <c r="H4" s="86"/>
      <c r="I4" s="14"/>
      <c r="J4" s="93" t="s">
        <v>11</v>
      </c>
      <c r="K4" s="94"/>
      <c r="M4" s="89" t="s">
        <v>12</v>
      </c>
      <c r="N4" s="90"/>
      <c r="P4" s="84" t="s">
        <v>13</v>
      </c>
      <c r="Q4" s="86"/>
      <c r="R4" s="14"/>
      <c r="S4" s="17" t="s">
        <v>14</v>
      </c>
      <c r="T4" s="27"/>
      <c r="U4" s="27"/>
      <c r="V4" s="17" t="s">
        <v>143</v>
      </c>
      <c r="W4" s="14"/>
      <c r="X4" s="14"/>
    </row>
    <row r="5" spans="2:24" x14ac:dyDescent="0.3">
      <c r="D5" s="8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2"/>
      <c r="V5" s="80"/>
      <c r="W5" s="81"/>
      <c r="X5" s="81"/>
    </row>
    <row r="6" spans="2:24" x14ac:dyDescent="0.3">
      <c r="B6" s="1"/>
      <c r="D6" s="69"/>
      <c r="E6" s="2"/>
      <c r="F6" s="2" t="s">
        <v>72</v>
      </c>
      <c r="G6" s="61" t="s">
        <v>209</v>
      </c>
      <c r="J6" s="61"/>
      <c r="M6" s="61"/>
      <c r="R6" t="s">
        <v>218</v>
      </c>
    </row>
    <row r="7" spans="2:24" x14ac:dyDescent="0.3">
      <c r="B7" s="1"/>
      <c r="D7" s="72" t="s">
        <v>136</v>
      </c>
      <c r="E7" s="21"/>
      <c r="F7" t="s">
        <v>73</v>
      </c>
      <c r="G7" t="s">
        <v>74</v>
      </c>
      <c r="H7" t="s">
        <v>210</v>
      </c>
      <c r="I7" t="s">
        <v>262</v>
      </c>
      <c r="J7" t="s">
        <v>250</v>
      </c>
      <c r="R7" t="s">
        <v>219</v>
      </c>
    </row>
    <row r="8" spans="2:24" x14ac:dyDescent="0.3">
      <c r="B8" s="1"/>
      <c r="D8" s="69"/>
      <c r="E8" s="21"/>
      <c r="I8" t="s">
        <v>263</v>
      </c>
      <c r="J8" t="s">
        <v>208</v>
      </c>
    </row>
    <row r="9" spans="2:24" x14ac:dyDescent="0.3">
      <c r="B9" s="1"/>
      <c r="D9" s="72"/>
      <c r="E9" s="21"/>
      <c r="F9" s="2" t="s">
        <v>72</v>
      </c>
      <c r="G9" s="61" t="s">
        <v>209</v>
      </c>
    </row>
    <row r="10" spans="2:24" x14ac:dyDescent="0.3">
      <c r="B10" s="1"/>
      <c r="D10" s="69"/>
      <c r="E10" s="21"/>
      <c r="F10" t="s">
        <v>73</v>
      </c>
      <c r="G10" t="s">
        <v>74</v>
      </c>
      <c r="H10" t="s">
        <v>210</v>
      </c>
      <c r="I10" t="s">
        <v>262</v>
      </c>
      <c r="J10" t="s">
        <v>250</v>
      </c>
    </row>
    <row r="11" spans="2:24" x14ac:dyDescent="0.3">
      <c r="D11" s="72"/>
      <c r="E11" s="21"/>
      <c r="I11" t="s">
        <v>263</v>
      </c>
      <c r="J11" t="s">
        <v>208</v>
      </c>
    </row>
    <row r="12" spans="2:24" x14ac:dyDescent="0.3">
      <c r="D12" s="72"/>
      <c r="E12" s="21"/>
    </row>
    <row r="13" spans="2:24" x14ac:dyDescent="0.3">
      <c r="D13" s="60" t="s">
        <v>246</v>
      </c>
      <c r="E13" s="21" t="s">
        <v>91</v>
      </c>
    </row>
    <row r="14" spans="2:24" x14ac:dyDescent="0.3">
      <c r="D14" s="72"/>
      <c r="E14" s="21"/>
    </row>
    <row r="15" spans="2:24" x14ac:dyDescent="0.3">
      <c r="D15" s="72"/>
    </row>
    <row r="16" spans="2:24" x14ac:dyDescent="0.3">
      <c r="D16" s="69" t="s">
        <v>247</v>
      </c>
      <c r="E16" s="21"/>
    </row>
    <row r="17" spans="4:4" x14ac:dyDescent="0.3">
      <c r="D17" s="72"/>
    </row>
    <row r="18" spans="4:4" x14ac:dyDescent="0.3">
      <c r="D18" s="69"/>
    </row>
    <row r="19" spans="4:4" x14ac:dyDescent="0.3">
      <c r="D19" s="73" t="s">
        <v>248</v>
      </c>
    </row>
    <row r="20" spans="4:4" x14ac:dyDescent="0.3">
      <c r="D20" s="73" t="s">
        <v>249</v>
      </c>
    </row>
    <row r="21" spans="4:4" x14ac:dyDescent="0.3">
      <c r="D21" s="73"/>
    </row>
    <row r="22" spans="4:4" x14ac:dyDescent="0.3">
      <c r="D22" s="8"/>
    </row>
    <row r="23" spans="4:4" x14ac:dyDescent="0.3">
      <c r="D23" s="8"/>
    </row>
    <row r="24" spans="4:4" x14ac:dyDescent="0.3">
      <c r="D24" s="11"/>
    </row>
    <row r="25" spans="4:4" x14ac:dyDescent="0.3">
      <c r="D25" s="11"/>
    </row>
    <row r="26" spans="4:4" x14ac:dyDescent="0.3">
      <c r="D26" s="11"/>
    </row>
    <row r="27" spans="4:4" x14ac:dyDescent="0.3">
      <c r="D27" s="11"/>
    </row>
    <row r="28" spans="4:4" x14ac:dyDescent="0.3">
      <c r="D28" s="11"/>
    </row>
    <row r="30" spans="4:4" x14ac:dyDescent="0.3">
      <c r="D30" t="s">
        <v>44</v>
      </c>
    </row>
    <row r="32" spans="4:4" ht="16.5" customHeight="1" x14ac:dyDescent="0.3"/>
  </sheetData>
  <mergeCells count="6">
    <mergeCell ref="F4:H4"/>
    <mergeCell ref="J4:K4"/>
    <mergeCell ref="M4:N4"/>
    <mergeCell ref="P4:Q4"/>
    <mergeCell ref="H5:S5"/>
    <mergeCell ref="V5:X5"/>
  </mergeCells>
  <phoneticPr fontId="1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3FD8-E5F4-443D-B0E3-9A0883D56DD5}">
  <dimension ref="B1:X32"/>
  <sheetViews>
    <sheetView showGridLines="0" zoomScale="55" zoomScaleNormal="55" workbookViewId="0">
      <selection activeCell="C34" sqref="C34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8.125" customWidth="1"/>
    <col min="7" max="7" width="9.375" customWidth="1"/>
    <col min="8" max="8" width="9.625" customWidth="1"/>
    <col min="9" max="10" width="12" customWidth="1"/>
    <col min="11" max="11" width="9.5" customWidth="1"/>
    <col min="12" max="12" width="9.375" bestFit="1" customWidth="1"/>
    <col min="13" max="13" width="12.375" bestFit="1" customWidth="1"/>
    <col min="14" max="14" width="11.625" customWidth="1"/>
    <col min="15" max="15" width="12.375" bestFit="1" customWidth="1"/>
    <col min="16" max="16" width="9" bestFit="1" customWidth="1"/>
    <col min="17" max="20" width="9" customWidth="1"/>
    <col min="22" max="22" width="5.875" customWidth="1"/>
    <col min="24" max="24" width="10.875" bestFit="1" customWidth="1"/>
  </cols>
  <sheetData>
    <row r="1" spans="2:24" x14ac:dyDescent="0.3">
      <c r="D1" s="8"/>
    </row>
    <row r="2" spans="2:24" x14ac:dyDescent="0.3">
      <c r="D2" s="8"/>
      <c r="N2" s="2"/>
      <c r="P2" s="2"/>
    </row>
    <row r="3" spans="2:24" ht="17.25" thickBot="1" x14ac:dyDescent="0.35">
      <c r="B3" s="21" t="s">
        <v>182</v>
      </c>
      <c r="D3" s="8"/>
    </row>
    <row r="4" spans="2:24" s="2" customFormat="1" ht="17.25" thickBot="1" x14ac:dyDescent="0.35">
      <c r="C4" s="14"/>
      <c r="D4" s="15"/>
      <c r="E4" s="14"/>
      <c r="F4" s="84" t="s">
        <v>1</v>
      </c>
      <c r="G4" s="85"/>
      <c r="H4" s="86"/>
      <c r="I4" s="14"/>
      <c r="J4" s="93" t="s">
        <v>11</v>
      </c>
      <c r="K4" s="94"/>
      <c r="M4" s="89" t="s">
        <v>12</v>
      </c>
      <c r="N4" s="90"/>
      <c r="P4" s="84" t="s">
        <v>13</v>
      </c>
      <c r="Q4" s="86"/>
      <c r="R4" s="14"/>
      <c r="S4" s="17" t="s">
        <v>14</v>
      </c>
      <c r="T4" s="27"/>
      <c r="U4" s="27"/>
      <c r="V4" s="17" t="s">
        <v>143</v>
      </c>
      <c r="W4" s="14"/>
      <c r="X4" s="14"/>
    </row>
    <row r="5" spans="2:24" x14ac:dyDescent="0.3">
      <c r="D5" s="8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2"/>
      <c r="V5" s="80"/>
      <c r="W5" s="81"/>
      <c r="X5" s="81"/>
    </row>
    <row r="6" spans="2:24" x14ac:dyDescent="0.3">
      <c r="B6" s="1"/>
      <c r="D6" s="69"/>
      <c r="E6" s="2"/>
      <c r="F6" s="2" t="s">
        <v>72</v>
      </c>
      <c r="G6" s="61" t="s">
        <v>209</v>
      </c>
      <c r="J6" s="61"/>
      <c r="M6" s="61"/>
      <c r="R6" t="s">
        <v>218</v>
      </c>
    </row>
    <row r="7" spans="2:24" x14ac:dyDescent="0.3">
      <c r="B7" s="1"/>
      <c r="D7" s="72" t="s">
        <v>136</v>
      </c>
      <c r="E7" s="21"/>
      <c r="F7" t="s">
        <v>73</v>
      </c>
      <c r="G7" t="s">
        <v>74</v>
      </c>
      <c r="H7" t="s">
        <v>210</v>
      </c>
      <c r="I7" t="s">
        <v>262</v>
      </c>
      <c r="J7" t="s">
        <v>250</v>
      </c>
      <c r="R7" t="s">
        <v>219</v>
      </c>
    </row>
    <row r="8" spans="2:24" x14ac:dyDescent="0.3">
      <c r="B8" s="1"/>
      <c r="D8" s="69"/>
      <c r="E8" s="21"/>
      <c r="I8" t="s">
        <v>263</v>
      </c>
      <c r="J8" t="s">
        <v>208</v>
      </c>
    </row>
    <row r="9" spans="2:24" x14ac:dyDescent="0.3">
      <c r="B9" s="1"/>
      <c r="D9" s="72"/>
      <c r="E9" s="21"/>
      <c r="F9" s="2" t="s">
        <v>72</v>
      </c>
      <c r="G9" s="61" t="s">
        <v>209</v>
      </c>
    </row>
    <row r="10" spans="2:24" x14ac:dyDescent="0.3">
      <c r="B10" s="1"/>
      <c r="D10" s="69"/>
      <c r="E10" s="21"/>
      <c r="F10" t="s">
        <v>73</v>
      </c>
      <c r="G10" t="s">
        <v>74</v>
      </c>
      <c r="H10" t="s">
        <v>210</v>
      </c>
      <c r="I10" t="s">
        <v>262</v>
      </c>
      <c r="J10" t="s">
        <v>250</v>
      </c>
    </row>
    <row r="11" spans="2:24" x14ac:dyDescent="0.3">
      <c r="D11" s="72"/>
      <c r="E11" s="21"/>
      <c r="I11" t="s">
        <v>263</v>
      </c>
      <c r="J11" t="s">
        <v>208</v>
      </c>
    </row>
    <row r="12" spans="2:24" x14ac:dyDescent="0.3">
      <c r="D12" s="72"/>
      <c r="E12" s="21"/>
    </row>
    <row r="13" spans="2:24" x14ac:dyDescent="0.3">
      <c r="D13" s="72" t="s">
        <v>246</v>
      </c>
      <c r="E13" s="21"/>
    </row>
    <row r="14" spans="2:24" x14ac:dyDescent="0.3">
      <c r="D14" s="72"/>
      <c r="E14" s="21"/>
    </row>
    <row r="15" spans="2:24" x14ac:dyDescent="0.3">
      <c r="D15" s="72"/>
    </row>
    <row r="16" spans="2:24" x14ac:dyDescent="0.3">
      <c r="D16" s="10" t="s">
        <v>247</v>
      </c>
      <c r="E16" s="21" t="s">
        <v>91</v>
      </c>
    </row>
    <row r="17" spans="4:4" x14ac:dyDescent="0.3">
      <c r="D17" s="72"/>
    </row>
    <row r="18" spans="4:4" x14ac:dyDescent="0.3">
      <c r="D18" s="69"/>
    </row>
    <row r="19" spans="4:4" x14ac:dyDescent="0.3">
      <c r="D19" s="73" t="s">
        <v>248</v>
      </c>
    </row>
    <row r="20" spans="4:4" x14ac:dyDescent="0.3">
      <c r="D20" s="73" t="s">
        <v>249</v>
      </c>
    </row>
    <row r="21" spans="4:4" x14ac:dyDescent="0.3">
      <c r="D21" s="73"/>
    </row>
    <row r="22" spans="4:4" x14ac:dyDescent="0.3">
      <c r="D22" s="8"/>
    </row>
    <row r="23" spans="4:4" x14ac:dyDescent="0.3">
      <c r="D23" s="8"/>
    </row>
    <row r="24" spans="4:4" x14ac:dyDescent="0.3">
      <c r="D24" s="11"/>
    </row>
    <row r="25" spans="4:4" x14ac:dyDescent="0.3">
      <c r="D25" s="11"/>
    </row>
    <row r="26" spans="4:4" x14ac:dyDescent="0.3">
      <c r="D26" s="11"/>
    </row>
    <row r="27" spans="4:4" x14ac:dyDescent="0.3">
      <c r="D27" s="11"/>
    </row>
    <row r="28" spans="4:4" x14ac:dyDescent="0.3">
      <c r="D28" s="11"/>
    </row>
    <row r="30" spans="4:4" x14ac:dyDescent="0.3">
      <c r="D30" t="s">
        <v>44</v>
      </c>
    </row>
    <row r="32" spans="4:4" ht="16.5" customHeight="1" x14ac:dyDescent="0.3"/>
  </sheetData>
  <mergeCells count="6">
    <mergeCell ref="F4:H4"/>
    <mergeCell ref="J4:K4"/>
    <mergeCell ref="M4:N4"/>
    <mergeCell ref="P4:Q4"/>
    <mergeCell ref="H5:S5"/>
    <mergeCell ref="V5:X5"/>
  </mergeCells>
  <phoneticPr fontId="1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7AAB2-E5E7-4D30-BBDD-84EA84B2D0AE}">
  <dimension ref="B1:X32"/>
  <sheetViews>
    <sheetView showGridLines="0" topLeftCell="A10" zoomScale="70" zoomScaleNormal="70" workbookViewId="0">
      <selection activeCell="C33" sqref="C33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8.125" customWidth="1"/>
    <col min="7" max="7" width="9.375" customWidth="1"/>
    <col min="8" max="8" width="9.625" customWidth="1"/>
    <col min="9" max="10" width="12" customWidth="1"/>
    <col min="11" max="11" width="9.5" customWidth="1"/>
    <col min="12" max="12" width="9.375" bestFit="1" customWidth="1"/>
    <col min="13" max="13" width="12.375" bestFit="1" customWidth="1"/>
    <col min="14" max="14" width="11.625" customWidth="1"/>
    <col min="15" max="15" width="12.375" bestFit="1" customWidth="1"/>
    <col min="16" max="16" width="9" bestFit="1" customWidth="1"/>
    <col min="17" max="20" width="9" customWidth="1"/>
    <col min="22" max="22" width="5.875" customWidth="1"/>
    <col min="24" max="24" width="10.875" bestFit="1" customWidth="1"/>
  </cols>
  <sheetData>
    <row r="1" spans="2:24" x14ac:dyDescent="0.3">
      <c r="D1" s="8"/>
    </row>
    <row r="2" spans="2:24" x14ac:dyDescent="0.3">
      <c r="D2" s="8"/>
      <c r="N2" s="2"/>
      <c r="P2" s="2"/>
    </row>
    <row r="3" spans="2:24" ht="17.25" thickBot="1" x14ac:dyDescent="0.35">
      <c r="B3" s="21" t="s">
        <v>182</v>
      </c>
      <c r="D3" s="8"/>
    </row>
    <row r="4" spans="2:24" s="2" customFormat="1" ht="17.25" thickBot="1" x14ac:dyDescent="0.35">
      <c r="C4" s="14"/>
      <c r="D4" s="15"/>
      <c r="E4" s="14"/>
      <c r="F4" s="84" t="s">
        <v>1</v>
      </c>
      <c r="G4" s="85"/>
      <c r="H4" s="86"/>
      <c r="I4" s="14"/>
      <c r="J4" s="93" t="s">
        <v>11</v>
      </c>
      <c r="K4" s="94"/>
      <c r="M4" s="89" t="s">
        <v>12</v>
      </c>
      <c r="N4" s="90"/>
      <c r="P4" s="84" t="s">
        <v>13</v>
      </c>
      <c r="Q4" s="86"/>
      <c r="R4" s="14"/>
      <c r="S4" s="17" t="s">
        <v>14</v>
      </c>
      <c r="T4" s="27"/>
      <c r="U4" s="27"/>
      <c r="V4" s="17" t="s">
        <v>143</v>
      </c>
      <c r="W4" s="14"/>
      <c r="X4" s="14"/>
    </row>
    <row r="5" spans="2:24" x14ac:dyDescent="0.3">
      <c r="D5" s="8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2"/>
      <c r="V5" s="80"/>
      <c r="W5" s="81"/>
      <c r="X5" s="81"/>
    </row>
    <row r="6" spans="2:24" x14ac:dyDescent="0.3">
      <c r="B6" s="1"/>
      <c r="D6" s="69"/>
      <c r="E6" s="2"/>
      <c r="F6" s="2" t="s">
        <v>72</v>
      </c>
      <c r="G6" s="61" t="s">
        <v>209</v>
      </c>
      <c r="J6" s="61"/>
      <c r="M6" s="61"/>
      <c r="R6" t="s">
        <v>218</v>
      </c>
    </row>
    <row r="7" spans="2:24" x14ac:dyDescent="0.3">
      <c r="B7" s="1"/>
      <c r="D7" s="72" t="s">
        <v>136</v>
      </c>
      <c r="E7" s="21"/>
      <c r="F7" t="s">
        <v>73</v>
      </c>
      <c r="G7" t="s">
        <v>74</v>
      </c>
      <c r="H7" t="s">
        <v>210</v>
      </c>
      <c r="I7" t="s">
        <v>262</v>
      </c>
      <c r="J7" t="s">
        <v>250</v>
      </c>
      <c r="R7" t="s">
        <v>219</v>
      </c>
    </row>
    <row r="8" spans="2:24" x14ac:dyDescent="0.3">
      <c r="B8" s="1"/>
      <c r="D8" s="69"/>
      <c r="E8" s="21"/>
      <c r="I8" t="s">
        <v>263</v>
      </c>
      <c r="J8" t="s">
        <v>208</v>
      </c>
    </row>
    <row r="9" spans="2:24" x14ac:dyDescent="0.3">
      <c r="B9" s="1"/>
      <c r="D9" s="72"/>
      <c r="E9" s="21"/>
      <c r="F9" s="2" t="s">
        <v>72</v>
      </c>
      <c r="G9" s="61" t="s">
        <v>209</v>
      </c>
    </row>
    <row r="10" spans="2:24" x14ac:dyDescent="0.3">
      <c r="B10" s="1"/>
      <c r="D10" s="69"/>
      <c r="E10" s="21"/>
      <c r="F10" t="s">
        <v>73</v>
      </c>
      <c r="G10" t="s">
        <v>74</v>
      </c>
      <c r="H10" t="s">
        <v>210</v>
      </c>
      <c r="I10" t="s">
        <v>262</v>
      </c>
      <c r="J10" t="s">
        <v>250</v>
      </c>
    </row>
    <row r="11" spans="2:24" x14ac:dyDescent="0.3">
      <c r="D11" s="72"/>
      <c r="E11" s="21"/>
      <c r="I11" t="s">
        <v>263</v>
      </c>
      <c r="J11" t="s">
        <v>208</v>
      </c>
    </row>
    <row r="12" spans="2:24" x14ac:dyDescent="0.3">
      <c r="D12" s="72"/>
      <c r="E12" s="21"/>
    </row>
    <row r="13" spans="2:24" x14ac:dyDescent="0.3">
      <c r="D13" s="72" t="s">
        <v>246</v>
      </c>
      <c r="E13" s="21"/>
    </row>
    <row r="14" spans="2:24" x14ac:dyDescent="0.3">
      <c r="D14" s="72"/>
      <c r="E14" s="21"/>
    </row>
    <row r="15" spans="2:24" x14ac:dyDescent="0.3">
      <c r="D15" s="72"/>
    </row>
    <row r="16" spans="2:24" x14ac:dyDescent="0.3">
      <c r="D16" s="97" t="s">
        <v>247</v>
      </c>
      <c r="E16" s="21"/>
    </row>
    <row r="17" spans="4:5" x14ac:dyDescent="0.3">
      <c r="D17" s="72"/>
    </row>
    <row r="18" spans="4:5" x14ac:dyDescent="0.3">
      <c r="D18" s="69"/>
    </row>
    <row r="19" spans="4:5" x14ac:dyDescent="0.3">
      <c r="D19" s="64" t="s">
        <v>248</v>
      </c>
      <c r="E19" s="21" t="s">
        <v>91</v>
      </c>
    </row>
    <row r="20" spans="4:5" x14ac:dyDescent="0.3">
      <c r="D20" s="64" t="s">
        <v>249</v>
      </c>
    </row>
    <row r="21" spans="4:5" x14ac:dyDescent="0.3">
      <c r="D21" s="73"/>
    </row>
    <row r="22" spans="4:5" x14ac:dyDescent="0.3">
      <c r="D22" s="8"/>
    </row>
    <row r="23" spans="4:5" x14ac:dyDescent="0.3">
      <c r="D23" s="8"/>
    </row>
    <row r="24" spans="4:5" x14ac:dyDescent="0.3">
      <c r="D24" s="11"/>
    </row>
    <row r="25" spans="4:5" x14ac:dyDescent="0.3">
      <c r="D25" s="11"/>
    </row>
    <row r="26" spans="4:5" x14ac:dyDescent="0.3">
      <c r="D26" s="11"/>
    </row>
    <row r="27" spans="4:5" x14ac:dyDescent="0.3">
      <c r="D27" s="11"/>
    </row>
    <row r="28" spans="4:5" x14ac:dyDescent="0.3">
      <c r="D28" s="11"/>
    </row>
    <row r="30" spans="4:5" x14ac:dyDescent="0.3">
      <c r="D30" t="s">
        <v>44</v>
      </c>
    </row>
    <row r="32" spans="4:5" ht="16.5" customHeight="1" x14ac:dyDescent="0.3"/>
  </sheetData>
  <mergeCells count="6">
    <mergeCell ref="F4:H4"/>
    <mergeCell ref="J4:K4"/>
    <mergeCell ref="M4:N4"/>
    <mergeCell ref="P4:Q4"/>
    <mergeCell ref="H5:S5"/>
    <mergeCell ref="V5:X5"/>
  </mergeCells>
  <phoneticPr fontId="1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E570D-46FA-483B-99B3-11837656CC91}">
  <dimension ref="B1:X32"/>
  <sheetViews>
    <sheetView showGridLines="0" zoomScale="70" zoomScaleNormal="70" workbookViewId="0">
      <selection activeCell="C33" sqref="C33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8.125" customWidth="1"/>
    <col min="7" max="7" width="9.375" customWidth="1"/>
    <col min="8" max="8" width="9.625" customWidth="1"/>
    <col min="9" max="10" width="12" customWidth="1"/>
    <col min="11" max="11" width="9.5" customWidth="1"/>
    <col min="12" max="12" width="9.375" bestFit="1" customWidth="1"/>
    <col min="13" max="13" width="12.375" bestFit="1" customWidth="1"/>
    <col min="14" max="14" width="11.625" customWidth="1"/>
    <col min="15" max="15" width="12.375" bestFit="1" customWidth="1"/>
    <col min="16" max="16" width="9" bestFit="1" customWidth="1"/>
    <col min="17" max="20" width="9" customWidth="1"/>
    <col min="22" max="22" width="5.875" customWidth="1"/>
    <col min="24" max="24" width="10.875" bestFit="1" customWidth="1"/>
  </cols>
  <sheetData>
    <row r="1" spans="2:24" x14ac:dyDescent="0.3">
      <c r="D1" s="8"/>
    </row>
    <row r="2" spans="2:24" x14ac:dyDescent="0.3">
      <c r="D2" s="8"/>
      <c r="N2" s="2"/>
      <c r="P2" s="2"/>
    </row>
    <row r="3" spans="2:24" ht="17.25" thickBot="1" x14ac:dyDescent="0.35">
      <c r="B3" s="21" t="s">
        <v>182</v>
      </c>
      <c r="D3" s="8"/>
    </row>
    <row r="4" spans="2:24" s="2" customFormat="1" ht="17.25" thickBot="1" x14ac:dyDescent="0.35">
      <c r="C4" s="14"/>
      <c r="D4" s="15"/>
      <c r="E4" s="14"/>
      <c r="F4" s="84" t="s">
        <v>1</v>
      </c>
      <c r="G4" s="85"/>
      <c r="H4" s="86"/>
      <c r="I4" s="14"/>
      <c r="J4" s="95" t="s">
        <v>11</v>
      </c>
      <c r="K4" s="96"/>
      <c r="M4" s="84" t="s">
        <v>12</v>
      </c>
      <c r="N4" s="86"/>
      <c r="P4" s="89" t="s">
        <v>13</v>
      </c>
      <c r="Q4" s="90"/>
      <c r="R4" s="14"/>
      <c r="S4" s="17" t="s">
        <v>14</v>
      </c>
      <c r="T4" s="27"/>
      <c r="U4" s="27"/>
      <c r="V4" s="17" t="s">
        <v>143</v>
      </c>
      <c r="W4" s="14"/>
      <c r="X4" s="14"/>
    </row>
    <row r="5" spans="2:24" x14ac:dyDescent="0.3">
      <c r="D5" s="8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2"/>
      <c r="V5" s="80"/>
      <c r="W5" s="81"/>
      <c r="X5" s="81"/>
    </row>
    <row r="6" spans="2:24" x14ac:dyDescent="0.3">
      <c r="B6" s="1"/>
      <c r="D6" s="10" t="s">
        <v>89</v>
      </c>
      <c r="E6" s="21" t="s">
        <v>91</v>
      </c>
      <c r="F6" s="2" t="s">
        <v>72</v>
      </c>
      <c r="G6" s="61" t="s">
        <v>209</v>
      </c>
      <c r="J6" s="61"/>
      <c r="M6" s="61"/>
      <c r="R6" t="s">
        <v>218</v>
      </c>
    </row>
    <row r="7" spans="2:24" x14ac:dyDescent="0.3">
      <c r="B7" s="1"/>
      <c r="D7" s="20"/>
      <c r="F7" t="s">
        <v>73</v>
      </c>
      <c r="G7" t="s">
        <v>74</v>
      </c>
      <c r="H7" t="s">
        <v>228</v>
      </c>
      <c r="I7" t="s">
        <v>210</v>
      </c>
      <c r="R7" t="s">
        <v>219</v>
      </c>
    </row>
    <row r="8" spans="2:24" x14ac:dyDescent="0.3">
      <c r="B8" s="1"/>
      <c r="D8" s="11"/>
      <c r="E8" s="21"/>
    </row>
    <row r="9" spans="2:24" x14ac:dyDescent="0.3">
      <c r="B9" s="1"/>
      <c r="D9" s="20"/>
      <c r="E9" s="21"/>
      <c r="F9" s="66" t="s">
        <v>201</v>
      </c>
      <c r="G9" s="70" t="s">
        <v>228</v>
      </c>
      <c r="H9" s="19" t="s">
        <v>229</v>
      </c>
      <c r="I9" s="19" t="s">
        <v>210</v>
      </c>
      <c r="J9" s="70" t="s">
        <v>230</v>
      </c>
      <c r="K9" s="19" t="s">
        <v>231</v>
      </c>
      <c r="L9" s="19" t="s">
        <v>187</v>
      </c>
      <c r="M9" s="19" t="s">
        <v>245</v>
      </c>
      <c r="N9" s="19" t="s">
        <v>232</v>
      </c>
      <c r="O9" s="19" t="s">
        <v>43</v>
      </c>
    </row>
    <row r="10" spans="2:24" x14ac:dyDescent="0.3">
      <c r="B10" s="1"/>
      <c r="D10" s="11"/>
      <c r="E10" s="21"/>
      <c r="F10" s="19">
        <v>1</v>
      </c>
      <c r="G10" s="19" t="s">
        <v>238</v>
      </c>
      <c r="H10" s="19" t="s">
        <v>239</v>
      </c>
      <c r="I10" s="19" t="s">
        <v>82</v>
      </c>
      <c r="J10" s="19">
        <v>10</v>
      </c>
      <c r="K10" s="19">
        <v>2025</v>
      </c>
      <c r="L10" s="71">
        <v>550000</v>
      </c>
      <c r="M10" s="19" t="s">
        <v>82</v>
      </c>
      <c r="N10" s="19" t="s">
        <v>243</v>
      </c>
      <c r="O10" s="19"/>
    </row>
    <row r="11" spans="2:24" x14ac:dyDescent="0.3">
      <c r="D11" s="20"/>
      <c r="F11" s="19">
        <v>2</v>
      </c>
      <c r="G11" s="19" t="s">
        <v>238</v>
      </c>
      <c r="H11" s="19" t="s">
        <v>240</v>
      </c>
      <c r="I11" s="19" t="s">
        <v>241</v>
      </c>
      <c r="J11" s="19">
        <v>10</v>
      </c>
      <c r="K11" s="19">
        <v>2015</v>
      </c>
      <c r="L11" s="71">
        <v>600000</v>
      </c>
      <c r="M11" s="19" t="s">
        <v>242</v>
      </c>
      <c r="N11" s="19" t="s">
        <v>244</v>
      </c>
      <c r="O11" s="19"/>
    </row>
    <row r="12" spans="2:24" x14ac:dyDescent="0.3">
      <c r="D12" s="20"/>
      <c r="E12" s="21"/>
      <c r="F12" s="19">
        <v>3</v>
      </c>
      <c r="G12" s="19" t="s">
        <v>238</v>
      </c>
      <c r="H12" s="19" t="s">
        <v>239</v>
      </c>
      <c r="I12" s="19" t="s">
        <v>242</v>
      </c>
      <c r="J12" s="19">
        <v>20</v>
      </c>
      <c r="K12" s="19">
        <v>2022</v>
      </c>
      <c r="L12" s="71">
        <v>540000</v>
      </c>
      <c r="M12" s="19" t="s">
        <v>241</v>
      </c>
      <c r="N12" s="19"/>
      <c r="O12" s="19"/>
    </row>
    <row r="13" spans="2:24" x14ac:dyDescent="0.3">
      <c r="D13" s="20"/>
      <c r="F13" s="19">
        <v>4</v>
      </c>
      <c r="G13" s="19" t="s">
        <v>112</v>
      </c>
      <c r="H13" s="19"/>
      <c r="I13" s="19"/>
      <c r="J13" s="19"/>
      <c r="K13" s="19"/>
      <c r="L13" s="71"/>
      <c r="M13" s="19"/>
      <c r="N13" s="19"/>
      <c r="O13" s="19"/>
    </row>
    <row r="14" spans="2:24" x14ac:dyDescent="0.3">
      <c r="D14" s="69"/>
      <c r="E14" s="21"/>
      <c r="F14" s="19">
        <v>5</v>
      </c>
      <c r="G14" s="19" t="s">
        <v>112</v>
      </c>
      <c r="H14" s="19"/>
      <c r="I14" s="19"/>
      <c r="J14" s="19"/>
      <c r="K14" s="19"/>
      <c r="L14" s="71"/>
      <c r="M14" s="19"/>
      <c r="N14" s="19"/>
      <c r="O14" s="19"/>
    </row>
    <row r="15" spans="2:24" x14ac:dyDescent="0.3">
      <c r="D15" s="20"/>
      <c r="F15" s="19">
        <v>6</v>
      </c>
      <c r="G15" s="19" t="s">
        <v>112</v>
      </c>
      <c r="H15" s="19"/>
      <c r="I15" s="19"/>
      <c r="J15" s="19"/>
      <c r="K15" s="19"/>
      <c r="L15" s="71"/>
      <c r="M15" s="19"/>
      <c r="N15" s="19"/>
      <c r="O15" s="19"/>
    </row>
    <row r="16" spans="2:24" x14ac:dyDescent="0.3">
      <c r="D16" s="97"/>
      <c r="E16" s="21"/>
      <c r="F16" s="19">
        <v>7</v>
      </c>
      <c r="G16" s="19" t="s">
        <v>112</v>
      </c>
      <c r="H16" s="19"/>
      <c r="I16" s="19"/>
      <c r="J16" s="19"/>
      <c r="K16" s="19"/>
      <c r="L16" s="19"/>
      <c r="M16" s="19"/>
      <c r="N16" s="19"/>
      <c r="O16" s="19"/>
    </row>
    <row r="17" spans="4:15" x14ac:dyDescent="0.3">
      <c r="D17" s="98"/>
      <c r="F17" s="19">
        <v>8</v>
      </c>
      <c r="G17" s="19"/>
      <c r="H17" s="19"/>
      <c r="I17" s="19"/>
      <c r="J17" s="19"/>
      <c r="K17" s="19"/>
      <c r="L17" s="19"/>
      <c r="M17" s="19"/>
      <c r="N17" s="19"/>
      <c r="O17" s="19"/>
    </row>
    <row r="18" spans="4:15" x14ac:dyDescent="0.3">
      <c r="D18" s="8"/>
      <c r="F18" s="19">
        <v>9</v>
      </c>
      <c r="G18" s="19"/>
      <c r="H18" s="19"/>
      <c r="I18" s="19"/>
      <c r="J18" s="19"/>
      <c r="K18" s="19"/>
      <c r="L18" s="19"/>
      <c r="M18" s="19"/>
      <c r="N18" s="19"/>
      <c r="O18" s="19"/>
    </row>
    <row r="19" spans="4:15" x14ac:dyDescent="0.3">
      <c r="D19" s="8"/>
      <c r="F19" s="19">
        <v>10</v>
      </c>
      <c r="G19" s="19"/>
      <c r="H19" s="19"/>
      <c r="I19" s="19"/>
      <c r="J19" s="19"/>
      <c r="K19" s="19"/>
      <c r="L19" s="19"/>
      <c r="M19" s="19"/>
      <c r="N19" s="19"/>
      <c r="O19" s="19"/>
    </row>
    <row r="20" spans="4:15" x14ac:dyDescent="0.3">
      <c r="D20" s="8"/>
      <c r="F20" s="19">
        <v>11</v>
      </c>
      <c r="G20" s="19"/>
      <c r="H20" s="19"/>
      <c r="I20" s="19"/>
      <c r="J20" s="19"/>
      <c r="K20" s="19"/>
      <c r="L20" s="19"/>
      <c r="M20" s="19"/>
      <c r="N20" s="19"/>
      <c r="O20" s="19"/>
    </row>
    <row r="21" spans="4:15" x14ac:dyDescent="0.3">
      <c r="D21" s="8"/>
      <c r="F21" s="19" t="s">
        <v>112</v>
      </c>
      <c r="G21" s="19"/>
      <c r="H21" s="19"/>
      <c r="I21" s="19"/>
      <c r="J21" s="19"/>
      <c r="K21" s="19"/>
      <c r="L21" s="19"/>
      <c r="M21" s="19"/>
      <c r="N21" s="19"/>
      <c r="O21" s="19"/>
    </row>
    <row r="22" spans="4:15" x14ac:dyDescent="0.3">
      <c r="D22" s="8"/>
      <c r="F22" s="19" t="s">
        <v>112</v>
      </c>
      <c r="G22" s="19"/>
      <c r="H22" s="19"/>
      <c r="I22" s="19"/>
      <c r="J22" s="19"/>
      <c r="K22" s="19"/>
      <c r="L22" s="19"/>
      <c r="M22" s="19"/>
      <c r="N22" s="19"/>
      <c r="O22" s="19"/>
    </row>
    <row r="23" spans="4:15" x14ac:dyDescent="0.3">
      <c r="D23" s="8"/>
      <c r="F23" s="19" t="s">
        <v>112</v>
      </c>
      <c r="G23" s="19"/>
      <c r="H23" s="19"/>
      <c r="I23" s="19"/>
      <c r="J23" s="19"/>
      <c r="K23" s="19"/>
      <c r="L23" s="19"/>
      <c r="M23" s="19"/>
      <c r="N23" s="19"/>
      <c r="O23" s="19"/>
    </row>
    <row r="24" spans="4:15" x14ac:dyDescent="0.3">
      <c r="D24" s="11"/>
      <c r="F24" s="19" t="s">
        <v>112</v>
      </c>
      <c r="G24" s="19"/>
      <c r="H24" s="19"/>
      <c r="I24" s="19"/>
      <c r="J24" s="19"/>
      <c r="K24" s="19"/>
      <c r="L24" s="19"/>
      <c r="M24" s="19"/>
      <c r="N24" s="19"/>
      <c r="O24" s="19"/>
    </row>
    <row r="25" spans="4:15" x14ac:dyDescent="0.3">
      <c r="D25" s="11"/>
      <c r="F25" s="19" t="s">
        <v>112</v>
      </c>
      <c r="G25" s="19"/>
      <c r="H25" s="19"/>
      <c r="I25" s="19"/>
      <c r="J25" s="19"/>
      <c r="K25" s="19"/>
      <c r="L25" s="19"/>
      <c r="M25" s="19"/>
      <c r="N25" s="19"/>
      <c r="O25" s="19"/>
    </row>
    <row r="26" spans="4:15" x14ac:dyDescent="0.3">
      <c r="D26" s="11"/>
      <c r="F26" s="66" t="s">
        <v>112</v>
      </c>
      <c r="G26" s="19"/>
      <c r="H26" s="19"/>
      <c r="I26" s="19"/>
      <c r="J26" s="19"/>
      <c r="K26" s="19"/>
      <c r="L26" s="19"/>
      <c r="M26" s="19"/>
      <c r="N26" s="19"/>
      <c r="O26" s="19"/>
    </row>
    <row r="27" spans="4:15" x14ac:dyDescent="0.3">
      <c r="D27" s="11"/>
      <c r="F27" s="22" t="s">
        <v>112</v>
      </c>
    </row>
    <row r="28" spans="4:15" x14ac:dyDescent="0.3">
      <c r="D28" s="11"/>
    </row>
    <row r="30" spans="4:15" x14ac:dyDescent="0.3">
      <c r="D30" t="s">
        <v>44</v>
      </c>
    </row>
    <row r="32" spans="4:15" ht="16.5" customHeight="1" x14ac:dyDescent="0.3"/>
  </sheetData>
  <mergeCells count="6">
    <mergeCell ref="V5:X5"/>
    <mergeCell ref="F4:H4"/>
    <mergeCell ref="J4:K4"/>
    <mergeCell ref="M4:N4"/>
    <mergeCell ref="P4:Q4"/>
    <mergeCell ref="H5:S5"/>
  </mergeCells>
  <phoneticPr fontId="1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D15B-CD92-4DFE-B964-EADB3D1A6291}">
  <dimension ref="B1:X32"/>
  <sheetViews>
    <sheetView showGridLines="0" topLeftCell="A16" zoomScale="70" zoomScaleNormal="70" workbookViewId="0">
      <selection activeCell="C33" sqref="C33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8.125" customWidth="1"/>
    <col min="7" max="7" width="9.375" customWidth="1"/>
    <col min="8" max="8" width="9.625" customWidth="1"/>
    <col min="9" max="10" width="12" customWidth="1"/>
    <col min="11" max="11" width="9.5" customWidth="1"/>
    <col min="12" max="12" width="9.375" bestFit="1" customWidth="1"/>
    <col min="13" max="13" width="12.375" bestFit="1" customWidth="1"/>
    <col min="14" max="14" width="11.625" customWidth="1"/>
    <col min="15" max="15" width="12.375" bestFit="1" customWidth="1"/>
    <col min="16" max="16" width="9" bestFit="1" customWidth="1"/>
    <col min="17" max="20" width="9" customWidth="1"/>
    <col min="22" max="22" width="5.875" customWidth="1"/>
    <col min="24" max="24" width="10.875" bestFit="1" customWidth="1"/>
  </cols>
  <sheetData>
    <row r="1" spans="2:24" x14ac:dyDescent="0.3">
      <c r="D1" s="8"/>
    </row>
    <row r="2" spans="2:24" x14ac:dyDescent="0.3">
      <c r="D2" s="8"/>
      <c r="N2" s="2"/>
      <c r="P2" s="2"/>
    </row>
    <row r="3" spans="2:24" ht="17.25" thickBot="1" x14ac:dyDescent="0.35">
      <c r="B3" s="21" t="s">
        <v>182</v>
      </c>
      <c r="D3" s="8"/>
    </row>
    <row r="4" spans="2:24" s="2" customFormat="1" ht="17.25" thickBot="1" x14ac:dyDescent="0.35">
      <c r="C4" s="14"/>
      <c r="D4" s="15"/>
      <c r="E4" s="14"/>
      <c r="F4" s="84" t="s">
        <v>1</v>
      </c>
      <c r="G4" s="85"/>
      <c r="H4" s="86"/>
      <c r="I4" s="14"/>
      <c r="J4" s="95" t="s">
        <v>11</v>
      </c>
      <c r="K4" s="96"/>
      <c r="M4" s="84" t="s">
        <v>12</v>
      </c>
      <c r="N4" s="86"/>
      <c r="P4" s="95" t="s">
        <v>13</v>
      </c>
      <c r="Q4" s="96"/>
      <c r="R4" s="14"/>
      <c r="S4" s="16" t="s">
        <v>14</v>
      </c>
      <c r="T4" s="27"/>
      <c r="U4" s="27"/>
      <c r="V4" s="17" t="s">
        <v>143</v>
      </c>
      <c r="W4" s="14"/>
      <c r="X4" s="14"/>
    </row>
    <row r="5" spans="2:24" x14ac:dyDescent="0.3">
      <c r="D5" s="8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2"/>
      <c r="V5" s="80"/>
      <c r="W5" s="81"/>
      <c r="X5" s="81"/>
    </row>
    <row r="6" spans="2:24" x14ac:dyDescent="0.3">
      <c r="B6" s="1"/>
      <c r="D6" s="10" t="s">
        <v>14</v>
      </c>
      <c r="E6" s="21"/>
      <c r="F6" s="2" t="s">
        <v>72</v>
      </c>
      <c r="G6" s="61" t="s">
        <v>209</v>
      </c>
      <c r="J6" s="61"/>
      <c r="M6" s="61"/>
      <c r="R6" t="s">
        <v>218</v>
      </c>
    </row>
    <row r="7" spans="2:24" x14ac:dyDescent="0.3">
      <c r="B7" s="1"/>
      <c r="D7" s="20" t="s">
        <v>90</v>
      </c>
      <c r="E7" s="21" t="s">
        <v>91</v>
      </c>
      <c r="F7" t="s">
        <v>73</v>
      </c>
      <c r="G7" t="s">
        <v>74</v>
      </c>
      <c r="H7" t="s">
        <v>270</v>
      </c>
      <c r="I7" t="s">
        <v>210</v>
      </c>
      <c r="R7" t="s">
        <v>219</v>
      </c>
    </row>
    <row r="8" spans="2:24" x14ac:dyDescent="0.3">
      <c r="B8" s="1"/>
      <c r="D8" s="11" t="s">
        <v>265</v>
      </c>
      <c r="E8" s="21"/>
      <c r="F8" s="99" t="s">
        <v>90</v>
      </c>
    </row>
    <row r="9" spans="2:24" x14ac:dyDescent="0.3">
      <c r="B9" s="1"/>
      <c r="D9" s="20"/>
      <c r="E9" s="21"/>
      <c r="F9" s="66" t="s">
        <v>271</v>
      </c>
      <c r="G9" s="66" t="s">
        <v>210</v>
      </c>
      <c r="H9" s="66" t="s">
        <v>266</v>
      </c>
      <c r="I9" s="66" t="s">
        <v>267</v>
      </c>
      <c r="J9" s="66" t="s">
        <v>268</v>
      </c>
      <c r="K9" s="66" t="s">
        <v>269</v>
      </c>
      <c r="L9" s="66" t="s">
        <v>39</v>
      </c>
    </row>
    <row r="10" spans="2:24" x14ac:dyDescent="0.3">
      <c r="B10" s="1"/>
      <c r="D10" s="11" t="s">
        <v>264</v>
      </c>
      <c r="E10" s="21"/>
      <c r="F10" s="66">
        <v>1</v>
      </c>
      <c r="G10" s="19"/>
      <c r="H10" s="19"/>
      <c r="I10" s="19"/>
      <c r="J10" s="19"/>
      <c r="K10" s="19"/>
      <c r="L10" s="19"/>
    </row>
    <row r="11" spans="2:24" x14ac:dyDescent="0.3">
      <c r="D11" s="20"/>
      <c r="F11" s="66">
        <v>2</v>
      </c>
      <c r="G11" s="19"/>
      <c r="H11" s="19"/>
      <c r="I11" s="19"/>
      <c r="J11" s="19"/>
      <c r="K11" s="19"/>
      <c r="L11" s="19"/>
    </row>
    <row r="12" spans="2:24" x14ac:dyDescent="0.3">
      <c r="D12" s="20"/>
      <c r="E12" s="21"/>
      <c r="F12" s="66"/>
      <c r="G12" s="19"/>
      <c r="H12" s="19"/>
      <c r="I12" s="19"/>
      <c r="J12" s="19"/>
      <c r="K12" s="19"/>
      <c r="L12" s="19"/>
    </row>
    <row r="13" spans="2:24" x14ac:dyDescent="0.3">
      <c r="D13" s="20"/>
      <c r="F13" s="66"/>
      <c r="G13" s="19"/>
      <c r="H13" s="19"/>
      <c r="I13" s="19"/>
      <c r="J13" s="19"/>
      <c r="K13" s="19"/>
      <c r="L13" s="19"/>
    </row>
    <row r="14" spans="2:24" x14ac:dyDescent="0.3">
      <c r="D14" s="69"/>
      <c r="E14" s="21"/>
      <c r="F14" s="66"/>
      <c r="G14" s="19"/>
      <c r="H14" s="19"/>
      <c r="I14" s="19"/>
      <c r="J14" s="19"/>
      <c r="K14" s="19"/>
      <c r="L14" s="19"/>
    </row>
    <row r="15" spans="2:24" x14ac:dyDescent="0.3">
      <c r="D15" s="20"/>
      <c r="F15" s="66"/>
      <c r="G15" s="19"/>
      <c r="H15" s="19"/>
      <c r="I15" s="19"/>
      <c r="J15" s="19"/>
      <c r="K15" s="19"/>
      <c r="L15" s="19"/>
    </row>
    <row r="16" spans="2:24" x14ac:dyDescent="0.3">
      <c r="D16" s="97"/>
      <c r="E16" s="21"/>
      <c r="F16" s="66"/>
      <c r="G16" s="19"/>
      <c r="H16" s="19"/>
      <c r="I16" s="19"/>
      <c r="J16" s="19"/>
      <c r="K16" s="19"/>
      <c r="L16" s="19"/>
    </row>
    <row r="17" spans="4:12" x14ac:dyDescent="0.3">
      <c r="D17" s="98"/>
      <c r="F17" s="66"/>
      <c r="G17" s="19"/>
      <c r="H17" s="19"/>
      <c r="I17" s="19"/>
      <c r="J17" s="19"/>
      <c r="K17" s="19"/>
      <c r="L17" s="19"/>
    </row>
    <row r="18" spans="4:12" x14ac:dyDescent="0.3">
      <c r="D18" s="8"/>
      <c r="F18" s="19"/>
      <c r="G18" s="19"/>
      <c r="H18" s="19"/>
      <c r="I18" s="19"/>
      <c r="J18" s="19"/>
      <c r="K18" s="19"/>
      <c r="L18" s="19"/>
    </row>
    <row r="19" spans="4:12" x14ac:dyDescent="0.3">
      <c r="D19" s="8"/>
    </row>
    <row r="20" spans="4:12" x14ac:dyDescent="0.3">
      <c r="D20" s="8"/>
    </row>
    <row r="21" spans="4:12" x14ac:dyDescent="0.3">
      <c r="D21" s="8"/>
    </row>
    <row r="22" spans="4:12" x14ac:dyDescent="0.3">
      <c r="D22" s="8"/>
    </row>
    <row r="23" spans="4:12" x14ac:dyDescent="0.3">
      <c r="D23" s="8"/>
    </row>
    <row r="24" spans="4:12" x14ac:dyDescent="0.3">
      <c r="D24" s="11"/>
    </row>
    <row r="25" spans="4:12" x14ac:dyDescent="0.3">
      <c r="D25" s="11"/>
    </row>
    <row r="26" spans="4:12" x14ac:dyDescent="0.3">
      <c r="D26" s="11"/>
    </row>
    <row r="27" spans="4:12" x14ac:dyDescent="0.3">
      <c r="D27" s="11"/>
    </row>
    <row r="28" spans="4:12" x14ac:dyDescent="0.3">
      <c r="D28" s="11"/>
    </row>
    <row r="30" spans="4:12" x14ac:dyDescent="0.3">
      <c r="D30" t="s">
        <v>44</v>
      </c>
    </row>
    <row r="32" spans="4:12" ht="16.5" customHeight="1" x14ac:dyDescent="0.3"/>
  </sheetData>
  <mergeCells count="6">
    <mergeCell ref="F4:H4"/>
    <mergeCell ref="J4:K4"/>
    <mergeCell ref="M4:N4"/>
    <mergeCell ref="P4:Q4"/>
    <mergeCell ref="H5:S5"/>
    <mergeCell ref="V5:X5"/>
  </mergeCells>
  <phoneticPr fontId="1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BBB8-33B0-4A2C-8D02-977EE4BFDCDA}">
  <dimension ref="B1:X32"/>
  <sheetViews>
    <sheetView showGridLines="0" tabSelected="1" zoomScale="55" zoomScaleNormal="55" workbookViewId="0">
      <selection activeCell="AC16" sqref="AC15:AC16"/>
    </sheetView>
  </sheetViews>
  <sheetFormatPr defaultRowHeight="16.5" x14ac:dyDescent="0.3"/>
  <cols>
    <col min="2" max="2" width="9.875" bestFit="1" customWidth="1"/>
    <col min="4" max="4" width="13.75" bestFit="1" customWidth="1"/>
    <col min="5" max="5" width="3.375" customWidth="1"/>
    <col min="6" max="6" width="8.125" customWidth="1"/>
    <col min="7" max="7" width="9.375" customWidth="1"/>
    <col min="8" max="8" width="9.625" customWidth="1"/>
    <col min="9" max="10" width="12" customWidth="1"/>
    <col min="11" max="11" width="9.5" customWidth="1"/>
    <col min="12" max="12" width="9.375" bestFit="1" customWidth="1"/>
    <col min="13" max="13" width="12.375" bestFit="1" customWidth="1"/>
    <col min="14" max="14" width="11.625" customWidth="1"/>
    <col min="15" max="15" width="12.375" bestFit="1" customWidth="1"/>
    <col min="16" max="16" width="9" bestFit="1" customWidth="1"/>
    <col min="17" max="20" width="9" customWidth="1"/>
    <col min="22" max="22" width="5.875" customWidth="1"/>
    <col min="24" max="24" width="10.875" bestFit="1" customWidth="1"/>
  </cols>
  <sheetData>
    <row r="1" spans="2:24" x14ac:dyDescent="0.3">
      <c r="D1" s="8"/>
    </row>
    <row r="2" spans="2:24" x14ac:dyDescent="0.3">
      <c r="D2" s="8"/>
      <c r="N2" s="2"/>
      <c r="P2" s="2"/>
    </row>
    <row r="3" spans="2:24" ht="17.25" thickBot="1" x14ac:dyDescent="0.35">
      <c r="B3" s="21" t="s">
        <v>182</v>
      </c>
      <c r="D3" s="8"/>
    </row>
    <row r="4" spans="2:24" s="2" customFormat="1" ht="17.25" thickBot="1" x14ac:dyDescent="0.35">
      <c r="C4" s="14"/>
      <c r="D4" s="15"/>
      <c r="E4" s="14"/>
      <c r="F4" s="84" t="s">
        <v>1</v>
      </c>
      <c r="G4" s="85"/>
      <c r="H4" s="86"/>
      <c r="I4" s="14"/>
      <c r="J4" s="95" t="s">
        <v>11</v>
      </c>
      <c r="K4" s="96"/>
      <c r="M4" s="84" t="s">
        <v>12</v>
      </c>
      <c r="N4" s="86"/>
      <c r="P4" s="95" t="s">
        <v>13</v>
      </c>
      <c r="Q4" s="96"/>
      <c r="R4" s="14"/>
      <c r="S4" s="16" t="s">
        <v>14</v>
      </c>
      <c r="T4" s="27"/>
      <c r="U4" s="27"/>
      <c r="V4" s="17" t="s">
        <v>143</v>
      </c>
      <c r="W4" s="14"/>
      <c r="X4" s="14"/>
    </row>
    <row r="5" spans="2:24" x14ac:dyDescent="0.3">
      <c r="D5" s="8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2"/>
      <c r="V5" s="80"/>
      <c r="W5" s="81"/>
      <c r="X5" s="81"/>
    </row>
    <row r="6" spans="2:24" x14ac:dyDescent="0.3">
      <c r="B6" s="1"/>
      <c r="D6" s="10" t="s">
        <v>14</v>
      </c>
      <c r="E6" s="21"/>
      <c r="F6" s="2" t="s">
        <v>72</v>
      </c>
      <c r="G6" s="61" t="s">
        <v>209</v>
      </c>
      <c r="J6" s="61"/>
      <c r="M6" s="61"/>
      <c r="R6" t="s">
        <v>218</v>
      </c>
    </row>
    <row r="7" spans="2:24" x14ac:dyDescent="0.3">
      <c r="B7" s="1"/>
      <c r="D7" s="20" t="s">
        <v>90</v>
      </c>
      <c r="E7" s="21"/>
      <c r="F7" t="s">
        <v>73</v>
      </c>
      <c r="G7" t="s">
        <v>74</v>
      </c>
      <c r="H7" t="s">
        <v>270</v>
      </c>
      <c r="I7" s="66" t="s">
        <v>14</v>
      </c>
      <c r="J7" t="s">
        <v>210</v>
      </c>
      <c r="R7" t="s">
        <v>219</v>
      </c>
    </row>
    <row r="8" spans="2:24" x14ac:dyDescent="0.3">
      <c r="B8" s="1"/>
      <c r="D8" s="11" t="s">
        <v>265</v>
      </c>
      <c r="E8" s="21"/>
      <c r="F8" s="99" t="s">
        <v>90</v>
      </c>
    </row>
    <row r="9" spans="2:24" x14ac:dyDescent="0.3">
      <c r="B9" s="1"/>
      <c r="D9" s="20"/>
      <c r="E9" s="21"/>
      <c r="F9" s="66" t="s">
        <v>271</v>
      </c>
      <c r="G9" s="66" t="s">
        <v>210</v>
      </c>
      <c r="H9" s="66" t="s">
        <v>266</v>
      </c>
      <c r="I9" s="66" t="s">
        <v>14</v>
      </c>
      <c r="J9" s="66" t="s">
        <v>274</v>
      </c>
      <c r="K9" s="66"/>
    </row>
    <row r="10" spans="2:24" x14ac:dyDescent="0.3">
      <c r="B10" s="1"/>
      <c r="D10" s="11" t="s">
        <v>264</v>
      </c>
      <c r="E10" s="21" t="s">
        <v>91</v>
      </c>
      <c r="F10" s="66">
        <v>1</v>
      </c>
      <c r="G10" s="19"/>
      <c r="H10" s="19"/>
      <c r="I10" s="19" t="s">
        <v>154</v>
      </c>
      <c r="J10" s="19" t="s">
        <v>275</v>
      </c>
      <c r="K10" s="19"/>
    </row>
    <row r="11" spans="2:24" x14ac:dyDescent="0.3">
      <c r="D11" s="20"/>
      <c r="F11" s="66">
        <v>2</v>
      </c>
      <c r="G11" s="19"/>
      <c r="H11" s="19"/>
      <c r="I11" s="19" t="s">
        <v>272</v>
      </c>
      <c r="J11" s="19"/>
      <c r="K11" s="19"/>
    </row>
    <row r="12" spans="2:24" x14ac:dyDescent="0.3">
      <c r="D12" s="20"/>
      <c r="E12" s="21"/>
      <c r="F12" s="66"/>
      <c r="G12" s="19"/>
      <c r="H12" s="19"/>
      <c r="I12" s="19" t="s">
        <v>273</v>
      </c>
      <c r="J12" s="19"/>
      <c r="K12" s="19"/>
    </row>
    <row r="13" spans="2:24" x14ac:dyDescent="0.3">
      <c r="D13" s="20"/>
      <c r="F13" s="66"/>
      <c r="G13" s="19"/>
      <c r="H13" s="19"/>
      <c r="I13" s="19"/>
      <c r="J13" s="19"/>
      <c r="K13" s="19"/>
    </row>
    <row r="14" spans="2:24" x14ac:dyDescent="0.3">
      <c r="D14" s="69"/>
      <c r="E14" s="21"/>
      <c r="F14" s="66"/>
      <c r="G14" s="19"/>
      <c r="H14" s="19"/>
      <c r="I14" s="19"/>
      <c r="J14" s="19"/>
      <c r="K14" s="19"/>
    </row>
    <row r="15" spans="2:24" x14ac:dyDescent="0.3">
      <c r="D15" s="20"/>
      <c r="F15" s="66"/>
      <c r="G15" s="19"/>
      <c r="H15" s="19"/>
      <c r="I15" s="19"/>
      <c r="J15" s="19"/>
      <c r="K15" s="19"/>
    </row>
    <row r="16" spans="2:24" x14ac:dyDescent="0.3">
      <c r="D16" s="97"/>
      <c r="E16" s="21"/>
      <c r="F16" s="66"/>
      <c r="G16" s="19"/>
      <c r="H16" s="19"/>
      <c r="I16" s="19"/>
      <c r="J16" s="19"/>
      <c r="K16" s="19"/>
    </row>
    <row r="17" spans="4:11" x14ac:dyDescent="0.3">
      <c r="D17" s="98"/>
      <c r="F17" s="66"/>
      <c r="G17" s="19"/>
      <c r="H17" s="19"/>
      <c r="I17" s="19"/>
      <c r="J17" s="19"/>
      <c r="K17" s="19"/>
    </row>
    <row r="18" spans="4:11" x14ac:dyDescent="0.3">
      <c r="D18" s="8"/>
      <c r="F18" s="19"/>
      <c r="G18" s="19"/>
      <c r="H18" s="19"/>
      <c r="I18" s="19"/>
      <c r="J18" s="19"/>
      <c r="K18" s="19"/>
    </row>
    <row r="19" spans="4:11" x14ac:dyDescent="0.3">
      <c r="D19" s="8"/>
    </row>
    <row r="20" spans="4:11" x14ac:dyDescent="0.3">
      <c r="D20" s="8"/>
    </row>
    <row r="21" spans="4:11" x14ac:dyDescent="0.3">
      <c r="D21" s="8"/>
    </row>
    <row r="22" spans="4:11" x14ac:dyDescent="0.3">
      <c r="D22" s="8"/>
    </row>
    <row r="23" spans="4:11" x14ac:dyDescent="0.3">
      <c r="D23" s="8"/>
    </row>
    <row r="24" spans="4:11" x14ac:dyDescent="0.3">
      <c r="D24" s="11"/>
    </row>
    <row r="25" spans="4:11" x14ac:dyDescent="0.3">
      <c r="D25" s="11"/>
    </row>
    <row r="26" spans="4:11" x14ac:dyDescent="0.3">
      <c r="D26" s="11"/>
    </row>
    <row r="27" spans="4:11" x14ac:dyDescent="0.3">
      <c r="D27" s="11"/>
    </row>
    <row r="28" spans="4:11" x14ac:dyDescent="0.3">
      <c r="D28" s="11"/>
    </row>
    <row r="30" spans="4:11" x14ac:dyDescent="0.3">
      <c r="D30" t="s">
        <v>44</v>
      </c>
    </row>
    <row r="32" spans="4:11" ht="16.5" customHeight="1" x14ac:dyDescent="0.3"/>
  </sheetData>
  <mergeCells count="6">
    <mergeCell ref="F4:H4"/>
    <mergeCell ref="J4:K4"/>
    <mergeCell ref="M4:N4"/>
    <mergeCell ref="P4:Q4"/>
    <mergeCell ref="H5:S5"/>
    <mergeCell ref="V5:X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Sheet11</vt:lpstr>
      <vt:lpstr>권한</vt:lpstr>
      <vt:lpstr>Sheet1 (11)</vt:lpstr>
      <vt:lpstr>Sheet1</vt:lpstr>
      <vt:lpstr>Sheet1 (2)</vt:lpstr>
      <vt:lpstr>Sheet1 (3)</vt:lpstr>
      <vt:lpstr>Sheet1 (10)</vt:lpstr>
      <vt:lpstr>Sheet1 (4)</vt:lpstr>
      <vt:lpstr>Sheet1 (5)</vt:lpstr>
      <vt:lpstr>Sheet1 (6)</vt:lpstr>
      <vt:lpstr>Sheet1 (7)</vt:lpstr>
      <vt:lpstr>Sheet1 (8)</vt:lpstr>
      <vt:lpstr>Sheet1 (9)</vt:lpstr>
      <vt:lpstr>Sheet1 (12)</vt:lpstr>
      <vt:lpstr>Sheet1 (15)</vt:lpstr>
      <vt:lpstr>Sheet1 (16)</vt:lpstr>
      <vt:lpstr>Sheet1 (17)</vt:lpstr>
      <vt:lpstr>Sheet1 (18)</vt:lpstr>
      <vt:lpstr>Sheet1 (19)</vt:lpstr>
      <vt:lpstr>Sheet1 (20)</vt:lpstr>
      <vt:lpstr>Sheet1 (23)</vt:lpstr>
      <vt:lpstr>Sheet1 (14)</vt:lpstr>
      <vt:lpstr>Sheet1 (21)</vt:lpstr>
      <vt:lpstr>Sheet1 (22)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sookb</dc:creator>
  <cp:lastModifiedBy>sookb</cp:lastModifiedBy>
  <dcterms:created xsi:type="dcterms:W3CDTF">2025-10-18T08:02:16Z</dcterms:created>
  <dcterms:modified xsi:type="dcterms:W3CDTF">2025-10-20T09:52:10Z</dcterms:modified>
</cp:coreProperties>
</file>