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W:\공용 드라이브\스테이지_Work\🏨 프로젝트\ㄱ 프로젝트_공통\매장관리\9월 결산\부산 그라체\CM_작업중\V1\"/>
    </mc:Choice>
  </mc:AlternateContent>
  <xr:revisionPtr revIDLastSave="0" documentId="13_ncr:1_{C332D0CD-10E5-4F91-9EB1-7B2DC107D5B7}" xr6:coauthVersionLast="47" xr6:coauthVersionMax="47" xr10:uidLastSave="{00000000-0000-0000-0000-000000000000}"/>
  <bookViews>
    <workbookView xWindow="-120" yWindow="0" windowWidth="21600" windowHeight="11295" tabRatio="842" firstSheet="8" activeTab="31" xr2:uid="{00000000-000D-0000-FFFF-FFFF00000000}"/>
  </bookViews>
  <sheets>
    <sheet name="1" sheetId="52" r:id="rId1"/>
    <sheet name="2" sheetId="61" r:id="rId2"/>
    <sheet name="3" sheetId="62" r:id="rId3"/>
    <sheet name="4" sheetId="91" r:id="rId4"/>
    <sheet name="5" sheetId="92" r:id="rId5"/>
    <sheet name="6" sheetId="93" r:id="rId6"/>
    <sheet name="7" sheetId="94" r:id="rId7"/>
    <sheet name="8" sheetId="95" r:id="rId8"/>
    <sheet name="9" sheetId="97" r:id="rId9"/>
    <sheet name="10" sheetId="98" r:id="rId10"/>
    <sheet name="11" sheetId="99" r:id="rId11"/>
    <sheet name="12" sheetId="100" r:id="rId12"/>
    <sheet name="13" sheetId="101" r:id="rId13"/>
    <sheet name="14" sheetId="102" r:id="rId14"/>
    <sheet name="15" sheetId="103" r:id="rId15"/>
    <sheet name="16" sheetId="104" r:id="rId16"/>
    <sheet name="17" sheetId="105" r:id="rId17"/>
    <sheet name="18" sheetId="106" r:id="rId18"/>
    <sheet name="19" sheetId="107" r:id="rId19"/>
    <sheet name="20" sheetId="108" r:id="rId20"/>
    <sheet name="21" sheetId="109" r:id="rId21"/>
    <sheet name="22" sheetId="110" r:id="rId22"/>
    <sheet name="23" sheetId="111" r:id="rId23"/>
    <sheet name="24" sheetId="112" r:id="rId24"/>
    <sheet name="25" sheetId="113" r:id="rId25"/>
    <sheet name="26" sheetId="114" r:id="rId26"/>
    <sheet name="27" sheetId="115" r:id="rId27"/>
    <sheet name="28" sheetId="116" r:id="rId28"/>
    <sheet name="29" sheetId="117" r:id="rId29"/>
    <sheet name="30" sheetId="118" r:id="rId30"/>
    <sheet name="예약현황" sheetId="57" r:id="rId31"/>
    <sheet name="2025년  매출" sheetId="56" r:id="rId32"/>
  </sheets>
  <externalReferences>
    <externalReference r:id="rId33"/>
  </externalReferences>
  <definedNames>
    <definedName name="_xlnm._FilterDatabase" localSheetId="0" hidden="1">'1'!$A$1:$AG$76</definedName>
    <definedName name="_xlnm._FilterDatabase" localSheetId="9" hidden="1">'10'!$R$7:$R$67</definedName>
    <definedName name="_xlnm._FilterDatabase" localSheetId="10" hidden="1">'11'!$R$7:$R$67</definedName>
    <definedName name="_xlnm._FilterDatabase" localSheetId="11" hidden="1">'12'!$R$7:$R$67</definedName>
    <definedName name="_xlnm._FilterDatabase" localSheetId="12" hidden="1">'13'!$R$7:$R$67</definedName>
    <definedName name="_xlnm._FilterDatabase" localSheetId="13" hidden="1">'14'!$R$7:$R$67</definedName>
    <definedName name="_xlnm._FilterDatabase" localSheetId="14" hidden="1">'15'!$R$7:$R$67</definedName>
    <definedName name="_xlnm._FilterDatabase" localSheetId="15" hidden="1">'16'!$R$7:$R$67</definedName>
    <definedName name="_xlnm._FilterDatabase" localSheetId="16" hidden="1">'17'!$R$7:$R$67</definedName>
    <definedName name="_xlnm._FilterDatabase" localSheetId="17" hidden="1">'18'!$R$7:$R$67</definedName>
    <definedName name="_xlnm._FilterDatabase" localSheetId="18" hidden="1">'19'!$A$1:$AD$76</definedName>
    <definedName name="_xlnm._FilterDatabase" localSheetId="1" hidden="1">'2'!$R$7:$R$67</definedName>
    <definedName name="_xlnm._FilterDatabase" localSheetId="19" hidden="1">'20'!$R$7:$R$67</definedName>
    <definedName name="_xlnm._FilterDatabase" localSheetId="20" hidden="1">'21'!$R$7:$R$67</definedName>
    <definedName name="_xlnm._FilterDatabase" localSheetId="21" hidden="1">'22'!$R$7:$R$67</definedName>
    <definedName name="_xlnm._FilterDatabase" localSheetId="22" hidden="1">'23'!$R$7:$R$67</definedName>
    <definedName name="_xlnm._FilterDatabase" localSheetId="23" hidden="1">'24'!$R$7:$R$67</definedName>
    <definedName name="_xlnm._FilterDatabase" localSheetId="24" hidden="1">'25'!$R$7:$R$67</definedName>
    <definedName name="_xlnm._FilterDatabase" localSheetId="25" hidden="1">'26'!$C$1:$C$89</definedName>
    <definedName name="_xlnm._FilterDatabase" localSheetId="26" hidden="1">'27'!$R$7:$R$67</definedName>
    <definedName name="_xlnm._FilterDatabase" localSheetId="27" hidden="1">'28'!$R$7:$R$67</definedName>
    <definedName name="_xlnm._FilterDatabase" localSheetId="28" hidden="1">'29'!$R$7:$R$67</definedName>
    <definedName name="_xlnm._FilterDatabase" localSheetId="2" hidden="1">'3'!$A$1:$AG$76</definedName>
    <definedName name="_xlnm._FilterDatabase" localSheetId="29" hidden="1">'30'!$R$7:$R$67</definedName>
    <definedName name="_xlnm._FilterDatabase" localSheetId="3" hidden="1">'4'!$R$7:$R$67</definedName>
    <definedName name="_xlnm._FilterDatabase" localSheetId="4" hidden="1">'5'!$R$7:$R$67</definedName>
    <definedName name="_xlnm._FilterDatabase" localSheetId="5" hidden="1">'6'!$R$7:$R$67</definedName>
    <definedName name="_xlnm._FilterDatabase" localSheetId="6" hidden="1">'7'!$R$7:$R$67</definedName>
    <definedName name="_xlnm._FilterDatabase" localSheetId="7" hidden="1">'8'!$R$7:$R$67</definedName>
    <definedName name="_xlnm._FilterDatabase" localSheetId="8" hidden="1">'9'!$R$7:$R$67</definedName>
    <definedName name="_xlnm.Print_Area" localSheetId="0">'1'!$A$1:$AG$76,'1'!$AI$1:$BE$73</definedName>
    <definedName name="_xlnm.Print_Area" localSheetId="11">'12'!$A$1:$AG$76,'12'!$AH$1:$BE$73</definedName>
    <definedName name="_xlnm.Print_Area" localSheetId="13">'14'!$A$1:$AG$76,'14'!$AH$1:$BE$73</definedName>
    <definedName name="_xlnm.Print_Area" localSheetId="14">'15'!$A$1:$AG$76,'15'!$AH$1:$BE$73</definedName>
    <definedName name="_xlnm.Print_Area" localSheetId="15">'16'!$A$1:$AG$76,'16'!$AH$1:$BE$73</definedName>
    <definedName name="_xlnm.Print_Area" localSheetId="16">'17'!$A$1:$AG$76,'17'!$AH$1:$BE$73</definedName>
    <definedName name="_xlnm.Print_Area" localSheetId="18">'19'!$A$1:$AG$76,'19'!$AH$1:$BE$73</definedName>
    <definedName name="_xlnm.Print_Area" localSheetId="1">'2'!$A$1:$AG$76,'2'!$AH$1:$BE$73</definedName>
    <definedName name="_xlnm.Print_Area" localSheetId="31">'2025년  매출'!$A$1:$EJ$44</definedName>
    <definedName name="_xlnm.Print_Area" localSheetId="20">'21'!$A$1:$AG$76,'21'!$AH$1:$BE$73</definedName>
    <definedName name="_xlnm.Print_Area" localSheetId="21">'22'!$A$1:$AG$76,'22'!$AH$1:$BE$73</definedName>
    <definedName name="_xlnm.Print_Area" localSheetId="22">'23'!$A$1:$AG$76,'23'!$AH$1:$BE$73</definedName>
    <definedName name="_xlnm.Print_Area" localSheetId="25">'26'!$A$1:$AG$76,'26'!$AH$1:$BE$73</definedName>
    <definedName name="_xlnm.Print_Area" localSheetId="26">'27'!$A$1:$AG$76,'27'!$AH$1:$BE$73</definedName>
    <definedName name="_xlnm.Print_Area" localSheetId="27">'28'!$A$1:$AG$76,'28'!$AH$1:$BE$73</definedName>
    <definedName name="_xlnm.Print_Area" localSheetId="28">'29'!$A$1:$AG$76,'29'!$AH$1:$BE$73</definedName>
    <definedName name="_xlnm.Print_Area" localSheetId="2">'3'!$A$1:$AG$76</definedName>
    <definedName name="_xlnm.Print_Area" localSheetId="29">'30'!$A$1:$AG$76,'30'!$AH$1:$BE$73</definedName>
    <definedName name="_xlnm.Print_Area" localSheetId="4">'5'!$A$1:$AG$76,'5'!$AH$1:$BE$73</definedName>
    <definedName name="_xlnm.Print_Area" localSheetId="5">'6'!$A$1:$AG$76,'6'!$AH$1:$BE$73</definedName>
    <definedName name="_xlnm.Print_Area" localSheetId="7">'8'!$A$1:$AG$76,'8'!$AH$1:$BE$73</definedName>
    <definedName name="_xlnm.Print_Area" localSheetId="8">'9'!$A$1:$AG$76,'9'!$AH$1:$BE$73</definedName>
    <definedName name="_xlnm.Print_Area" localSheetId="30">예약현황!$A$1:$O$34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56" l="1"/>
  <c r="AE43" i="56" l="1"/>
  <c r="X43" i="56"/>
  <c r="AE41" i="56"/>
  <c r="V42" i="56"/>
  <c r="AR10" i="114" l="1"/>
  <c r="N2" i="100" l="1"/>
  <c r="N2" i="105" l="1"/>
  <c r="N2" i="97" l="1"/>
  <c r="H2" i="98"/>
  <c r="N2" i="98"/>
  <c r="N4" i="98"/>
  <c r="O4" i="98"/>
  <c r="AF4" i="114" l="1"/>
  <c r="AG4" i="114"/>
  <c r="N2" i="103" l="1"/>
  <c r="N2" i="99" l="1"/>
  <c r="N2" i="92" l="1"/>
  <c r="AZ7" i="56" l="1"/>
  <c r="AC39" i="56" l="1"/>
  <c r="AR39" i="56"/>
  <c r="BA39" i="56"/>
  <c r="BV39" i="56"/>
  <c r="BY39" i="56"/>
  <c r="BZ39" i="56"/>
  <c r="CA39" i="56"/>
  <c r="CB39" i="56"/>
  <c r="CE39" i="56"/>
  <c r="CF39" i="56"/>
  <c r="CI39" i="56"/>
  <c r="CJ39" i="56"/>
  <c r="CM39" i="56"/>
  <c r="CN39" i="56"/>
  <c r="CQ39" i="56"/>
  <c r="CR39" i="56"/>
  <c r="CU39" i="56"/>
  <c r="CV39" i="56"/>
  <c r="CY39" i="56"/>
  <c r="CZ39" i="56"/>
  <c r="DC39" i="56"/>
  <c r="DD39" i="56"/>
  <c r="DG39" i="56"/>
  <c r="DH39" i="56"/>
  <c r="DK39" i="56"/>
  <c r="DL39" i="56"/>
  <c r="DO39" i="56"/>
  <c r="DP39" i="56"/>
  <c r="AN12" i="52" l="1"/>
  <c r="EC37" i="56" l="1"/>
  <c r="EB37" i="56"/>
  <c r="EA37" i="56"/>
  <c r="DZ37" i="56"/>
  <c r="DY37" i="56"/>
  <c r="DX37" i="56"/>
  <c r="DW37" i="56"/>
  <c r="DV37" i="56"/>
  <c r="DU37" i="56"/>
  <c r="DJ37" i="56"/>
  <c r="DJ39" i="56" s="1"/>
  <c r="DF37" i="56"/>
  <c r="DF39" i="56" s="1"/>
  <c r="DB37" i="56"/>
  <c r="DB39" i="56" s="1"/>
  <c r="CX37" i="56"/>
  <c r="CX39" i="56" s="1"/>
  <c r="CT37" i="56"/>
  <c r="CT39" i="56" s="1"/>
  <c r="CP37" i="56"/>
  <c r="CP39" i="56" s="1"/>
  <c r="CL37" i="56"/>
  <c r="CL39" i="56" s="1"/>
  <c r="CH37" i="56"/>
  <c r="CH39" i="56" s="1"/>
  <c r="CD37" i="56"/>
  <c r="CD39" i="56" s="1"/>
  <c r="BU37" i="56"/>
  <c r="BU39" i="56" s="1"/>
  <c r="AY37" i="56"/>
  <c r="AY39" i="56" s="1"/>
  <c r="AX37" i="56"/>
  <c r="AX39" i="56" s="1"/>
  <c r="AW37" i="56"/>
  <c r="AW39" i="56" s="1"/>
  <c r="AV37" i="56"/>
  <c r="AV39" i="56" s="1"/>
  <c r="AU37" i="56"/>
  <c r="AU39" i="56" s="1"/>
  <c r="AT37" i="56"/>
  <c r="AT39" i="56" s="1"/>
  <c r="AS37" i="56"/>
  <c r="AS39" i="56" s="1"/>
  <c r="ED36" i="56"/>
  <c r="ED35" i="56"/>
  <c r="ED34" i="56"/>
  <c r="ED33" i="56"/>
  <c r="ED32" i="56"/>
  <c r="ED31" i="56"/>
  <c r="ED30" i="56"/>
  <c r="ED29" i="56"/>
  <c r="ED28" i="56"/>
  <c r="ED27" i="56"/>
  <c r="ED26" i="56"/>
  <c r="ED25" i="56"/>
  <c r="ED24" i="56"/>
  <c r="ED23" i="56"/>
  <c r="ED22" i="56"/>
  <c r="ED21" i="56"/>
  <c r="ED20" i="56"/>
  <c r="ED19" i="56"/>
  <c r="ED18" i="56"/>
  <c r="ED17" i="56"/>
  <c r="ED16" i="56"/>
  <c r="ED15" i="56"/>
  <c r="ED14" i="56"/>
  <c r="ED13" i="56"/>
  <c r="ED12" i="56"/>
  <c r="ED11" i="56"/>
  <c r="ED10" i="56"/>
  <c r="ED9" i="56"/>
  <c r="ED8" i="56"/>
  <c r="ED7" i="56"/>
  <c r="AZ37" i="56"/>
  <c r="AZ39" i="56" s="1"/>
  <c r="M34" i="57"/>
  <c r="B1" i="57"/>
  <c r="ED37" i="56" l="1"/>
  <c r="BY7" i="56" l="1"/>
  <c r="BZ7" i="56" s="1"/>
  <c r="BY8" i="56" l="1"/>
  <c r="BZ8" i="56" s="1"/>
  <c r="BY9" i="56" l="1"/>
  <c r="BZ9" i="56" s="1"/>
  <c r="BY10" i="56" l="1"/>
  <c r="BZ10" i="56" s="1"/>
  <c r="BY11" i="56" l="1"/>
  <c r="BZ11" i="56" s="1"/>
  <c r="AL2" i="118" l="1"/>
  <c r="AL2" i="117"/>
  <c r="AL2" i="116"/>
  <c r="AL2" i="115"/>
  <c r="AL2" i="114"/>
  <c r="AL2" i="113"/>
  <c r="AL2" i="112"/>
  <c r="AL2" i="111"/>
  <c r="AL2" i="110"/>
  <c r="AL2" i="109"/>
  <c r="AL2" i="108"/>
  <c r="AL2" i="107"/>
  <c r="AL2" i="106"/>
  <c r="AL2" i="105"/>
  <c r="AL2" i="104"/>
  <c r="AL2" i="103"/>
  <c r="AL2" i="102"/>
  <c r="AL2" i="101"/>
  <c r="AL2" i="100"/>
  <c r="AL2" i="99"/>
  <c r="AL2" i="98"/>
  <c r="AL2" i="97"/>
  <c r="AL2" i="95"/>
  <c r="AL2" i="94"/>
  <c r="AL2" i="93"/>
  <c r="AL2" i="92"/>
  <c r="AL2" i="91"/>
  <c r="AL2" i="62"/>
  <c r="AL2" i="61"/>
  <c r="AT72" i="118"/>
  <c r="AQ72" i="118"/>
  <c r="AP72" i="118"/>
  <c r="AN72" i="118"/>
  <c r="AM72" i="118"/>
  <c r="AQ70" i="118"/>
  <c r="AP70" i="118"/>
  <c r="AA36" i="56" s="1"/>
  <c r="AN70" i="118"/>
  <c r="AM70" i="118"/>
  <c r="AQ69" i="118"/>
  <c r="AP69" i="118"/>
  <c r="Y36" i="56" s="1"/>
  <c r="AN69" i="118"/>
  <c r="AO69" i="118" s="1"/>
  <c r="AM69" i="118"/>
  <c r="AQ68" i="118"/>
  <c r="AP68" i="118"/>
  <c r="AP36" i="56" s="1"/>
  <c r="AN68" i="118"/>
  <c r="AO68" i="118" s="1"/>
  <c r="AM68" i="118"/>
  <c r="AQ67" i="118"/>
  <c r="AP67" i="118"/>
  <c r="AN36" i="56" s="1"/>
  <c r="AN67" i="118"/>
  <c r="AO67" i="118" s="1"/>
  <c r="AM67" i="118"/>
  <c r="AQ66" i="118"/>
  <c r="AP66" i="118"/>
  <c r="AF36" i="56" s="1"/>
  <c r="AN66" i="118"/>
  <c r="AO66" i="118" s="1"/>
  <c r="AM66" i="118"/>
  <c r="BB65" i="118"/>
  <c r="AQ65" i="118"/>
  <c r="AP65" i="118"/>
  <c r="AH36" i="56" s="1"/>
  <c r="AN65" i="118"/>
  <c r="AO65" i="118" s="1"/>
  <c r="AM65" i="118"/>
  <c r="BB64" i="118"/>
  <c r="AQ64" i="118"/>
  <c r="AP64" i="118"/>
  <c r="AL36" i="56" s="1"/>
  <c r="AN64" i="118"/>
  <c r="AO64" i="118" s="1"/>
  <c r="AM64" i="118"/>
  <c r="BB63" i="118"/>
  <c r="AQ63" i="118"/>
  <c r="AP63" i="118"/>
  <c r="AJ36" i="56" s="1"/>
  <c r="AN63" i="118"/>
  <c r="AO63" i="118" s="1"/>
  <c r="AM63" i="118"/>
  <c r="BB62" i="118"/>
  <c r="AQ62" i="118"/>
  <c r="AP62" i="118"/>
  <c r="AD36" i="56" s="1"/>
  <c r="AN62" i="118"/>
  <c r="AM62" i="118"/>
  <c r="BB61" i="118"/>
  <c r="AQ61" i="118"/>
  <c r="AR61" i="118" s="1"/>
  <c r="AP61" i="118"/>
  <c r="W36" i="56" s="1"/>
  <c r="AN61" i="118"/>
  <c r="AM61" i="118"/>
  <c r="BB60" i="118"/>
  <c r="AQ60" i="118"/>
  <c r="AP60" i="118"/>
  <c r="U36" i="56" s="1"/>
  <c r="AN60" i="118"/>
  <c r="AM60" i="118"/>
  <c r="BB59" i="118"/>
  <c r="AQ57" i="118"/>
  <c r="AN57" i="118"/>
  <c r="AQ56" i="118"/>
  <c r="AP56" i="118"/>
  <c r="AN56" i="118"/>
  <c r="AM56" i="118"/>
  <c r="AQ55" i="118"/>
  <c r="AP55" i="118"/>
  <c r="AN55" i="118"/>
  <c r="AM55" i="118"/>
  <c r="AQ54" i="118"/>
  <c r="AP54" i="118"/>
  <c r="AN54" i="118"/>
  <c r="AM54" i="118"/>
  <c r="AQ53" i="118"/>
  <c r="AP53" i="118"/>
  <c r="AN53" i="118"/>
  <c r="AM53" i="118"/>
  <c r="AZ30" i="118"/>
  <c r="AZ31" i="118" s="1"/>
  <c r="AX30" i="118"/>
  <c r="AX31" i="118" s="1"/>
  <c r="J6" i="118" s="1"/>
  <c r="AW30" i="118"/>
  <c r="AU30" i="118"/>
  <c r="AS30" i="118"/>
  <c r="AR30" i="118"/>
  <c r="AP30" i="118"/>
  <c r="AN30" i="118"/>
  <c r="AL30" i="118"/>
  <c r="AZ23" i="118"/>
  <c r="AX23" i="118"/>
  <c r="AZ22" i="118"/>
  <c r="AX22" i="118"/>
  <c r="AT21" i="118"/>
  <c r="AV21" i="118" s="1"/>
  <c r="AP21" i="118"/>
  <c r="AR21" i="118" s="1"/>
  <c r="AL21" i="118"/>
  <c r="AN21" i="118" s="1"/>
  <c r="AT20" i="118"/>
  <c r="AV20" i="118" s="1"/>
  <c r="AP20" i="118"/>
  <c r="AL20" i="118"/>
  <c r="AN20" i="118" s="1"/>
  <c r="AZ13" i="118"/>
  <c r="O36" i="56" s="1"/>
  <c r="AX13" i="118"/>
  <c r="N36" i="56" s="1"/>
  <c r="AV13" i="118"/>
  <c r="AT13" i="118"/>
  <c r="AR13" i="118"/>
  <c r="AP13" i="118"/>
  <c r="AN13" i="118"/>
  <c r="AL13" i="118"/>
  <c r="AZ12" i="118"/>
  <c r="S36" i="56" s="1"/>
  <c r="AX12" i="118"/>
  <c r="R36" i="56" s="1"/>
  <c r="AV12" i="118"/>
  <c r="AT12" i="118"/>
  <c r="AR12" i="118"/>
  <c r="J36" i="56" s="1"/>
  <c r="AP12" i="118"/>
  <c r="I36" i="56" s="1"/>
  <c r="AN12" i="118"/>
  <c r="E36" i="56" s="1"/>
  <c r="AL12" i="118"/>
  <c r="D36" i="56" s="1"/>
  <c r="AZ11" i="118"/>
  <c r="M36" i="56" s="1"/>
  <c r="AX11" i="118"/>
  <c r="L36" i="56" s="1"/>
  <c r="AV11" i="118"/>
  <c r="AT11" i="118"/>
  <c r="AR11" i="118"/>
  <c r="AP11" i="118"/>
  <c r="AN11" i="118"/>
  <c r="AL11" i="118"/>
  <c r="AZ10" i="118"/>
  <c r="Q36" i="56" s="1"/>
  <c r="AX10" i="118"/>
  <c r="P36" i="56" s="1"/>
  <c r="AV10" i="118"/>
  <c r="AT10" i="118"/>
  <c r="AR10" i="118"/>
  <c r="H36" i="56" s="1"/>
  <c r="AP10" i="118"/>
  <c r="AN10" i="118"/>
  <c r="C36" i="56" s="1"/>
  <c r="AL10" i="118"/>
  <c r="B36" i="56" s="1"/>
  <c r="AD6" i="118"/>
  <c r="AG4" i="118"/>
  <c r="AF4" i="118"/>
  <c r="O4" i="118"/>
  <c r="N4" i="118"/>
  <c r="BA2" i="118"/>
  <c r="AS2" i="118"/>
  <c r="N2" i="118"/>
  <c r="H2" i="118"/>
  <c r="AT72" i="117"/>
  <c r="AQ72" i="117"/>
  <c r="AP72" i="117"/>
  <c r="AN72" i="117"/>
  <c r="AM72" i="117"/>
  <c r="AQ70" i="117"/>
  <c r="AP70" i="117"/>
  <c r="AA35" i="56" s="1"/>
  <c r="AN70" i="117"/>
  <c r="AM70" i="117"/>
  <c r="AQ69" i="117"/>
  <c r="AP69" i="117"/>
  <c r="Y35" i="56" s="1"/>
  <c r="AN69" i="117"/>
  <c r="AM69" i="117"/>
  <c r="AQ68" i="117"/>
  <c r="AQ35" i="56" s="1"/>
  <c r="AP68" i="117"/>
  <c r="AP35" i="56" s="1"/>
  <c r="AN68" i="117"/>
  <c r="AO68" i="117" s="1"/>
  <c r="AM68" i="117"/>
  <c r="AQ67" i="117"/>
  <c r="AO35" i="56" s="1"/>
  <c r="AP67" i="117"/>
  <c r="AN35" i="56" s="1"/>
  <c r="AN67" i="117"/>
  <c r="AO67" i="117" s="1"/>
  <c r="AM67" i="117"/>
  <c r="AQ66" i="117"/>
  <c r="AG35" i="56" s="1"/>
  <c r="AP66" i="117"/>
  <c r="AF35" i="56" s="1"/>
  <c r="AN66" i="117"/>
  <c r="AO66" i="117" s="1"/>
  <c r="AM66" i="117"/>
  <c r="BB65" i="117"/>
  <c r="AQ65" i="117"/>
  <c r="AI35" i="56" s="1"/>
  <c r="AP65" i="117"/>
  <c r="AH35" i="56" s="1"/>
  <c r="AN65" i="117"/>
  <c r="AO65" i="117" s="1"/>
  <c r="AM65" i="117"/>
  <c r="BB64" i="117"/>
  <c r="AQ64" i="117"/>
  <c r="AM35" i="56" s="1"/>
  <c r="AP64" i="117"/>
  <c r="AL35" i="56" s="1"/>
  <c r="AN64" i="117"/>
  <c r="AO64" i="117" s="1"/>
  <c r="AM64" i="117"/>
  <c r="BB63" i="117"/>
  <c r="AQ63" i="117"/>
  <c r="AP63" i="117"/>
  <c r="AJ35" i="56" s="1"/>
  <c r="AN63" i="117"/>
  <c r="AO63" i="117" s="1"/>
  <c r="AM63" i="117"/>
  <c r="BB62" i="117"/>
  <c r="AQ62" i="117"/>
  <c r="AP62" i="117"/>
  <c r="AD35" i="56" s="1"/>
  <c r="AN62" i="117"/>
  <c r="AM62" i="117"/>
  <c r="BB61" i="117"/>
  <c r="AQ61" i="117"/>
  <c r="AR61" i="117" s="1"/>
  <c r="AP61" i="117"/>
  <c r="W35" i="56" s="1"/>
  <c r="AN61" i="117"/>
  <c r="AO61" i="117" s="1"/>
  <c r="AM61" i="117"/>
  <c r="BB60" i="117"/>
  <c r="AQ60" i="117"/>
  <c r="AP60" i="117"/>
  <c r="U35" i="56" s="1"/>
  <c r="AN60" i="117"/>
  <c r="AO60" i="117" s="1"/>
  <c r="AM60" i="117"/>
  <c r="BB59" i="117"/>
  <c r="AQ57" i="117"/>
  <c r="AN57" i="117"/>
  <c r="AQ56" i="117"/>
  <c r="AP56" i="117"/>
  <c r="AN56" i="117"/>
  <c r="AM56" i="117"/>
  <c r="AQ55" i="117"/>
  <c r="AP55" i="117"/>
  <c r="AN55" i="117"/>
  <c r="AM55" i="117"/>
  <c r="AQ54" i="117"/>
  <c r="AP54" i="117"/>
  <c r="AN54" i="117"/>
  <c r="AM54" i="117"/>
  <c r="AQ53" i="117"/>
  <c r="AP53" i="117"/>
  <c r="AN53" i="117"/>
  <c r="AM53" i="117"/>
  <c r="AZ30" i="117"/>
  <c r="AZ31" i="117" s="1"/>
  <c r="AX30" i="117"/>
  <c r="AX31" i="117" s="1"/>
  <c r="J6" i="117" s="1"/>
  <c r="AW30" i="117"/>
  <c r="AU30" i="117"/>
  <c r="AS30" i="117"/>
  <c r="AR30" i="117"/>
  <c r="AP30" i="117"/>
  <c r="AN30" i="117"/>
  <c r="AL30" i="117"/>
  <c r="AZ23" i="117"/>
  <c r="AX23" i="117"/>
  <c r="AZ22" i="117"/>
  <c r="AX22" i="117"/>
  <c r="AT21" i="117"/>
  <c r="AV21" i="117" s="1"/>
  <c r="AP21" i="117"/>
  <c r="AR21" i="117" s="1"/>
  <c r="AL21" i="117"/>
  <c r="AT20" i="117"/>
  <c r="AV20" i="117" s="1"/>
  <c r="AP20" i="117"/>
  <c r="AL20" i="117"/>
  <c r="AZ13" i="117"/>
  <c r="O35" i="56" s="1"/>
  <c r="AX13" i="117"/>
  <c r="N35" i="56" s="1"/>
  <c r="AV13" i="117"/>
  <c r="AT13" i="117"/>
  <c r="AR13" i="117"/>
  <c r="AP13" i="117"/>
  <c r="AN13" i="117"/>
  <c r="AL13" i="117"/>
  <c r="AZ12" i="117"/>
  <c r="S35" i="56" s="1"/>
  <c r="AX12" i="117"/>
  <c r="R35" i="56" s="1"/>
  <c r="AV12" i="117"/>
  <c r="AT12" i="117"/>
  <c r="AR12" i="117"/>
  <c r="J35" i="56" s="1"/>
  <c r="AP12" i="117"/>
  <c r="I35" i="56" s="1"/>
  <c r="AN12" i="117"/>
  <c r="E35" i="56" s="1"/>
  <c r="AL12" i="117"/>
  <c r="D35" i="56" s="1"/>
  <c r="AZ11" i="117"/>
  <c r="M35" i="56" s="1"/>
  <c r="AX11" i="117"/>
  <c r="L35" i="56" s="1"/>
  <c r="AV11" i="117"/>
  <c r="AT11" i="117"/>
  <c r="AR11" i="117"/>
  <c r="AP11" i="117"/>
  <c r="AN11" i="117"/>
  <c r="AL11" i="117"/>
  <c r="AZ10" i="117"/>
  <c r="AX10" i="117"/>
  <c r="P35" i="56" s="1"/>
  <c r="AV10" i="117"/>
  <c r="AT10" i="117"/>
  <c r="AR10" i="117"/>
  <c r="H35" i="56" s="1"/>
  <c r="AP10" i="117"/>
  <c r="AN10" i="117"/>
  <c r="AL10" i="117"/>
  <c r="B35" i="56" s="1"/>
  <c r="AD6" i="117"/>
  <c r="AG4" i="117"/>
  <c r="AF4" i="117"/>
  <c r="O4" i="117"/>
  <c r="N4" i="117"/>
  <c r="BA2" i="117"/>
  <c r="AS2" i="117"/>
  <c r="N2" i="117"/>
  <c r="H2" i="117"/>
  <c r="AT72" i="116"/>
  <c r="AQ72" i="116"/>
  <c r="AP72" i="116"/>
  <c r="AN72" i="116"/>
  <c r="AM72" i="116"/>
  <c r="AQ70" i="116"/>
  <c r="AP70" i="116"/>
  <c r="AA34" i="56" s="1"/>
  <c r="AN70" i="116"/>
  <c r="AM70" i="116"/>
  <c r="AQ69" i="116"/>
  <c r="AP69" i="116"/>
  <c r="Y34" i="56" s="1"/>
  <c r="AN69" i="116"/>
  <c r="AO69" i="116" s="1"/>
  <c r="AM69" i="116"/>
  <c r="AQ68" i="116"/>
  <c r="AP68" i="116"/>
  <c r="AP34" i="56" s="1"/>
  <c r="AN68" i="116"/>
  <c r="AO68" i="116" s="1"/>
  <c r="AM68" i="116"/>
  <c r="AQ67" i="116"/>
  <c r="AP67" i="116"/>
  <c r="AN34" i="56" s="1"/>
  <c r="AN67" i="116"/>
  <c r="AO67" i="116" s="1"/>
  <c r="AM67" i="116"/>
  <c r="AQ66" i="116"/>
  <c r="AP66" i="116"/>
  <c r="AF34" i="56" s="1"/>
  <c r="AN66" i="116"/>
  <c r="AO66" i="116" s="1"/>
  <c r="AM66" i="116"/>
  <c r="BB65" i="116"/>
  <c r="AQ65" i="116"/>
  <c r="AI34" i="56" s="1"/>
  <c r="AP65" i="116"/>
  <c r="AH34" i="56" s="1"/>
  <c r="AN65" i="116"/>
  <c r="AO65" i="116" s="1"/>
  <c r="AM65" i="116"/>
  <c r="BB64" i="116"/>
  <c r="AQ64" i="116"/>
  <c r="AP64" i="116"/>
  <c r="AL34" i="56" s="1"/>
  <c r="AN64" i="116"/>
  <c r="AO64" i="116" s="1"/>
  <c r="AM64" i="116"/>
  <c r="BB63" i="116"/>
  <c r="AQ63" i="116"/>
  <c r="AP63" i="116"/>
  <c r="AJ34" i="56" s="1"/>
  <c r="AN63" i="116"/>
  <c r="AO63" i="116" s="1"/>
  <c r="AM63" i="116"/>
  <c r="BB62" i="116"/>
  <c r="AQ62" i="116"/>
  <c r="AP62" i="116"/>
  <c r="AD34" i="56" s="1"/>
  <c r="AN62" i="116"/>
  <c r="AM62" i="116"/>
  <c r="BB61" i="116"/>
  <c r="AQ61" i="116"/>
  <c r="AR61" i="116" s="1"/>
  <c r="AP61" i="116"/>
  <c r="W34" i="56" s="1"/>
  <c r="AN61" i="116"/>
  <c r="AO61" i="116" s="1"/>
  <c r="AM61" i="116"/>
  <c r="BB60" i="116"/>
  <c r="AQ60" i="116"/>
  <c r="AP60" i="116"/>
  <c r="U34" i="56" s="1"/>
  <c r="AN60" i="116"/>
  <c r="AO60" i="116" s="1"/>
  <c r="AM60" i="116"/>
  <c r="BB59" i="116"/>
  <c r="AQ57" i="116"/>
  <c r="AN57" i="116"/>
  <c r="AQ56" i="116"/>
  <c r="AP56" i="116"/>
  <c r="AN56" i="116"/>
  <c r="AM56" i="116"/>
  <c r="AQ55" i="116"/>
  <c r="AP55" i="116"/>
  <c r="AN55" i="116"/>
  <c r="AM55" i="116"/>
  <c r="AQ54" i="116"/>
  <c r="AP54" i="116"/>
  <c r="AN54" i="116"/>
  <c r="AM54" i="116"/>
  <c r="AQ53" i="116"/>
  <c r="AP53" i="116"/>
  <c r="AN53" i="116"/>
  <c r="AM53" i="116"/>
  <c r="AZ30" i="116"/>
  <c r="AZ31" i="116" s="1"/>
  <c r="AX30" i="116"/>
  <c r="AX31" i="116" s="1"/>
  <c r="J6" i="116" s="1"/>
  <c r="AW30" i="116"/>
  <c r="AU30" i="116"/>
  <c r="AS30" i="116"/>
  <c r="AR30" i="116"/>
  <c r="AP30" i="116"/>
  <c r="AN30" i="116"/>
  <c r="AL30" i="116"/>
  <c r="AZ23" i="116"/>
  <c r="AX23" i="116"/>
  <c r="AZ22" i="116"/>
  <c r="AX22" i="116"/>
  <c r="AT21" i="116"/>
  <c r="AV21" i="116" s="1"/>
  <c r="AP21" i="116"/>
  <c r="AR21" i="116" s="1"/>
  <c r="AL21" i="116"/>
  <c r="AT20" i="116"/>
  <c r="AV20" i="116" s="1"/>
  <c r="AP20" i="116"/>
  <c r="AR20" i="116" s="1"/>
  <c r="AR24" i="116" s="1"/>
  <c r="AR15" i="116" s="1"/>
  <c r="AL20" i="116"/>
  <c r="AZ13" i="116"/>
  <c r="O34" i="56" s="1"/>
  <c r="AX13" i="116"/>
  <c r="N34" i="56" s="1"/>
  <c r="AV13" i="116"/>
  <c r="AT13" i="116"/>
  <c r="AR13" i="116"/>
  <c r="AP13" i="116"/>
  <c r="AN13" i="116"/>
  <c r="AL13" i="116"/>
  <c r="AZ12" i="116"/>
  <c r="S34" i="56" s="1"/>
  <c r="AX12" i="116"/>
  <c r="R34" i="56" s="1"/>
  <c r="AV12" i="116"/>
  <c r="AT12" i="116"/>
  <c r="AR12" i="116"/>
  <c r="J34" i="56" s="1"/>
  <c r="AP12" i="116"/>
  <c r="I34" i="56" s="1"/>
  <c r="AN12" i="116"/>
  <c r="E34" i="56" s="1"/>
  <c r="AL12" i="116"/>
  <c r="AZ11" i="116"/>
  <c r="M34" i="56" s="1"/>
  <c r="AX11" i="116"/>
  <c r="L34" i="56" s="1"/>
  <c r="AV11" i="116"/>
  <c r="AT11" i="116"/>
  <c r="AR11" i="116"/>
  <c r="AP11" i="116"/>
  <c r="AN11" i="116"/>
  <c r="AL11" i="116"/>
  <c r="AZ10" i="116"/>
  <c r="Q34" i="56" s="1"/>
  <c r="AX10" i="116"/>
  <c r="P34" i="56" s="1"/>
  <c r="AV10" i="116"/>
  <c r="AT10" i="116"/>
  <c r="AR10" i="116"/>
  <c r="H34" i="56" s="1"/>
  <c r="AP10" i="116"/>
  <c r="G34" i="56" s="1"/>
  <c r="AN10" i="116"/>
  <c r="C34" i="56" s="1"/>
  <c r="AL10" i="116"/>
  <c r="B34" i="56" s="1"/>
  <c r="AD6" i="116"/>
  <c r="AG4" i="116"/>
  <c r="AF4" i="116"/>
  <c r="O4" i="116"/>
  <c r="N4" i="116"/>
  <c r="BA2" i="116"/>
  <c r="AS2" i="116"/>
  <c r="N2" i="116"/>
  <c r="H2" i="116"/>
  <c r="AT72" i="115"/>
  <c r="AQ72" i="115"/>
  <c r="AP72" i="115"/>
  <c r="AN72" i="115"/>
  <c r="AM72" i="115"/>
  <c r="AQ70" i="115"/>
  <c r="AP70" i="115"/>
  <c r="AA33" i="56" s="1"/>
  <c r="AN70" i="115"/>
  <c r="AM70" i="115"/>
  <c r="AQ69" i="115"/>
  <c r="AP69" i="115"/>
  <c r="Y33" i="56" s="1"/>
  <c r="AN69" i="115"/>
  <c r="AO69" i="115" s="1"/>
  <c r="AM69" i="115"/>
  <c r="AQ68" i="115"/>
  <c r="AP68" i="115"/>
  <c r="AP33" i="56" s="1"/>
  <c r="AO68" i="115"/>
  <c r="AM68" i="115"/>
  <c r="AQ67" i="115"/>
  <c r="AP67" i="115"/>
  <c r="AN33" i="56" s="1"/>
  <c r="AN67" i="115"/>
  <c r="AO67" i="115" s="1"/>
  <c r="AM67" i="115"/>
  <c r="AQ66" i="115"/>
  <c r="AP66" i="115"/>
  <c r="AF33" i="56" s="1"/>
  <c r="AN66" i="115"/>
  <c r="AO66" i="115" s="1"/>
  <c r="AM66" i="115"/>
  <c r="BB65" i="115"/>
  <c r="AQ65" i="115"/>
  <c r="AP65" i="115"/>
  <c r="AH33" i="56" s="1"/>
  <c r="AN65" i="115"/>
  <c r="AO65" i="115" s="1"/>
  <c r="AM65" i="115"/>
  <c r="BB64" i="115"/>
  <c r="AQ64" i="115"/>
  <c r="AM33" i="56" s="1"/>
  <c r="AP64" i="115"/>
  <c r="AL33" i="56" s="1"/>
  <c r="AN64" i="115"/>
  <c r="AO64" i="115" s="1"/>
  <c r="AM64" i="115"/>
  <c r="BB63" i="115"/>
  <c r="AQ63" i="115"/>
  <c r="AP63" i="115"/>
  <c r="AJ33" i="56" s="1"/>
  <c r="AN63" i="115"/>
  <c r="AO63" i="115" s="1"/>
  <c r="AM63" i="115"/>
  <c r="BB62" i="115"/>
  <c r="AQ62" i="115"/>
  <c r="AP62" i="115"/>
  <c r="AD33" i="56" s="1"/>
  <c r="AN62" i="115"/>
  <c r="AM62" i="115"/>
  <c r="BB61" i="115"/>
  <c r="AQ61" i="115"/>
  <c r="AR61" i="115" s="1"/>
  <c r="AP61" i="115"/>
  <c r="W33" i="56" s="1"/>
  <c r="AN61" i="115"/>
  <c r="AM61" i="115"/>
  <c r="BB60" i="115"/>
  <c r="AQ60" i="115"/>
  <c r="V33" i="56" s="1"/>
  <c r="AP60" i="115"/>
  <c r="U33" i="56" s="1"/>
  <c r="AN60" i="115"/>
  <c r="AM60" i="115"/>
  <c r="BB59" i="115"/>
  <c r="AQ57" i="115"/>
  <c r="AN57" i="115"/>
  <c r="AQ56" i="115"/>
  <c r="AP56" i="115"/>
  <c r="AN56" i="115"/>
  <c r="AM56" i="115"/>
  <c r="AQ55" i="115"/>
  <c r="AP55" i="115"/>
  <c r="AN55" i="115"/>
  <c r="AM55" i="115"/>
  <c r="AQ54" i="115"/>
  <c r="AP54" i="115"/>
  <c r="AN54" i="115"/>
  <c r="AM54" i="115"/>
  <c r="AQ53" i="115"/>
  <c r="AP53" i="115"/>
  <c r="AN53" i="115"/>
  <c r="AM53" i="115"/>
  <c r="AZ30" i="115"/>
  <c r="AZ31" i="115" s="1"/>
  <c r="AX30" i="115"/>
  <c r="AX31" i="115" s="1"/>
  <c r="J6" i="115" s="1"/>
  <c r="AW30" i="115"/>
  <c r="AU30" i="115"/>
  <c r="AS30" i="115"/>
  <c r="AR30" i="115"/>
  <c r="AP30" i="115"/>
  <c r="AN30" i="115"/>
  <c r="AL30" i="115"/>
  <c r="AZ23" i="115"/>
  <c r="AX23" i="115"/>
  <c r="AZ22" i="115"/>
  <c r="AX22" i="115"/>
  <c r="AT21" i="115"/>
  <c r="AV21" i="115" s="1"/>
  <c r="AP21" i="115"/>
  <c r="AR21" i="115" s="1"/>
  <c r="AL21" i="115"/>
  <c r="AT20" i="115"/>
  <c r="AV20" i="115" s="1"/>
  <c r="AP20" i="115"/>
  <c r="AL20" i="115"/>
  <c r="AZ13" i="115"/>
  <c r="O33" i="56" s="1"/>
  <c r="AX13" i="115"/>
  <c r="N33" i="56" s="1"/>
  <c r="AV13" i="115"/>
  <c r="AT13" i="115"/>
  <c r="AR13" i="115"/>
  <c r="AP13" i="115"/>
  <c r="AN13" i="115"/>
  <c r="AL13" i="115"/>
  <c r="AZ12" i="115"/>
  <c r="S33" i="56" s="1"/>
  <c r="AX12" i="115"/>
  <c r="R33" i="56" s="1"/>
  <c r="AV12" i="115"/>
  <c r="AT12" i="115"/>
  <c r="AR12" i="115"/>
  <c r="J33" i="56" s="1"/>
  <c r="AP12" i="115"/>
  <c r="I33" i="56" s="1"/>
  <c r="AN12" i="115"/>
  <c r="E33" i="56" s="1"/>
  <c r="AL12" i="115"/>
  <c r="AZ11" i="115"/>
  <c r="M33" i="56" s="1"/>
  <c r="AX11" i="115"/>
  <c r="L33" i="56" s="1"/>
  <c r="AV11" i="115"/>
  <c r="AT11" i="115"/>
  <c r="AR11" i="115"/>
  <c r="AP11" i="115"/>
  <c r="AN11" i="115"/>
  <c r="AL11" i="115"/>
  <c r="AZ10" i="115"/>
  <c r="Q33" i="56" s="1"/>
  <c r="AX10" i="115"/>
  <c r="AV10" i="115"/>
  <c r="AT10" i="115"/>
  <c r="AR10" i="115"/>
  <c r="H33" i="56" s="1"/>
  <c r="AP10" i="115"/>
  <c r="G33" i="56" s="1"/>
  <c r="AN10" i="115"/>
  <c r="C33" i="56" s="1"/>
  <c r="AL10" i="115"/>
  <c r="AD6" i="115"/>
  <c r="AG4" i="115"/>
  <c r="AF4" i="115"/>
  <c r="O4" i="115"/>
  <c r="N4" i="115"/>
  <c r="BA2" i="115"/>
  <c r="AS2" i="115"/>
  <c r="N2" i="115"/>
  <c r="H2" i="115"/>
  <c r="AT72" i="114"/>
  <c r="AQ72" i="114"/>
  <c r="AP72" i="114"/>
  <c r="AN72" i="114"/>
  <c r="AM72" i="114"/>
  <c r="AQ70" i="114"/>
  <c r="AP70" i="114"/>
  <c r="AA32" i="56" s="1"/>
  <c r="AN70" i="114"/>
  <c r="AM70" i="114"/>
  <c r="AQ69" i="114"/>
  <c r="AP69" i="114"/>
  <c r="Y32" i="56" s="1"/>
  <c r="AN69" i="114"/>
  <c r="AO69" i="114" s="1"/>
  <c r="AM69" i="114"/>
  <c r="AQ68" i="114"/>
  <c r="AQ32" i="56" s="1"/>
  <c r="AP68" i="114"/>
  <c r="AP32" i="56" s="1"/>
  <c r="AN68" i="114"/>
  <c r="AO68" i="114" s="1"/>
  <c r="AM68" i="114"/>
  <c r="AQ67" i="114"/>
  <c r="AO32" i="56" s="1"/>
  <c r="AP67" i="114"/>
  <c r="AN32" i="56" s="1"/>
  <c r="AN67" i="114"/>
  <c r="AO67" i="114" s="1"/>
  <c r="AM67" i="114"/>
  <c r="AQ66" i="114"/>
  <c r="AG32" i="56" s="1"/>
  <c r="AP66" i="114"/>
  <c r="AF32" i="56" s="1"/>
  <c r="AN66" i="114"/>
  <c r="AO66" i="114" s="1"/>
  <c r="AM66" i="114"/>
  <c r="BB65" i="114"/>
  <c r="AQ65" i="114"/>
  <c r="AP65" i="114"/>
  <c r="AH32" i="56" s="1"/>
  <c r="AN65" i="114"/>
  <c r="AO65" i="114" s="1"/>
  <c r="AM65" i="114"/>
  <c r="BB64" i="114"/>
  <c r="AQ64" i="114"/>
  <c r="AP64" i="114"/>
  <c r="AL32" i="56" s="1"/>
  <c r="AN64" i="114"/>
  <c r="AO64" i="114" s="1"/>
  <c r="AM64" i="114"/>
  <c r="BB63" i="114"/>
  <c r="AQ63" i="114"/>
  <c r="AP63" i="114"/>
  <c r="AJ32" i="56" s="1"/>
  <c r="AN63" i="114"/>
  <c r="AO63" i="114" s="1"/>
  <c r="AM63" i="114"/>
  <c r="BB62" i="114"/>
  <c r="AQ62" i="114"/>
  <c r="AP62" i="114"/>
  <c r="AD32" i="56" s="1"/>
  <c r="AN62" i="114"/>
  <c r="AM62" i="114"/>
  <c r="BB61" i="114"/>
  <c r="AQ61" i="114"/>
  <c r="AR61" i="114" s="1"/>
  <c r="AP61" i="114"/>
  <c r="W32" i="56" s="1"/>
  <c r="AN61" i="114"/>
  <c r="AO61" i="114" s="1"/>
  <c r="AM61" i="114"/>
  <c r="BB60" i="114"/>
  <c r="AQ60" i="114"/>
  <c r="V32" i="56" s="1"/>
  <c r="AP60" i="114"/>
  <c r="U32" i="56" s="1"/>
  <c r="AN60" i="114"/>
  <c r="AM60" i="114"/>
  <c r="BB59" i="114"/>
  <c r="AQ57" i="114"/>
  <c r="AN57" i="114"/>
  <c r="AQ56" i="114"/>
  <c r="AP56" i="114"/>
  <c r="AN56" i="114"/>
  <c r="AM56" i="114"/>
  <c r="AQ55" i="114"/>
  <c r="AP55" i="114"/>
  <c r="AN55" i="114"/>
  <c r="AM55" i="114"/>
  <c r="AQ54" i="114"/>
  <c r="AP54" i="114"/>
  <c r="AN54" i="114"/>
  <c r="AM54" i="114"/>
  <c r="AQ53" i="114"/>
  <c r="AP53" i="114"/>
  <c r="AN53" i="114"/>
  <c r="AM53" i="114"/>
  <c r="AZ30" i="114"/>
  <c r="AZ31" i="114" s="1"/>
  <c r="AX30" i="114"/>
  <c r="AX31" i="114" s="1"/>
  <c r="J6" i="114" s="1"/>
  <c r="AW30" i="114"/>
  <c r="AU30" i="114"/>
  <c r="AS30" i="114"/>
  <c r="AR30" i="114"/>
  <c r="AP30" i="114"/>
  <c r="AN30" i="114"/>
  <c r="AL30" i="114"/>
  <c r="AZ23" i="114"/>
  <c r="AX23" i="114"/>
  <c r="AZ22" i="114"/>
  <c r="AX22" i="114"/>
  <c r="AT21" i="114"/>
  <c r="AV21" i="114" s="1"/>
  <c r="AP21" i="114"/>
  <c r="AR21" i="114" s="1"/>
  <c r="AL21" i="114"/>
  <c r="AT20" i="114"/>
  <c r="AV20" i="114" s="1"/>
  <c r="AP20" i="114"/>
  <c r="AL20" i="114"/>
  <c r="AZ13" i="114"/>
  <c r="O32" i="56" s="1"/>
  <c r="AX13" i="114"/>
  <c r="N32" i="56" s="1"/>
  <c r="AV13" i="114"/>
  <c r="AT13" i="114"/>
  <c r="AR13" i="114"/>
  <c r="AP13" i="114"/>
  <c r="AN13" i="114"/>
  <c r="AL13" i="114"/>
  <c r="AZ12" i="114"/>
  <c r="S32" i="56" s="1"/>
  <c r="AX12" i="114"/>
  <c r="R32" i="56" s="1"/>
  <c r="AV12" i="114"/>
  <c r="AT12" i="114"/>
  <c r="AR12" i="114"/>
  <c r="J32" i="56" s="1"/>
  <c r="AP12" i="114"/>
  <c r="I32" i="56" s="1"/>
  <c r="AN12" i="114"/>
  <c r="E32" i="56" s="1"/>
  <c r="AL12" i="114"/>
  <c r="AZ11" i="114"/>
  <c r="M32" i="56" s="1"/>
  <c r="AX11" i="114"/>
  <c r="L32" i="56" s="1"/>
  <c r="AV11" i="114"/>
  <c r="AT11" i="114"/>
  <c r="AR11" i="114"/>
  <c r="AP11" i="114"/>
  <c r="AN11" i="114"/>
  <c r="AL11" i="114"/>
  <c r="AZ10" i="114"/>
  <c r="Q32" i="56" s="1"/>
  <c r="AX10" i="114"/>
  <c r="P32" i="56" s="1"/>
  <c r="AV10" i="114"/>
  <c r="AT10" i="114"/>
  <c r="H32" i="56"/>
  <c r="AP10" i="114"/>
  <c r="AN10" i="114"/>
  <c r="C32" i="56" s="1"/>
  <c r="AL10" i="114"/>
  <c r="B32" i="56" s="1"/>
  <c r="AD6" i="114"/>
  <c r="O4" i="114"/>
  <c r="N4" i="114"/>
  <c r="BA2" i="114"/>
  <c r="AS2" i="114"/>
  <c r="N2" i="114"/>
  <c r="H2" i="114"/>
  <c r="AT72" i="113"/>
  <c r="AQ72" i="113"/>
  <c r="AP72" i="113"/>
  <c r="AN72" i="113"/>
  <c r="AM72" i="113"/>
  <c r="AQ70" i="113"/>
  <c r="AP70" i="113"/>
  <c r="AA31" i="56" s="1"/>
  <c r="AN70" i="113"/>
  <c r="AO70" i="113" s="1"/>
  <c r="AM70" i="113"/>
  <c r="AQ69" i="113"/>
  <c r="AP69" i="113"/>
  <c r="Y31" i="56" s="1"/>
  <c r="AN69" i="113"/>
  <c r="AO69" i="113" s="1"/>
  <c r="AM69" i="113"/>
  <c r="AQ68" i="113"/>
  <c r="AP68" i="113"/>
  <c r="AP31" i="56" s="1"/>
  <c r="AN68" i="113"/>
  <c r="AO68" i="113" s="1"/>
  <c r="AM68" i="113"/>
  <c r="AQ67" i="113"/>
  <c r="AP67" i="113"/>
  <c r="AN31" i="56" s="1"/>
  <c r="AN67" i="113"/>
  <c r="AO67" i="113" s="1"/>
  <c r="AM67" i="113"/>
  <c r="AQ66" i="113"/>
  <c r="AP66" i="113"/>
  <c r="AF31" i="56" s="1"/>
  <c r="AN66" i="113"/>
  <c r="AO66" i="113" s="1"/>
  <c r="AM66" i="113"/>
  <c r="BB65" i="113"/>
  <c r="AQ65" i="113"/>
  <c r="AP65" i="113"/>
  <c r="AH31" i="56" s="1"/>
  <c r="AN65" i="113"/>
  <c r="AO65" i="113" s="1"/>
  <c r="AM65" i="113"/>
  <c r="BB64" i="113"/>
  <c r="AQ64" i="113"/>
  <c r="AM31" i="56" s="1"/>
  <c r="AP64" i="113"/>
  <c r="AL31" i="56" s="1"/>
  <c r="AN64" i="113"/>
  <c r="AO64" i="113" s="1"/>
  <c r="AM64" i="113"/>
  <c r="BB63" i="113"/>
  <c r="AQ63" i="113"/>
  <c r="AP63" i="113"/>
  <c r="AJ31" i="56" s="1"/>
  <c r="AN63" i="113"/>
  <c r="AO63" i="113" s="1"/>
  <c r="AM63" i="113"/>
  <c r="BB62" i="113"/>
  <c r="AQ62" i="113"/>
  <c r="AP62" i="113"/>
  <c r="AD31" i="56" s="1"/>
  <c r="AN62" i="113"/>
  <c r="AM62" i="113"/>
  <c r="BB61" i="113"/>
  <c r="AQ61" i="113"/>
  <c r="AR61" i="113" s="1"/>
  <c r="AP61" i="113"/>
  <c r="W31" i="56" s="1"/>
  <c r="AN61" i="113"/>
  <c r="AM61" i="113"/>
  <c r="BB60" i="113"/>
  <c r="AQ60" i="113"/>
  <c r="AP60" i="113"/>
  <c r="U31" i="56" s="1"/>
  <c r="AN60" i="113"/>
  <c r="AM60" i="113"/>
  <c r="BB59" i="113"/>
  <c r="AQ57" i="113"/>
  <c r="AN57" i="113"/>
  <c r="AQ56" i="113"/>
  <c r="AP56" i="113"/>
  <c r="AN56" i="113"/>
  <c r="AM56" i="113"/>
  <c r="AQ55" i="113"/>
  <c r="AP55" i="113"/>
  <c r="AN55" i="113"/>
  <c r="AM55" i="113"/>
  <c r="AQ54" i="113"/>
  <c r="AP54" i="113"/>
  <c r="AN54" i="113"/>
  <c r="AM54" i="113"/>
  <c r="AQ53" i="113"/>
  <c r="AP53" i="113"/>
  <c r="AN53" i="113"/>
  <c r="AM53" i="113"/>
  <c r="AZ30" i="113"/>
  <c r="AZ31" i="113" s="1"/>
  <c r="AX30" i="113"/>
  <c r="AX31" i="113" s="1"/>
  <c r="J6" i="113" s="1"/>
  <c r="AW30" i="113"/>
  <c r="AU30" i="113"/>
  <c r="AS30" i="113"/>
  <c r="AR30" i="113"/>
  <c r="AP30" i="113"/>
  <c r="AN30" i="113"/>
  <c r="AL30" i="113"/>
  <c r="AZ23" i="113"/>
  <c r="AX23" i="113"/>
  <c r="AZ22" i="113"/>
  <c r="AX22" i="113"/>
  <c r="AT21" i="113"/>
  <c r="AV21" i="113" s="1"/>
  <c r="AP21" i="113"/>
  <c r="AR21" i="113" s="1"/>
  <c r="AL21" i="113"/>
  <c r="AT20" i="113"/>
  <c r="AV20" i="113" s="1"/>
  <c r="AP20" i="113"/>
  <c r="AP24" i="113" s="1"/>
  <c r="AP15" i="113" s="1"/>
  <c r="AL20" i="113"/>
  <c r="AZ13" i="113"/>
  <c r="O31" i="56" s="1"/>
  <c r="AX13" i="113"/>
  <c r="N31" i="56" s="1"/>
  <c r="AV13" i="113"/>
  <c r="AT13" i="113"/>
  <c r="AR13" i="113"/>
  <c r="AP13" i="113"/>
  <c r="AN13" i="113"/>
  <c r="AL13" i="113"/>
  <c r="AZ12" i="113"/>
  <c r="S31" i="56" s="1"/>
  <c r="AX12" i="113"/>
  <c r="R31" i="56" s="1"/>
  <c r="AV12" i="113"/>
  <c r="AT12" i="113"/>
  <c r="AR12" i="113"/>
  <c r="J31" i="56" s="1"/>
  <c r="AP12" i="113"/>
  <c r="I31" i="56" s="1"/>
  <c r="AN12" i="113"/>
  <c r="E31" i="56" s="1"/>
  <c r="AL12" i="113"/>
  <c r="AZ11" i="113"/>
  <c r="M31" i="56" s="1"/>
  <c r="AX11" i="113"/>
  <c r="L31" i="56" s="1"/>
  <c r="AV11" i="113"/>
  <c r="AT11" i="113"/>
  <c r="AR11" i="113"/>
  <c r="AP11" i="113"/>
  <c r="AN11" i="113"/>
  <c r="AL11" i="113"/>
  <c r="AZ10" i="113"/>
  <c r="Q31" i="56" s="1"/>
  <c r="AX10" i="113"/>
  <c r="AV10" i="113"/>
  <c r="AT10" i="113"/>
  <c r="AR10" i="113"/>
  <c r="H31" i="56" s="1"/>
  <c r="AP10" i="113"/>
  <c r="G31" i="56" s="1"/>
  <c r="AN10" i="113"/>
  <c r="C31" i="56" s="1"/>
  <c r="AL10" i="113"/>
  <c r="AD6" i="113"/>
  <c r="AG4" i="113"/>
  <c r="AF4" i="113"/>
  <c r="O4" i="113"/>
  <c r="N4" i="113"/>
  <c r="BA2" i="113"/>
  <c r="AS2" i="113"/>
  <c r="N2" i="113"/>
  <c r="H2" i="113"/>
  <c r="AT72" i="112"/>
  <c r="AQ72" i="112"/>
  <c r="AP72" i="112"/>
  <c r="AN72" i="112"/>
  <c r="AM72" i="112"/>
  <c r="AQ70" i="112"/>
  <c r="AP70" i="112"/>
  <c r="AA30" i="56" s="1"/>
  <c r="AN70" i="112"/>
  <c r="AM70" i="112"/>
  <c r="AQ69" i="112"/>
  <c r="AP69" i="112"/>
  <c r="Y30" i="56" s="1"/>
  <c r="AN69" i="112"/>
  <c r="AM69" i="112"/>
  <c r="AQ68" i="112"/>
  <c r="AP68" i="112"/>
  <c r="AP30" i="56" s="1"/>
  <c r="AN68" i="112"/>
  <c r="AO68" i="112" s="1"/>
  <c r="AM68" i="112"/>
  <c r="AQ67" i="112"/>
  <c r="AO30" i="56" s="1"/>
  <c r="AP67" i="112"/>
  <c r="AN30" i="56" s="1"/>
  <c r="AN67" i="112"/>
  <c r="AO67" i="112" s="1"/>
  <c r="AM67" i="112"/>
  <c r="AQ66" i="112"/>
  <c r="AP66" i="112"/>
  <c r="AF30" i="56" s="1"/>
  <c r="AN66" i="112"/>
  <c r="AO66" i="112" s="1"/>
  <c r="AM66" i="112"/>
  <c r="BB65" i="112"/>
  <c r="AQ65" i="112"/>
  <c r="AP65" i="112"/>
  <c r="AH30" i="56" s="1"/>
  <c r="AN65" i="112"/>
  <c r="AO65" i="112" s="1"/>
  <c r="AM65" i="112"/>
  <c r="BB64" i="112"/>
  <c r="AQ64" i="112"/>
  <c r="AM30" i="56" s="1"/>
  <c r="AP64" i="112"/>
  <c r="AL30" i="56" s="1"/>
  <c r="AN64" i="112"/>
  <c r="AO64" i="112" s="1"/>
  <c r="AM64" i="112"/>
  <c r="BB63" i="112"/>
  <c r="AQ63" i="112"/>
  <c r="AP63" i="112"/>
  <c r="AJ30" i="56" s="1"/>
  <c r="AN63" i="112"/>
  <c r="AO63" i="112" s="1"/>
  <c r="AM63" i="112"/>
  <c r="BB62" i="112"/>
  <c r="AQ62" i="112"/>
  <c r="AP62" i="112"/>
  <c r="AD30" i="56" s="1"/>
  <c r="AN62" i="112"/>
  <c r="AM62" i="112"/>
  <c r="BB61" i="112"/>
  <c r="AQ61" i="112"/>
  <c r="AR61" i="112" s="1"/>
  <c r="AP61" i="112"/>
  <c r="W30" i="56" s="1"/>
  <c r="AN61" i="112"/>
  <c r="AM61" i="112"/>
  <c r="BB60" i="112"/>
  <c r="AQ60" i="112"/>
  <c r="V30" i="56" s="1"/>
  <c r="AP60" i="112"/>
  <c r="U30" i="56" s="1"/>
  <c r="AN60" i="112"/>
  <c r="AM60" i="112"/>
  <c r="BB59" i="112"/>
  <c r="AQ57" i="112"/>
  <c r="AN57" i="112"/>
  <c r="AQ56" i="112"/>
  <c r="AP56" i="112"/>
  <c r="AN56" i="112"/>
  <c r="AM56" i="112"/>
  <c r="AQ55" i="112"/>
  <c r="AP55" i="112"/>
  <c r="AN55" i="112"/>
  <c r="AM55" i="112"/>
  <c r="AQ54" i="112"/>
  <c r="AP54" i="112"/>
  <c r="AN54" i="112"/>
  <c r="AM54" i="112"/>
  <c r="AQ53" i="112"/>
  <c r="AP53" i="112"/>
  <c r="AN53" i="112"/>
  <c r="AM53" i="112"/>
  <c r="AZ30" i="112"/>
  <c r="AZ31" i="112" s="1"/>
  <c r="AX30" i="112"/>
  <c r="AX31" i="112" s="1"/>
  <c r="J6" i="112" s="1"/>
  <c r="AW30" i="112"/>
  <c r="AU30" i="112"/>
  <c r="AS30" i="112"/>
  <c r="AR30" i="112"/>
  <c r="AP30" i="112"/>
  <c r="AN30" i="112"/>
  <c r="AL30" i="112"/>
  <c r="AZ23" i="112"/>
  <c r="AX23" i="112"/>
  <c r="AZ22" i="112"/>
  <c r="AX22" i="112"/>
  <c r="AT21" i="112"/>
  <c r="AV21" i="112" s="1"/>
  <c r="AP21" i="112"/>
  <c r="AR21" i="112" s="1"/>
  <c r="AL21" i="112"/>
  <c r="AT20" i="112"/>
  <c r="AV20" i="112" s="1"/>
  <c r="AP20" i="112"/>
  <c r="AL20" i="112"/>
  <c r="AZ13" i="112"/>
  <c r="O30" i="56" s="1"/>
  <c r="AX13" i="112"/>
  <c r="N30" i="56" s="1"/>
  <c r="AV13" i="112"/>
  <c r="AT13" i="112"/>
  <c r="AR13" i="112"/>
  <c r="AP13" i="112"/>
  <c r="AN13" i="112"/>
  <c r="AL13" i="112"/>
  <c r="AZ12" i="112"/>
  <c r="S30" i="56" s="1"/>
  <c r="AX12" i="112"/>
  <c r="R30" i="56" s="1"/>
  <c r="AV12" i="112"/>
  <c r="AT12" i="112"/>
  <c r="AR12" i="112"/>
  <c r="J30" i="56" s="1"/>
  <c r="AP12" i="112"/>
  <c r="I30" i="56" s="1"/>
  <c r="AN12" i="112"/>
  <c r="E30" i="56" s="1"/>
  <c r="AL12" i="112"/>
  <c r="D30" i="56" s="1"/>
  <c r="AZ11" i="112"/>
  <c r="M30" i="56" s="1"/>
  <c r="AX11" i="112"/>
  <c r="L30" i="56" s="1"/>
  <c r="AV11" i="112"/>
  <c r="AT11" i="112"/>
  <c r="AR11" i="112"/>
  <c r="AP11" i="112"/>
  <c r="AN11" i="112"/>
  <c r="AL11" i="112"/>
  <c r="AZ10" i="112"/>
  <c r="Q30" i="56" s="1"/>
  <c r="AX10" i="112"/>
  <c r="P30" i="56" s="1"/>
  <c r="AV10" i="112"/>
  <c r="AT10" i="112"/>
  <c r="AT14" i="112" s="1"/>
  <c r="AR10" i="112"/>
  <c r="H30" i="56" s="1"/>
  <c r="AP10" i="112"/>
  <c r="AN10" i="112"/>
  <c r="C30" i="56" s="1"/>
  <c r="AL10" i="112"/>
  <c r="B30" i="56" s="1"/>
  <c r="AD6" i="112"/>
  <c r="AG4" i="112"/>
  <c r="AF4" i="112"/>
  <c r="O4" i="112"/>
  <c r="N4" i="112"/>
  <c r="BA2" i="112"/>
  <c r="AS2" i="112"/>
  <c r="N2" i="112"/>
  <c r="H2" i="112"/>
  <c r="AT72" i="111"/>
  <c r="AQ72" i="111"/>
  <c r="AP72" i="111"/>
  <c r="AN72" i="111"/>
  <c r="AM72" i="111"/>
  <c r="AQ70" i="111"/>
  <c r="AP70" i="111"/>
  <c r="AA29" i="56" s="1"/>
  <c r="AN70" i="111"/>
  <c r="AO70" i="111" s="1"/>
  <c r="AM70" i="111"/>
  <c r="AQ69" i="111"/>
  <c r="AP69" i="111"/>
  <c r="Y29" i="56" s="1"/>
  <c r="AN69" i="111"/>
  <c r="AO69" i="111" s="1"/>
  <c r="AM69" i="111"/>
  <c r="AQ68" i="111"/>
  <c r="AP68" i="111"/>
  <c r="AP29" i="56" s="1"/>
  <c r="AN68" i="111"/>
  <c r="AO68" i="111" s="1"/>
  <c r="AM68" i="111"/>
  <c r="AQ67" i="111"/>
  <c r="AP67" i="111"/>
  <c r="AN29" i="56" s="1"/>
  <c r="AN67" i="111"/>
  <c r="AO67" i="111" s="1"/>
  <c r="AM67" i="111"/>
  <c r="AQ66" i="111"/>
  <c r="AP66" i="111"/>
  <c r="AF29" i="56" s="1"/>
  <c r="AN66" i="111"/>
  <c r="AO66" i="111" s="1"/>
  <c r="AM66" i="111"/>
  <c r="BB65" i="111"/>
  <c r="AQ65" i="111"/>
  <c r="AP65" i="111"/>
  <c r="AH29" i="56" s="1"/>
  <c r="AN65" i="111"/>
  <c r="AO65" i="111" s="1"/>
  <c r="AM65" i="111"/>
  <c r="BB64" i="111"/>
  <c r="AQ64" i="111"/>
  <c r="AP64" i="111"/>
  <c r="AL29" i="56" s="1"/>
  <c r="AN64" i="111"/>
  <c r="AO64" i="111" s="1"/>
  <c r="AM64" i="111"/>
  <c r="BB63" i="111"/>
  <c r="AQ63" i="111"/>
  <c r="AP63" i="111"/>
  <c r="AJ29" i="56" s="1"/>
  <c r="AN63" i="111"/>
  <c r="AO63" i="111" s="1"/>
  <c r="AM63" i="111"/>
  <c r="BB62" i="111"/>
  <c r="AQ62" i="111"/>
  <c r="AP62" i="111"/>
  <c r="AD29" i="56" s="1"/>
  <c r="AN62" i="111"/>
  <c r="AM62" i="111"/>
  <c r="BB61" i="111"/>
  <c r="AQ61" i="111"/>
  <c r="AR61" i="111" s="1"/>
  <c r="AP61" i="111"/>
  <c r="W29" i="56" s="1"/>
  <c r="AN61" i="111"/>
  <c r="AM61" i="111"/>
  <c r="BB60" i="111"/>
  <c r="AQ60" i="111"/>
  <c r="AP60" i="111"/>
  <c r="U29" i="56" s="1"/>
  <c r="AN60" i="111"/>
  <c r="AM60" i="111"/>
  <c r="BB59" i="111"/>
  <c r="AQ57" i="111"/>
  <c r="AN57" i="111"/>
  <c r="AQ56" i="111"/>
  <c r="AP56" i="111"/>
  <c r="AN56" i="111"/>
  <c r="AM56" i="111"/>
  <c r="AQ55" i="111"/>
  <c r="AP55" i="111"/>
  <c r="AN55" i="111"/>
  <c r="AM55" i="111"/>
  <c r="AQ54" i="111"/>
  <c r="AP54" i="111"/>
  <c r="AN54" i="111"/>
  <c r="AM54" i="111"/>
  <c r="AQ53" i="111"/>
  <c r="AP53" i="111"/>
  <c r="AN53" i="111"/>
  <c r="AM53" i="111"/>
  <c r="AZ30" i="111"/>
  <c r="AZ31" i="111" s="1"/>
  <c r="AX30" i="111"/>
  <c r="AX31" i="111" s="1"/>
  <c r="J6" i="111" s="1"/>
  <c r="AW30" i="111"/>
  <c r="AU30" i="111"/>
  <c r="AS30" i="111"/>
  <c r="AR30" i="111"/>
  <c r="AP30" i="111"/>
  <c r="AN30" i="111"/>
  <c r="AL30" i="111"/>
  <c r="AZ23" i="111"/>
  <c r="AX23" i="111"/>
  <c r="AZ22" i="111"/>
  <c r="AX22" i="111"/>
  <c r="AT21" i="111"/>
  <c r="AV21" i="111" s="1"/>
  <c r="AP21" i="111"/>
  <c r="AR21" i="111" s="1"/>
  <c r="AL21" i="111"/>
  <c r="AT20" i="111"/>
  <c r="AV20" i="111" s="1"/>
  <c r="AP20" i="111"/>
  <c r="AL20" i="111"/>
  <c r="AZ13" i="111"/>
  <c r="O29" i="56" s="1"/>
  <c r="AX13" i="111"/>
  <c r="N29" i="56" s="1"/>
  <c r="AV13" i="111"/>
  <c r="AT13" i="111"/>
  <c r="AR13" i="111"/>
  <c r="AP13" i="111"/>
  <c r="AN13" i="111"/>
  <c r="AL13" i="111"/>
  <c r="AZ12" i="111"/>
  <c r="S29" i="56" s="1"/>
  <c r="AX12" i="111"/>
  <c r="R29" i="56" s="1"/>
  <c r="AV12" i="111"/>
  <c r="AT12" i="111"/>
  <c r="AR12" i="111"/>
  <c r="J29" i="56" s="1"/>
  <c r="AP12" i="111"/>
  <c r="I29" i="56" s="1"/>
  <c r="AN12" i="111"/>
  <c r="E29" i="56" s="1"/>
  <c r="AL12" i="111"/>
  <c r="D29" i="56" s="1"/>
  <c r="AZ11" i="111"/>
  <c r="M29" i="56" s="1"/>
  <c r="AX11" i="111"/>
  <c r="L29" i="56" s="1"/>
  <c r="AV11" i="111"/>
  <c r="AT11" i="111"/>
  <c r="AR11" i="111"/>
  <c r="AP11" i="111"/>
  <c r="AN11" i="111"/>
  <c r="AL11" i="111"/>
  <c r="AZ10" i="111"/>
  <c r="Q29" i="56" s="1"/>
  <c r="AX10" i="111"/>
  <c r="P29" i="56" s="1"/>
  <c r="AV10" i="111"/>
  <c r="AT10" i="111"/>
  <c r="AR10" i="111"/>
  <c r="H29" i="56" s="1"/>
  <c r="AP10" i="111"/>
  <c r="AN10" i="111"/>
  <c r="C29" i="56" s="1"/>
  <c r="AL10" i="111"/>
  <c r="B29" i="56" s="1"/>
  <c r="AD6" i="111"/>
  <c r="AG4" i="111"/>
  <c r="AF4" i="111"/>
  <c r="O4" i="111"/>
  <c r="N4" i="111"/>
  <c r="BA2" i="111"/>
  <c r="AS2" i="111"/>
  <c r="N2" i="111"/>
  <c r="H2" i="111"/>
  <c r="AT72" i="110"/>
  <c r="AQ72" i="110"/>
  <c r="AP72" i="110"/>
  <c r="AN72" i="110"/>
  <c r="AM72" i="110"/>
  <c r="AQ70" i="110"/>
  <c r="AP70" i="110"/>
  <c r="AA28" i="56" s="1"/>
  <c r="AN70" i="110"/>
  <c r="AO70" i="110" s="1"/>
  <c r="AM70" i="110"/>
  <c r="AQ69" i="110"/>
  <c r="AP69" i="110"/>
  <c r="Y28" i="56" s="1"/>
  <c r="AN69" i="110"/>
  <c r="AM69" i="110"/>
  <c r="AQ68" i="110"/>
  <c r="AP68" i="110"/>
  <c r="AP28" i="56" s="1"/>
  <c r="AN68" i="110"/>
  <c r="AO68" i="110" s="1"/>
  <c r="AM68" i="110"/>
  <c r="AQ67" i="110"/>
  <c r="AP67" i="110"/>
  <c r="AN28" i="56" s="1"/>
  <c r="AN67" i="110"/>
  <c r="AO67" i="110" s="1"/>
  <c r="AM67" i="110"/>
  <c r="AQ66" i="110"/>
  <c r="AP66" i="110"/>
  <c r="AF28" i="56" s="1"/>
  <c r="AN66" i="110"/>
  <c r="AO66" i="110" s="1"/>
  <c r="AM66" i="110"/>
  <c r="BB65" i="110"/>
  <c r="AQ65" i="110"/>
  <c r="AI28" i="56" s="1"/>
  <c r="AP65" i="110"/>
  <c r="AH28" i="56" s="1"/>
  <c r="AN65" i="110"/>
  <c r="AO65" i="110" s="1"/>
  <c r="AM65" i="110"/>
  <c r="BB64" i="110"/>
  <c r="AQ64" i="110"/>
  <c r="AM28" i="56" s="1"/>
  <c r="AP64" i="110"/>
  <c r="AL28" i="56" s="1"/>
  <c r="AN64" i="110"/>
  <c r="AO64" i="110" s="1"/>
  <c r="AM64" i="110"/>
  <c r="BB63" i="110"/>
  <c r="AQ63" i="110"/>
  <c r="AP63" i="110"/>
  <c r="AJ28" i="56" s="1"/>
  <c r="AN63" i="110"/>
  <c r="AO63" i="110" s="1"/>
  <c r="AM63" i="110"/>
  <c r="BB62" i="110"/>
  <c r="AQ62" i="110"/>
  <c r="AP62" i="110"/>
  <c r="AD28" i="56" s="1"/>
  <c r="AN62" i="110"/>
  <c r="AM62" i="110"/>
  <c r="BB61" i="110"/>
  <c r="AQ61" i="110"/>
  <c r="AR61" i="110" s="1"/>
  <c r="AP61" i="110"/>
  <c r="W28" i="56" s="1"/>
  <c r="AN61" i="110"/>
  <c r="AM61" i="110"/>
  <c r="BB60" i="110"/>
  <c r="AQ60" i="110"/>
  <c r="V28" i="56" s="1"/>
  <c r="AP60" i="110"/>
  <c r="U28" i="56" s="1"/>
  <c r="AN60" i="110"/>
  <c r="AO60" i="110" s="1"/>
  <c r="AM60" i="110"/>
  <c r="BB59" i="110"/>
  <c r="AQ57" i="110"/>
  <c r="AN57" i="110"/>
  <c r="AQ56" i="110"/>
  <c r="AP56" i="110"/>
  <c r="AN56" i="110"/>
  <c r="AM56" i="110"/>
  <c r="AQ55" i="110"/>
  <c r="AP55" i="110"/>
  <c r="AN55" i="110"/>
  <c r="AM55" i="110"/>
  <c r="AQ54" i="110"/>
  <c r="AP54" i="110"/>
  <c r="AN54" i="110"/>
  <c r="AM54" i="110"/>
  <c r="AQ53" i="110"/>
  <c r="AP53" i="110"/>
  <c r="AN53" i="110"/>
  <c r="AM53" i="110"/>
  <c r="AZ30" i="110"/>
  <c r="AZ31" i="110" s="1"/>
  <c r="AX30" i="110"/>
  <c r="AX31" i="110" s="1"/>
  <c r="J6" i="110" s="1"/>
  <c r="AW30" i="110"/>
  <c r="AU30" i="110"/>
  <c r="AS30" i="110"/>
  <c r="G25" i="57" s="1"/>
  <c r="AR30" i="110"/>
  <c r="AP30" i="110"/>
  <c r="AN30" i="110"/>
  <c r="AL30" i="110"/>
  <c r="AZ23" i="110"/>
  <c r="AX23" i="110"/>
  <c r="AZ22" i="110"/>
  <c r="AX22" i="110"/>
  <c r="AT21" i="110"/>
  <c r="AV21" i="110" s="1"/>
  <c r="AP21" i="110"/>
  <c r="AL21" i="110"/>
  <c r="AN21" i="110" s="1"/>
  <c r="AT20" i="110"/>
  <c r="AV20" i="110" s="1"/>
  <c r="AP20" i="110"/>
  <c r="AL20" i="110"/>
  <c r="AN20" i="110" s="1"/>
  <c r="AZ13" i="110"/>
  <c r="O28" i="56" s="1"/>
  <c r="AX13" i="110"/>
  <c r="N28" i="56" s="1"/>
  <c r="AV13" i="110"/>
  <c r="AT13" i="110"/>
  <c r="AR13" i="110"/>
  <c r="AP13" i="110"/>
  <c r="AN13" i="110"/>
  <c r="AL13" i="110"/>
  <c r="AZ12" i="110"/>
  <c r="S28" i="56" s="1"/>
  <c r="AX12" i="110"/>
  <c r="R28" i="56" s="1"/>
  <c r="AV12" i="110"/>
  <c r="AT12" i="110"/>
  <c r="AR12" i="110"/>
  <c r="J28" i="56" s="1"/>
  <c r="AP12" i="110"/>
  <c r="I28" i="56" s="1"/>
  <c r="AN12" i="110"/>
  <c r="E28" i="56" s="1"/>
  <c r="AL12" i="110"/>
  <c r="AZ11" i="110"/>
  <c r="M28" i="56" s="1"/>
  <c r="AX11" i="110"/>
  <c r="L28" i="56" s="1"/>
  <c r="AV11" i="110"/>
  <c r="AT11" i="110"/>
  <c r="AR11" i="110"/>
  <c r="AP11" i="110"/>
  <c r="AN11" i="110"/>
  <c r="AL11" i="110"/>
  <c r="AZ10" i="110"/>
  <c r="Q28" i="56" s="1"/>
  <c r="AX10" i="110"/>
  <c r="P28" i="56" s="1"/>
  <c r="AV10" i="110"/>
  <c r="AT10" i="110"/>
  <c r="AR10" i="110"/>
  <c r="H28" i="56" s="1"/>
  <c r="AP10" i="110"/>
  <c r="G28" i="56" s="1"/>
  <c r="AN10" i="110"/>
  <c r="C28" i="56" s="1"/>
  <c r="AL10" i="110"/>
  <c r="B28" i="56" s="1"/>
  <c r="AD6" i="110"/>
  <c r="AG4" i="110"/>
  <c r="AF4" i="110"/>
  <c r="O4" i="110"/>
  <c r="N4" i="110"/>
  <c r="BA2" i="110"/>
  <c r="AS2" i="110"/>
  <c r="N2" i="110"/>
  <c r="H2" i="110"/>
  <c r="AT72" i="109"/>
  <c r="AQ72" i="109"/>
  <c r="AP72" i="109"/>
  <c r="AN72" i="109"/>
  <c r="AM72" i="109"/>
  <c r="AQ70" i="109"/>
  <c r="AP70" i="109"/>
  <c r="AA27" i="56" s="1"/>
  <c r="AN70" i="109"/>
  <c r="AO70" i="109" s="1"/>
  <c r="AM70" i="109"/>
  <c r="AQ69" i="109"/>
  <c r="AP69" i="109"/>
  <c r="Y27" i="56" s="1"/>
  <c r="AN69" i="109"/>
  <c r="AM69" i="109"/>
  <c r="AQ68" i="109"/>
  <c r="AQ27" i="56" s="1"/>
  <c r="AP68" i="109"/>
  <c r="AP27" i="56" s="1"/>
  <c r="AN68" i="109"/>
  <c r="AO68" i="109" s="1"/>
  <c r="AM68" i="109"/>
  <c r="AQ67" i="109"/>
  <c r="AP67" i="109"/>
  <c r="AN27" i="56" s="1"/>
  <c r="AN67" i="109"/>
  <c r="AO67" i="109" s="1"/>
  <c r="AM67" i="109"/>
  <c r="AQ66" i="109"/>
  <c r="AP66" i="109"/>
  <c r="AF27" i="56" s="1"/>
  <c r="AN66" i="109"/>
  <c r="AO66" i="109" s="1"/>
  <c r="AM66" i="109"/>
  <c r="BB65" i="109"/>
  <c r="AQ65" i="109"/>
  <c r="AP65" i="109"/>
  <c r="AH27" i="56" s="1"/>
  <c r="AN65" i="109"/>
  <c r="AO65" i="109" s="1"/>
  <c r="AM65" i="109"/>
  <c r="BB64" i="109"/>
  <c r="AQ64" i="109"/>
  <c r="AP64" i="109"/>
  <c r="AL27" i="56" s="1"/>
  <c r="AN64" i="109"/>
  <c r="AO64" i="109" s="1"/>
  <c r="AM64" i="109"/>
  <c r="BB63" i="109"/>
  <c r="AQ63" i="109"/>
  <c r="AP63" i="109"/>
  <c r="AJ27" i="56" s="1"/>
  <c r="AN63" i="109"/>
  <c r="AO63" i="109" s="1"/>
  <c r="AM63" i="109"/>
  <c r="BB62" i="109"/>
  <c r="AQ62" i="109"/>
  <c r="AP62" i="109"/>
  <c r="AD27" i="56" s="1"/>
  <c r="AN62" i="109"/>
  <c r="AM62" i="109"/>
  <c r="BB61" i="109"/>
  <c r="AQ61" i="109"/>
  <c r="AR61" i="109" s="1"/>
  <c r="AP61" i="109"/>
  <c r="W27" i="56" s="1"/>
  <c r="AN61" i="109"/>
  <c r="AM61" i="109"/>
  <c r="BB60" i="109"/>
  <c r="AQ60" i="109"/>
  <c r="V27" i="56" s="1"/>
  <c r="AP60" i="109"/>
  <c r="U27" i="56" s="1"/>
  <c r="AN60" i="109"/>
  <c r="AO60" i="109" s="1"/>
  <c r="AM60" i="109"/>
  <c r="BB59" i="109"/>
  <c r="AQ57" i="109"/>
  <c r="AN57" i="109"/>
  <c r="AQ56" i="109"/>
  <c r="AP56" i="109"/>
  <c r="AN56" i="109"/>
  <c r="AM56" i="109"/>
  <c r="AQ55" i="109"/>
  <c r="AP55" i="109"/>
  <c r="AN55" i="109"/>
  <c r="AM55" i="109"/>
  <c r="AQ54" i="109"/>
  <c r="AP54" i="109"/>
  <c r="AN54" i="109"/>
  <c r="AM54" i="109"/>
  <c r="AQ53" i="109"/>
  <c r="AP53" i="109"/>
  <c r="AN53" i="109"/>
  <c r="AM53" i="109"/>
  <c r="AZ30" i="109"/>
  <c r="AZ31" i="109" s="1"/>
  <c r="AX30" i="109"/>
  <c r="AX31" i="109" s="1"/>
  <c r="J6" i="109" s="1"/>
  <c r="AW30" i="109"/>
  <c r="AU30" i="109"/>
  <c r="AS30" i="109"/>
  <c r="AR30" i="109"/>
  <c r="AP30" i="109"/>
  <c r="AN30" i="109"/>
  <c r="AL30" i="109"/>
  <c r="AZ23" i="109"/>
  <c r="AX23" i="109"/>
  <c r="AZ22" i="109"/>
  <c r="AX22" i="109"/>
  <c r="AT21" i="109"/>
  <c r="AV21" i="109" s="1"/>
  <c r="AP21" i="109"/>
  <c r="AR21" i="109" s="1"/>
  <c r="AL21" i="109"/>
  <c r="AT20" i="109"/>
  <c r="AV20" i="109" s="1"/>
  <c r="AP20" i="109"/>
  <c r="AL20" i="109"/>
  <c r="AZ13" i="109"/>
  <c r="O27" i="56" s="1"/>
  <c r="AX13" i="109"/>
  <c r="N27" i="56" s="1"/>
  <c r="AV13" i="109"/>
  <c r="AT13" i="109"/>
  <c r="AR13" i="109"/>
  <c r="AP13" i="109"/>
  <c r="AN13" i="109"/>
  <c r="AL13" i="109"/>
  <c r="AZ12" i="109"/>
  <c r="S27" i="56" s="1"/>
  <c r="AX12" i="109"/>
  <c r="R27" i="56" s="1"/>
  <c r="AV12" i="109"/>
  <c r="AT12" i="109"/>
  <c r="AR12" i="109"/>
  <c r="J27" i="56" s="1"/>
  <c r="AP12" i="109"/>
  <c r="I27" i="56" s="1"/>
  <c r="AN12" i="109"/>
  <c r="E27" i="56" s="1"/>
  <c r="AL12" i="109"/>
  <c r="D27" i="56" s="1"/>
  <c r="AZ11" i="109"/>
  <c r="M27" i="56" s="1"/>
  <c r="AX11" i="109"/>
  <c r="L27" i="56" s="1"/>
  <c r="AV11" i="109"/>
  <c r="AT11" i="109"/>
  <c r="AR11" i="109"/>
  <c r="AP11" i="109"/>
  <c r="AN11" i="109"/>
  <c r="AL11" i="109"/>
  <c r="AZ10" i="109"/>
  <c r="Q27" i="56" s="1"/>
  <c r="AX10" i="109"/>
  <c r="P27" i="56" s="1"/>
  <c r="AV10" i="109"/>
  <c r="AT10" i="109"/>
  <c r="AR10" i="109"/>
  <c r="AP10" i="109"/>
  <c r="AN10" i="109"/>
  <c r="C27" i="56" s="1"/>
  <c r="AL10" i="109"/>
  <c r="B27" i="56" s="1"/>
  <c r="AD6" i="109"/>
  <c r="AG4" i="109"/>
  <c r="AF4" i="109"/>
  <c r="O4" i="109"/>
  <c r="N4" i="109"/>
  <c r="BA2" i="109"/>
  <c r="AS2" i="109"/>
  <c r="N2" i="109"/>
  <c r="H2" i="109"/>
  <c r="AT72" i="108"/>
  <c r="AQ72" i="108"/>
  <c r="AP72" i="108"/>
  <c r="AN72" i="108"/>
  <c r="AM72" i="108"/>
  <c r="AQ70" i="108"/>
  <c r="AP70" i="108"/>
  <c r="AA26" i="56" s="1"/>
  <c r="AN70" i="108"/>
  <c r="AO70" i="108" s="1"/>
  <c r="AM70" i="108"/>
  <c r="AQ69" i="108"/>
  <c r="AP69" i="108"/>
  <c r="Y26" i="56" s="1"/>
  <c r="AN69" i="108"/>
  <c r="AO69" i="108" s="1"/>
  <c r="AM69" i="108"/>
  <c r="AQ68" i="108"/>
  <c r="AP68" i="108"/>
  <c r="AP26" i="56" s="1"/>
  <c r="AN68" i="108"/>
  <c r="AO68" i="108" s="1"/>
  <c r="AM68" i="108"/>
  <c r="AQ67" i="108"/>
  <c r="AO26" i="56" s="1"/>
  <c r="AP67" i="108"/>
  <c r="AN26" i="56" s="1"/>
  <c r="AN67" i="108"/>
  <c r="AO67" i="108" s="1"/>
  <c r="AM67" i="108"/>
  <c r="AQ66" i="108"/>
  <c r="AG26" i="56" s="1"/>
  <c r="AP66" i="108"/>
  <c r="AF26" i="56" s="1"/>
  <c r="AN66" i="108"/>
  <c r="AO66" i="108" s="1"/>
  <c r="AM66" i="108"/>
  <c r="BB65" i="108"/>
  <c r="AQ65" i="108"/>
  <c r="AI26" i="56" s="1"/>
  <c r="AP65" i="108"/>
  <c r="AH26" i="56" s="1"/>
  <c r="AN65" i="108"/>
  <c r="AO65" i="108" s="1"/>
  <c r="AM65" i="108"/>
  <c r="BB64" i="108"/>
  <c r="AQ64" i="108"/>
  <c r="AP64" i="108"/>
  <c r="AL26" i="56" s="1"/>
  <c r="AN64" i="108"/>
  <c r="AO64" i="108" s="1"/>
  <c r="AM64" i="108"/>
  <c r="BB63" i="108"/>
  <c r="AQ63" i="108"/>
  <c r="AP63" i="108"/>
  <c r="AJ26" i="56" s="1"/>
  <c r="AN63" i="108"/>
  <c r="AO63" i="108" s="1"/>
  <c r="AM63" i="108"/>
  <c r="BB62" i="108"/>
  <c r="AQ62" i="108"/>
  <c r="AP62" i="108"/>
  <c r="AD26" i="56" s="1"/>
  <c r="AN62" i="108"/>
  <c r="AM62" i="108"/>
  <c r="BB61" i="108"/>
  <c r="AQ61" i="108"/>
  <c r="AR61" i="108" s="1"/>
  <c r="AP61" i="108"/>
  <c r="W26" i="56" s="1"/>
  <c r="AN61" i="108"/>
  <c r="AM61" i="108"/>
  <c r="BB60" i="108"/>
  <c r="AQ60" i="108"/>
  <c r="V26" i="56" s="1"/>
  <c r="AP60" i="108"/>
  <c r="U26" i="56" s="1"/>
  <c r="AN60" i="108"/>
  <c r="AO60" i="108" s="1"/>
  <c r="AM60" i="108"/>
  <c r="BB59" i="108"/>
  <c r="AQ57" i="108"/>
  <c r="AN57" i="108"/>
  <c r="AQ56" i="108"/>
  <c r="AP56" i="108"/>
  <c r="AN56" i="108"/>
  <c r="AM56" i="108"/>
  <c r="AQ55" i="108"/>
  <c r="AP55" i="108"/>
  <c r="AN55" i="108"/>
  <c r="AM55" i="108"/>
  <c r="AQ54" i="108"/>
  <c r="AP54" i="108"/>
  <c r="AN54" i="108"/>
  <c r="AM54" i="108"/>
  <c r="AQ53" i="108"/>
  <c r="AP53" i="108"/>
  <c r="AN53" i="108"/>
  <c r="AM53" i="108"/>
  <c r="AZ30" i="108"/>
  <c r="AZ31" i="108" s="1"/>
  <c r="AX30" i="108"/>
  <c r="AX31" i="108" s="1"/>
  <c r="J6" i="108" s="1"/>
  <c r="AW30" i="108"/>
  <c r="AU30" i="108"/>
  <c r="AS30" i="108"/>
  <c r="AR30" i="108"/>
  <c r="AP30" i="108"/>
  <c r="AN30" i="108"/>
  <c r="AL30" i="108"/>
  <c r="AZ23" i="108"/>
  <c r="AX23" i="108"/>
  <c r="AZ22" i="108"/>
  <c r="AX22" i="108"/>
  <c r="AT21" i="108"/>
  <c r="AP21" i="108"/>
  <c r="AR21" i="108" s="1"/>
  <c r="AL21" i="108"/>
  <c r="AT20" i="108"/>
  <c r="AV20" i="108" s="1"/>
  <c r="AP20" i="108"/>
  <c r="AL20" i="108"/>
  <c r="AZ13" i="108"/>
  <c r="O26" i="56" s="1"/>
  <c r="AX13" i="108"/>
  <c r="N26" i="56" s="1"/>
  <c r="AV13" i="108"/>
  <c r="AT13" i="108"/>
  <c r="AR13" i="108"/>
  <c r="AP13" i="108"/>
  <c r="AN13" i="108"/>
  <c r="AL13" i="108"/>
  <c r="AZ12" i="108"/>
  <c r="S26" i="56" s="1"/>
  <c r="AX12" i="108"/>
  <c r="R26" i="56" s="1"/>
  <c r="AV12" i="108"/>
  <c r="AT12" i="108"/>
  <c r="AR12" i="108"/>
  <c r="J26" i="56" s="1"/>
  <c r="AP12" i="108"/>
  <c r="I26" i="56" s="1"/>
  <c r="AN12" i="108"/>
  <c r="E26" i="56" s="1"/>
  <c r="AL12" i="108"/>
  <c r="AZ11" i="108"/>
  <c r="M26" i="56" s="1"/>
  <c r="AX11" i="108"/>
  <c r="L26" i="56" s="1"/>
  <c r="AV11" i="108"/>
  <c r="AT11" i="108"/>
  <c r="AR11" i="108"/>
  <c r="AP11" i="108"/>
  <c r="AN11" i="108"/>
  <c r="AL11" i="108"/>
  <c r="AZ10" i="108"/>
  <c r="Q26" i="56" s="1"/>
  <c r="AX10" i="108"/>
  <c r="P26" i="56" s="1"/>
  <c r="AV10" i="108"/>
  <c r="AT10" i="108"/>
  <c r="AR10" i="108"/>
  <c r="H27" i="56" s="1"/>
  <c r="AP10" i="108"/>
  <c r="G26" i="56" s="1"/>
  <c r="AN10" i="108"/>
  <c r="C26" i="56" s="1"/>
  <c r="AL10" i="108"/>
  <c r="B26" i="56" s="1"/>
  <c r="AD6" i="108"/>
  <c r="AG4" i="108"/>
  <c r="AF4" i="108"/>
  <c r="O4" i="108"/>
  <c r="N4" i="108"/>
  <c r="BA2" i="108"/>
  <c r="AS2" i="108"/>
  <c r="N2" i="108"/>
  <c r="H2" i="108"/>
  <c r="AT72" i="107"/>
  <c r="AQ72" i="107"/>
  <c r="AP72" i="107"/>
  <c r="AN72" i="107"/>
  <c r="AM72" i="107"/>
  <c r="AQ70" i="107"/>
  <c r="AP70" i="107"/>
  <c r="AA25" i="56" s="1"/>
  <c r="AN70" i="107"/>
  <c r="AO70" i="107" s="1"/>
  <c r="AM70" i="107"/>
  <c r="AQ69" i="107"/>
  <c r="AP69" i="107"/>
  <c r="Y25" i="56" s="1"/>
  <c r="AN69" i="107"/>
  <c r="AO69" i="107" s="1"/>
  <c r="AM69" i="107"/>
  <c r="AQ68" i="107"/>
  <c r="AQ25" i="56" s="1"/>
  <c r="AP68" i="107"/>
  <c r="AP25" i="56" s="1"/>
  <c r="AN68" i="107"/>
  <c r="AO68" i="107" s="1"/>
  <c r="AM68" i="107"/>
  <c r="AQ67" i="107"/>
  <c r="AP67" i="107"/>
  <c r="AN25" i="56" s="1"/>
  <c r="AN67" i="107"/>
  <c r="AO67" i="107" s="1"/>
  <c r="AM67" i="107"/>
  <c r="AQ66" i="107"/>
  <c r="AP66" i="107"/>
  <c r="AF25" i="56" s="1"/>
  <c r="AN66" i="107"/>
  <c r="AO66" i="107" s="1"/>
  <c r="AM66" i="107"/>
  <c r="BB65" i="107"/>
  <c r="AQ65" i="107"/>
  <c r="AP65" i="107"/>
  <c r="AH25" i="56" s="1"/>
  <c r="AN65" i="107"/>
  <c r="AO65" i="107" s="1"/>
  <c r="AM65" i="107"/>
  <c r="BB64" i="107"/>
  <c r="AQ64" i="107"/>
  <c r="AP64" i="107"/>
  <c r="AL25" i="56" s="1"/>
  <c r="AN64" i="107"/>
  <c r="AO64" i="107" s="1"/>
  <c r="AM64" i="107"/>
  <c r="BB63" i="107"/>
  <c r="AQ63" i="107"/>
  <c r="AP63" i="107"/>
  <c r="AJ25" i="56" s="1"/>
  <c r="AN63" i="107"/>
  <c r="AO63" i="107" s="1"/>
  <c r="AM63" i="107"/>
  <c r="BB62" i="107"/>
  <c r="AQ62" i="107"/>
  <c r="AP62" i="107"/>
  <c r="AD25" i="56" s="1"/>
  <c r="AN62" i="107"/>
  <c r="AM62" i="107"/>
  <c r="BB61" i="107"/>
  <c r="AQ61" i="107"/>
  <c r="AR61" i="107" s="1"/>
  <c r="AP61" i="107"/>
  <c r="W25" i="56" s="1"/>
  <c r="AN61" i="107"/>
  <c r="AM61" i="107"/>
  <c r="BB60" i="107"/>
  <c r="AQ60" i="107"/>
  <c r="AP60" i="107"/>
  <c r="U25" i="56" s="1"/>
  <c r="AN60" i="107"/>
  <c r="AM60" i="107"/>
  <c r="BB59" i="107"/>
  <c r="AQ57" i="107"/>
  <c r="AN57" i="107"/>
  <c r="AQ56" i="107"/>
  <c r="AP56" i="107"/>
  <c r="AN56" i="107"/>
  <c r="AM56" i="107"/>
  <c r="AQ55" i="107"/>
  <c r="AP55" i="107"/>
  <c r="AN55" i="107"/>
  <c r="AM55" i="107"/>
  <c r="AQ54" i="107"/>
  <c r="AP54" i="107"/>
  <c r="AN54" i="107"/>
  <c r="AM54" i="107"/>
  <c r="AQ53" i="107"/>
  <c r="AP53" i="107"/>
  <c r="AN53" i="107"/>
  <c r="AM53" i="107"/>
  <c r="AZ30" i="107"/>
  <c r="AZ31" i="107" s="1"/>
  <c r="AX30" i="107"/>
  <c r="AX31" i="107" s="1"/>
  <c r="J6" i="107" s="1"/>
  <c r="AW30" i="107"/>
  <c r="AU30" i="107"/>
  <c r="AS30" i="107"/>
  <c r="AR30" i="107"/>
  <c r="AP30" i="107"/>
  <c r="AN30" i="107"/>
  <c r="AL30" i="107"/>
  <c r="AZ23" i="107"/>
  <c r="AX23" i="107"/>
  <c r="AZ22" i="107"/>
  <c r="AX22" i="107"/>
  <c r="AT21" i="107"/>
  <c r="AV21" i="107" s="1"/>
  <c r="AP21" i="107"/>
  <c r="AR21" i="107" s="1"/>
  <c r="AL21" i="107"/>
  <c r="AT20" i="107"/>
  <c r="AV20" i="107" s="1"/>
  <c r="AP20" i="107"/>
  <c r="AL20" i="107"/>
  <c r="AZ13" i="107"/>
  <c r="O25" i="56" s="1"/>
  <c r="AX13" i="107"/>
  <c r="N25" i="56" s="1"/>
  <c r="AV13" i="107"/>
  <c r="AT13" i="107"/>
  <c r="AR13" i="107"/>
  <c r="AP13" i="107"/>
  <c r="AN13" i="107"/>
  <c r="AL13" i="107"/>
  <c r="AZ12" i="107"/>
  <c r="S25" i="56" s="1"/>
  <c r="AX12" i="107"/>
  <c r="R25" i="56" s="1"/>
  <c r="AV12" i="107"/>
  <c r="AT12" i="107"/>
  <c r="AR12" i="107"/>
  <c r="J25" i="56" s="1"/>
  <c r="AP12" i="107"/>
  <c r="I25" i="56" s="1"/>
  <c r="AN12" i="107"/>
  <c r="E25" i="56" s="1"/>
  <c r="AL12" i="107"/>
  <c r="D25" i="56" s="1"/>
  <c r="AZ11" i="107"/>
  <c r="M25" i="56" s="1"/>
  <c r="AX11" i="107"/>
  <c r="L25" i="56" s="1"/>
  <c r="AV11" i="107"/>
  <c r="AT11" i="107"/>
  <c r="AR11" i="107"/>
  <c r="AP11" i="107"/>
  <c r="AN11" i="107"/>
  <c r="AL11" i="107"/>
  <c r="AZ10" i="107"/>
  <c r="Q25" i="56" s="1"/>
  <c r="AX10" i="107"/>
  <c r="P25" i="56" s="1"/>
  <c r="AV10" i="107"/>
  <c r="AT10" i="107"/>
  <c r="AR10" i="107"/>
  <c r="H26" i="56" s="1"/>
  <c r="AP10" i="107"/>
  <c r="AN10" i="107"/>
  <c r="C25" i="56" s="1"/>
  <c r="AL10" i="107"/>
  <c r="B25" i="56" s="1"/>
  <c r="AD6" i="107"/>
  <c r="AG4" i="107"/>
  <c r="AF4" i="107"/>
  <c r="O4" i="107"/>
  <c r="N4" i="107"/>
  <c r="BA2" i="107"/>
  <c r="AS2" i="107"/>
  <c r="N2" i="107"/>
  <c r="H2" i="107"/>
  <c r="AT72" i="106"/>
  <c r="AQ72" i="106"/>
  <c r="AP72" i="106"/>
  <c r="AN72" i="106"/>
  <c r="AM72" i="106"/>
  <c r="AQ70" i="106"/>
  <c r="AP70" i="106"/>
  <c r="AA24" i="56" s="1"/>
  <c r="AN70" i="106"/>
  <c r="AM70" i="106"/>
  <c r="AQ69" i="106"/>
  <c r="AP69" i="106"/>
  <c r="Y24" i="56" s="1"/>
  <c r="AN69" i="106"/>
  <c r="AO69" i="106" s="1"/>
  <c r="AM69" i="106"/>
  <c r="AQ68" i="106"/>
  <c r="AQ24" i="56" s="1"/>
  <c r="AP68" i="106"/>
  <c r="AP24" i="56" s="1"/>
  <c r="AN68" i="106"/>
  <c r="AO68" i="106" s="1"/>
  <c r="AM68" i="106"/>
  <c r="AQ67" i="106"/>
  <c r="AP67" i="106"/>
  <c r="AN24" i="56" s="1"/>
  <c r="AN67" i="106"/>
  <c r="AO67" i="106" s="1"/>
  <c r="AM67" i="106"/>
  <c r="AQ66" i="106"/>
  <c r="AP66" i="106"/>
  <c r="AF24" i="56" s="1"/>
  <c r="AN66" i="106"/>
  <c r="AO66" i="106" s="1"/>
  <c r="AM66" i="106"/>
  <c r="BB65" i="106"/>
  <c r="AQ65" i="106"/>
  <c r="AP65" i="106"/>
  <c r="AH24" i="56" s="1"/>
  <c r="AN65" i="106"/>
  <c r="AO65" i="106" s="1"/>
  <c r="AM65" i="106"/>
  <c r="BB64" i="106"/>
  <c r="AQ64" i="106"/>
  <c r="AP64" i="106"/>
  <c r="AL24" i="56" s="1"/>
  <c r="AN64" i="106"/>
  <c r="AO64" i="106" s="1"/>
  <c r="AM64" i="106"/>
  <c r="BB63" i="106"/>
  <c r="AQ63" i="106"/>
  <c r="AP63" i="106"/>
  <c r="AJ24" i="56" s="1"/>
  <c r="AN63" i="106"/>
  <c r="AM63" i="106"/>
  <c r="BB62" i="106"/>
  <c r="AQ62" i="106"/>
  <c r="AP62" i="106"/>
  <c r="AD24" i="56" s="1"/>
  <c r="AN62" i="106"/>
  <c r="AM62" i="106"/>
  <c r="BB61" i="106"/>
  <c r="AQ61" i="106"/>
  <c r="AR61" i="106" s="1"/>
  <c r="AP61" i="106"/>
  <c r="W24" i="56" s="1"/>
  <c r="AN61" i="106"/>
  <c r="AM61" i="106"/>
  <c r="BB60" i="106"/>
  <c r="AP60" i="106"/>
  <c r="U24" i="56" s="1"/>
  <c r="AN60" i="106"/>
  <c r="AO60" i="106" s="1"/>
  <c r="AM60" i="106"/>
  <c r="BB59" i="106"/>
  <c r="AQ57" i="106"/>
  <c r="AN57" i="106"/>
  <c r="AQ56" i="106"/>
  <c r="AP56" i="106"/>
  <c r="AN56" i="106"/>
  <c r="AM56" i="106"/>
  <c r="AQ55" i="106"/>
  <c r="AP55" i="106"/>
  <c r="AN55" i="106"/>
  <c r="AM55" i="106"/>
  <c r="AQ54" i="106"/>
  <c r="AP54" i="106"/>
  <c r="AN54" i="106"/>
  <c r="AM54" i="106"/>
  <c r="AQ53" i="106"/>
  <c r="AP53" i="106"/>
  <c r="AN53" i="106"/>
  <c r="AM53" i="106"/>
  <c r="AZ30" i="106"/>
  <c r="AZ31" i="106" s="1"/>
  <c r="AX30" i="106"/>
  <c r="AX31" i="106" s="1"/>
  <c r="J6" i="106" s="1"/>
  <c r="AW30" i="106"/>
  <c r="AU30" i="106"/>
  <c r="AS30" i="106"/>
  <c r="AR30" i="106"/>
  <c r="AP30" i="106"/>
  <c r="AN30" i="106"/>
  <c r="AL30" i="106"/>
  <c r="AZ23" i="106"/>
  <c r="AX23" i="106"/>
  <c r="AZ22" i="106"/>
  <c r="AX22" i="106"/>
  <c r="AT21" i="106"/>
  <c r="AV21" i="106" s="1"/>
  <c r="AP21" i="106"/>
  <c r="AR21" i="106" s="1"/>
  <c r="AL21" i="106"/>
  <c r="AN21" i="106" s="1"/>
  <c r="AT20" i="106"/>
  <c r="AV20" i="106" s="1"/>
  <c r="AP20" i="106"/>
  <c r="AL20" i="106"/>
  <c r="AN20" i="106" s="1"/>
  <c r="AZ13" i="106"/>
  <c r="O24" i="56" s="1"/>
  <c r="AX13" i="106"/>
  <c r="N24" i="56" s="1"/>
  <c r="AV13" i="106"/>
  <c r="AT13" i="106"/>
  <c r="AR13" i="106"/>
  <c r="AP13" i="106"/>
  <c r="AN13" i="106"/>
  <c r="AL13" i="106"/>
  <c r="AZ12" i="106"/>
  <c r="S24" i="56" s="1"/>
  <c r="AX12" i="106"/>
  <c r="R24" i="56" s="1"/>
  <c r="AV12" i="106"/>
  <c r="AT12" i="106"/>
  <c r="AR12" i="106"/>
  <c r="J24" i="56" s="1"/>
  <c r="AP12" i="106"/>
  <c r="I24" i="56" s="1"/>
  <c r="AN12" i="106"/>
  <c r="E24" i="56" s="1"/>
  <c r="AL12" i="106"/>
  <c r="AZ11" i="106"/>
  <c r="M24" i="56" s="1"/>
  <c r="AX11" i="106"/>
  <c r="L24" i="56" s="1"/>
  <c r="AV11" i="106"/>
  <c r="AT11" i="106"/>
  <c r="AR11" i="106"/>
  <c r="AP11" i="106"/>
  <c r="AN11" i="106"/>
  <c r="AL11" i="106"/>
  <c r="AZ10" i="106"/>
  <c r="AX10" i="106"/>
  <c r="P24" i="56" s="1"/>
  <c r="AR10" i="106"/>
  <c r="H25" i="56" s="1"/>
  <c r="AP10" i="106"/>
  <c r="G24" i="56" s="1"/>
  <c r="AN10" i="106"/>
  <c r="AL10" i="106"/>
  <c r="B24" i="56" s="1"/>
  <c r="AD6" i="106"/>
  <c r="AG4" i="106"/>
  <c r="AF4" i="106"/>
  <c r="O4" i="106"/>
  <c r="N4" i="106"/>
  <c r="BA2" i="106"/>
  <c r="AS2" i="106"/>
  <c r="H2" i="106"/>
  <c r="AT72" i="105"/>
  <c r="AQ72" i="105"/>
  <c r="AP72" i="105"/>
  <c r="AN72" i="105"/>
  <c r="AM72" i="105"/>
  <c r="AQ70" i="105"/>
  <c r="AP70" i="105"/>
  <c r="AA23" i="56" s="1"/>
  <c r="AN70" i="105"/>
  <c r="AO70" i="105" s="1"/>
  <c r="AM70" i="105"/>
  <c r="AQ69" i="105"/>
  <c r="AP69" i="105"/>
  <c r="Y23" i="56" s="1"/>
  <c r="AN69" i="105"/>
  <c r="AO69" i="105" s="1"/>
  <c r="AM69" i="105"/>
  <c r="AQ68" i="105"/>
  <c r="AP68" i="105"/>
  <c r="AP23" i="56" s="1"/>
  <c r="AN68" i="105"/>
  <c r="AO68" i="105" s="1"/>
  <c r="AM68" i="105"/>
  <c r="AQ67" i="105"/>
  <c r="AO23" i="56" s="1"/>
  <c r="AP67" i="105"/>
  <c r="AN23" i="56" s="1"/>
  <c r="AN67" i="105"/>
  <c r="AO67" i="105" s="1"/>
  <c r="AM67" i="105"/>
  <c r="AQ66" i="105"/>
  <c r="AG23" i="56" s="1"/>
  <c r="AP66" i="105"/>
  <c r="AF23" i="56" s="1"/>
  <c r="AN66" i="105"/>
  <c r="AO66" i="105" s="1"/>
  <c r="AM66" i="105"/>
  <c r="BB65" i="105"/>
  <c r="AQ65" i="105"/>
  <c r="AP65" i="105"/>
  <c r="AH23" i="56" s="1"/>
  <c r="AN65" i="105"/>
  <c r="AO65" i="105" s="1"/>
  <c r="AM65" i="105"/>
  <c r="BB64" i="105"/>
  <c r="AQ64" i="105"/>
  <c r="AM23" i="56" s="1"/>
  <c r="AP64" i="105"/>
  <c r="AL23" i="56" s="1"/>
  <c r="AN64" i="105"/>
  <c r="AO64" i="105" s="1"/>
  <c r="AM64" i="105"/>
  <c r="BB63" i="105"/>
  <c r="AQ63" i="105"/>
  <c r="AP63" i="105"/>
  <c r="AJ23" i="56" s="1"/>
  <c r="AN63" i="105"/>
  <c r="AO63" i="105" s="1"/>
  <c r="AM63" i="105"/>
  <c r="BB62" i="105"/>
  <c r="AQ62" i="105"/>
  <c r="AP62" i="105"/>
  <c r="AD23" i="56" s="1"/>
  <c r="AN62" i="105"/>
  <c r="AM62" i="105"/>
  <c r="BB61" i="105"/>
  <c r="AQ61" i="105"/>
  <c r="AR61" i="105" s="1"/>
  <c r="AP61" i="105"/>
  <c r="W23" i="56" s="1"/>
  <c r="AN61" i="105"/>
  <c r="AM61" i="105"/>
  <c r="BB60" i="105"/>
  <c r="AQ60" i="105"/>
  <c r="AP60" i="105"/>
  <c r="U23" i="56" s="1"/>
  <c r="AN60" i="105"/>
  <c r="AO60" i="105" s="1"/>
  <c r="AM60" i="105"/>
  <c r="BB59" i="105"/>
  <c r="AQ57" i="105"/>
  <c r="AN57" i="105"/>
  <c r="AQ56" i="105"/>
  <c r="AP56" i="105"/>
  <c r="AN56" i="105"/>
  <c r="AM56" i="105"/>
  <c r="AQ55" i="105"/>
  <c r="AP55" i="105"/>
  <c r="AN55" i="105"/>
  <c r="AM55" i="105"/>
  <c r="AQ54" i="105"/>
  <c r="AP54" i="105"/>
  <c r="AN54" i="105"/>
  <c r="AM54" i="105"/>
  <c r="AQ53" i="105"/>
  <c r="AP53" i="105"/>
  <c r="AN53" i="105"/>
  <c r="AM53" i="105"/>
  <c r="AZ30" i="105"/>
  <c r="AZ31" i="105" s="1"/>
  <c r="AX30" i="105"/>
  <c r="AX31" i="105" s="1"/>
  <c r="J6" i="105" s="1"/>
  <c r="AW30" i="105"/>
  <c r="AU30" i="105"/>
  <c r="AS30" i="105"/>
  <c r="AR30" i="105"/>
  <c r="AP30" i="105"/>
  <c r="AN30" i="105"/>
  <c r="AL30" i="105"/>
  <c r="AZ23" i="105"/>
  <c r="AX23" i="105"/>
  <c r="AZ22" i="105"/>
  <c r="AX22" i="105"/>
  <c r="AT21" i="105"/>
  <c r="AV21" i="105" s="1"/>
  <c r="AP21" i="105"/>
  <c r="AR21" i="105" s="1"/>
  <c r="AL21" i="105"/>
  <c r="AT20" i="105"/>
  <c r="AV20" i="105" s="1"/>
  <c r="AP20" i="105"/>
  <c r="AR20" i="105" s="1"/>
  <c r="AL20" i="105"/>
  <c r="AZ13" i="105"/>
  <c r="O23" i="56" s="1"/>
  <c r="AX13" i="105"/>
  <c r="AV13" i="105"/>
  <c r="AT13" i="105"/>
  <c r="AR13" i="105"/>
  <c r="AP13" i="105"/>
  <c r="AN13" i="105"/>
  <c r="AL13" i="105"/>
  <c r="AZ12" i="105"/>
  <c r="S23" i="56" s="1"/>
  <c r="AX12" i="105"/>
  <c r="R23" i="56" s="1"/>
  <c r="AV12" i="105"/>
  <c r="AT12" i="105"/>
  <c r="AR12" i="105"/>
  <c r="J23" i="56" s="1"/>
  <c r="AP12" i="105"/>
  <c r="I23" i="56" s="1"/>
  <c r="AN12" i="105"/>
  <c r="E23" i="56" s="1"/>
  <c r="AL12" i="105"/>
  <c r="D23" i="56" s="1"/>
  <c r="AZ11" i="105"/>
  <c r="M23" i="56" s="1"/>
  <c r="AX11" i="105"/>
  <c r="L23" i="56" s="1"/>
  <c r="AV11" i="105"/>
  <c r="AT11" i="105"/>
  <c r="AR11" i="105"/>
  <c r="AP11" i="105"/>
  <c r="AN11" i="105"/>
  <c r="AL11" i="105"/>
  <c r="AZ10" i="105"/>
  <c r="Q23" i="56" s="1"/>
  <c r="AX10" i="105"/>
  <c r="AV10" i="105"/>
  <c r="AT10" i="105"/>
  <c r="AR10" i="105"/>
  <c r="H24" i="56" s="1"/>
  <c r="AP10" i="105"/>
  <c r="AN10" i="105"/>
  <c r="C23" i="56" s="1"/>
  <c r="AL10" i="105"/>
  <c r="AD6" i="105"/>
  <c r="AG4" i="105"/>
  <c r="AF4" i="105"/>
  <c r="O4" i="105"/>
  <c r="N4" i="105"/>
  <c r="BA2" i="105"/>
  <c r="AS2" i="105"/>
  <c r="H2" i="105"/>
  <c r="AT72" i="104"/>
  <c r="AQ72" i="104"/>
  <c r="AP72" i="104"/>
  <c r="AN72" i="104"/>
  <c r="AM72" i="104"/>
  <c r="AQ70" i="104"/>
  <c r="AP70" i="104"/>
  <c r="AA22" i="56" s="1"/>
  <c r="AN70" i="104"/>
  <c r="AO70" i="104" s="1"/>
  <c r="AM70" i="104"/>
  <c r="AQ69" i="104"/>
  <c r="AP69" i="104"/>
  <c r="Y22" i="56" s="1"/>
  <c r="AN69" i="104"/>
  <c r="AM69" i="104"/>
  <c r="AQ68" i="104"/>
  <c r="AP68" i="104"/>
  <c r="AP22" i="56" s="1"/>
  <c r="AN68" i="104"/>
  <c r="AO68" i="104" s="1"/>
  <c r="AM68" i="104"/>
  <c r="AQ67" i="104"/>
  <c r="AP67" i="104"/>
  <c r="AN22" i="56" s="1"/>
  <c r="AN67" i="104"/>
  <c r="AO67" i="104" s="1"/>
  <c r="AM67" i="104"/>
  <c r="AQ66" i="104"/>
  <c r="AP66" i="104"/>
  <c r="AF22" i="56" s="1"/>
  <c r="AN66" i="104"/>
  <c r="AO66" i="104" s="1"/>
  <c r="AM66" i="104"/>
  <c r="BB65" i="104"/>
  <c r="AQ65" i="104"/>
  <c r="AP65" i="104"/>
  <c r="AH22" i="56" s="1"/>
  <c r="AN65" i="104"/>
  <c r="AO65" i="104" s="1"/>
  <c r="AM65" i="104"/>
  <c r="BB64" i="104"/>
  <c r="AQ64" i="104"/>
  <c r="AM22" i="56" s="1"/>
  <c r="AP64" i="104"/>
  <c r="AL22" i="56" s="1"/>
  <c r="AN64" i="104"/>
  <c r="AO64" i="104" s="1"/>
  <c r="AM64" i="104"/>
  <c r="BB63" i="104"/>
  <c r="AQ63" i="104"/>
  <c r="AP63" i="104"/>
  <c r="AJ22" i="56" s="1"/>
  <c r="AN63" i="104"/>
  <c r="AO63" i="104" s="1"/>
  <c r="AM63" i="104"/>
  <c r="BB62" i="104"/>
  <c r="AQ62" i="104"/>
  <c r="AP62" i="104"/>
  <c r="AD22" i="56" s="1"/>
  <c r="AN62" i="104"/>
  <c r="AM62" i="104"/>
  <c r="BB61" i="104"/>
  <c r="AQ61" i="104"/>
  <c r="AR61" i="104" s="1"/>
  <c r="AP61" i="104"/>
  <c r="W22" i="56" s="1"/>
  <c r="AN61" i="104"/>
  <c r="AO61" i="104" s="1"/>
  <c r="AM61" i="104"/>
  <c r="BB60" i="104"/>
  <c r="AQ60" i="104"/>
  <c r="AP60" i="104"/>
  <c r="U22" i="56" s="1"/>
  <c r="AN60" i="104"/>
  <c r="AM60" i="104"/>
  <c r="BB59" i="104"/>
  <c r="AQ57" i="104"/>
  <c r="AN57" i="104"/>
  <c r="AQ56" i="104"/>
  <c r="AP56" i="104"/>
  <c r="AN56" i="104"/>
  <c r="AM56" i="104"/>
  <c r="AQ55" i="104"/>
  <c r="AP55" i="104"/>
  <c r="AN55" i="104"/>
  <c r="AM55" i="104"/>
  <c r="AQ54" i="104"/>
  <c r="AP54" i="104"/>
  <c r="AN54" i="104"/>
  <c r="AM54" i="104"/>
  <c r="AQ53" i="104"/>
  <c r="AP53" i="104"/>
  <c r="AN53" i="104"/>
  <c r="AM53" i="104"/>
  <c r="AZ30" i="104"/>
  <c r="AZ31" i="104" s="1"/>
  <c r="AX30" i="104"/>
  <c r="AX31" i="104" s="1"/>
  <c r="J6" i="104" s="1"/>
  <c r="AW30" i="104"/>
  <c r="AU30" i="104"/>
  <c r="AS30" i="104"/>
  <c r="AR30" i="104"/>
  <c r="AP30" i="104"/>
  <c r="AN30" i="104"/>
  <c r="AL30" i="104"/>
  <c r="AZ23" i="104"/>
  <c r="AX23" i="104"/>
  <c r="AZ22" i="104"/>
  <c r="AX22" i="104"/>
  <c r="AT21" i="104"/>
  <c r="AV21" i="104" s="1"/>
  <c r="AP21" i="104"/>
  <c r="AR21" i="104" s="1"/>
  <c r="AL21" i="104"/>
  <c r="AT20" i="104"/>
  <c r="AV20" i="104" s="1"/>
  <c r="AP20" i="104"/>
  <c r="AL20" i="104"/>
  <c r="AZ13" i="104"/>
  <c r="O22" i="56" s="1"/>
  <c r="AX13" i="104"/>
  <c r="N22" i="56" s="1"/>
  <c r="AV13" i="104"/>
  <c r="AT13" i="104"/>
  <c r="AR13" i="104"/>
  <c r="AP13" i="104"/>
  <c r="AN13" i="104"/>
  <c r="AL13" i="104"/>
  <c r="AZ12" i="104"/>
  <c r="S22" i="56" s="1"/>
  <c r="AX12" i="104"/>
  <c r="R22" i="56" s="1"/>
  <c r="AV12" i="104"/>
  <c r="AT12" i="104"/>
  <c r="AR12" i="104"/>
  <c r="J22" i="56" s="1"/>
  <c r="AP12" i="104"/>
  <c r="I22" i="56" s="1"/>
  <c r="AN12" i="104"/>
  <c r="E22" i="56" s="1"/>
  <c r="AL12" i="104"/>
  <c r="AZ11" i="104"/>
  <c r="M22" i="56" s="1"/>
  <c r="AX11" i="104"/>
  <c r="L22" i="56" s="1"/>
  <c r="AV11" i="104"/>
  <c r="AT11" i="104"/>
  <c r="AR11" i="104"/>
  <c r="AP11" i="104"/>
  <c r="AN11" i="104"/>
  <c r="BD11" i="104" s="1"/>
  <c r="AL11" i="104"/>
  <c r="AZ10" i="104"/>
  <c r="Q22" i="56" s="1"/>
  <c r="AX10" i="104"/>
  <c r="P22" i="56" s="1"/>
  <c r="AV10" i="104"/>
  <c r="AT10" i="104"/>
  <c r="AR10" i="104"/>
  <c r="H23" i="56" s="1"/>
  <c r="AP10" i="104"/>
  <c r="G22" i="56" s="1"/>
  <c r="AN10" i="104"/>
  <c r="C22" i="56" s="1"/>
  <c r="AL10" i="104"/>
  <c r="B22" i="56" s="1"/>
  <c r="AD6" i="104"/>
  <c r="AG4" i="104"/>
  <c r="AF4" i="104"/>
  <c r="O4" i="104"/>
  <c r="N4" i="104"/>
  <c r="BA2" i="104"/>
  <c r="AS2" i="104"/>
  <c r="N2" i="104"/>
  <c r="H2" i="104"/>
  <c r="AT72" i="103"/>
  <c r="AQ72" i="103"/>
  <c r="AP72" i="103"/>
  <c r="AN72" i="103"/>
  <c r="AM72" i="103"/>
  <c r="AQ70" i="103"/>
  <c r="AP70" i="103"/>
  <c r="AA21" i="56" s="1"/>
  <c r="AN70" i="103"/>
  <c r="AM70" i="103"/>
  <c r="AQ69" i="103"/>
  <c r="AP69" i="103"/>
  <c r="Y21" i="56" s="1"/>
  <c r="AN69" i="103"/>
  <c r="AM69" i="103"/>
  <c r="AQ68" i="103"/>
  <c r="AP68" i="103"/>
  <c r="AP21" i="56" s="1"/>
  <c r="AN68" i="103"/>
  <c r="AO68" i="103" s="1"/>
  <c r="AM68" i="103"/>
  <c r="AQ67" i="103"/>
  <c r="AP67" i="103"/>
  <c r="AN21" i="56" s="1"/>
  <c r="AN67" i="103"/>
  <c r="AO67" i="103" s="1"/>
  <c r="AM67" i="103"/>
  <c r="AQ66" i="103"/>
  <c r="AG21" i="56" s="1"/>
  <c r="AP66" i="103"/>
  <c r="AF21" i="56" s="1"/>
  <c r="AN66" i="103"/>
  <c r="AO66" i="103" s="1"/>
  <c r="AM66" i="103"/>
  <c r="BB65" i="103"/>
  <c r="AQ65" i="103"/>
  <c r="AI21" i="56" s="1"/>
  <c r="AP65" i="103"/>
  <c r="AH21" i="56" s="1"/>
  <c r="AN65" i="103"/>
  <c r="AO65" i="103" s="1"/>
  <c r="AM65" i="103"/>
  <c r="BB64" i="103"/>
  <c r="AQ64" i="103"/>
  <c r="AM21" i="56" s="1"/>
  <c r="AP64" i="103"/>
  <c r="AL21" i="56" s="1"/>
  <c r="AN64" i="103"/>
  <c r="AO64" i="103" s="1"/>
  <c r="AM64" i="103"/>
  <c r="BB63" i="103"/>
  <c r="AQ63" i="103"/>
  <c r="AP63" i="103"/>
  <c r="AJ21" i="56" s="1"/>
  <c r="AN63" i="103"/>
  <c r="AO63" i="103" s="1"/>
  <c r="AM63" i="103"/>
  <c r="BB62" i="103"/>
  <c r="AQ62" i="103"/>
  <c r="AP62" i="103"/>
  <c r="AD21" i="56" s="1"/>
  <c r="AN62" i="103"/>
  <c r="AM62" i="103"/>
  <c r="BB61" i="103"/>
  <c r="AQ61" i="103"/>
  <c r="AR61" i="103" s="1"/>
  <c r="AP61" i="103"/>
  <c r="W21" i="56" s="1"/>
  <c r="AN61" i="103"/>
  <c r="AM61" i="103"/>
  <c r="BB60" i="103"/>
  <c r="AQ60" i="103"/>
  <c r="AP60" i="103"/>
  <c r="U21" i="56" s="1"/>
  <c r="AN60" i="103"/>
  <c r="AO60" i="103" s="1"/>
  <c r="AM60" i="103"/>
  <c r="BB59" i="103"/>
  <c r="AQ57" i="103"/>
  <c r="AS57" i="103" s="1"/>
  <c r="AN57" i="103"/>
  <c r="AQ56" i="103"/>
  <c r="AP56" i="103"/>
  <c r="AN56" i="103"/>
  <c r="AM56" i="103"/>
  <c r="AQ55" i="103"/>
  <c r="AP55" i="103"/>
  <c r="AN55" i="103"/>
  <c r="AM55" i="103"/>
  <c r="AQ54" i="103"/>
  <c r="AP54" i="103"/>
  <c r="AN54" i="103"/>
  <c r="AM54" i="103"/>
  <c r="AQ53" i="103"/>
  <c r="AP53" i="103"/>
  <c r="AN53" i="103"/>
  <c r="AM53" i="103"/>
  <c r="AZ30" i="103"/>
  <c r="AZ31" i="103" s="1"/>
  <c r="AX30" i="103"/>
  <c r="AX31" i="103" s="1"/>
  <c r="J6" i="103" s="1"/>
  <c r="AW30" i="103"/>
  <c r="AU30" i="103"/>
  <c r="AS30" i="103"/>
  <c r="AR30" i="103"/>
  <c r="AP30" i="103"/>
  <c r="AN30" i="103"/>
  <c r="AL30" i="103"/>
  <c r="AZ23" i="103"/>
  <c r="AX23" i="103"/>
  <c r="AZ22" i="103"/>
  <c r="AX22" i="103"/>
  <c r="AT21" i="103"/>
  <c r="AV21" i="103" s="1"/>
  <c r="AP21" i="103"/>
  <c r="AR21" i="103" s="1"/>
  <c r="AL21" i="103"/>
  <c r="AT20" i="103"/>
  <c r="AV20" i="103" s="1"/>
  <c r="AP20" i="103"/>
  <c r="AL20" i="103"/>
  <c r="AZ13" i="103"/>
  <c r="O21" i="56" s="1"/>
  <c r="AX13" i="103"/>
  <c r="N21" i="56" s="1"/>
  <c r="AV13" i="103"/>
  <c r="AT13" i="103"/>
  <c r="AR13" i="103"/>
  <c r="AP13" i="103"/>
  <c r="AN13" i="103"/>
  <c r="AL13" i="103"/>
  <c r="AZ12" i="103"/>
  <c r="S21" i="56" s="1"/>
  <c r="AX12" i="103"/>
  <c r="R21" i="56" s="1"/>
  <c r="AV12" i="103"/>
  <c r="AT12" i="103"/>
  <c r="AR12" i="103"/>
  <c r="J21" i="56" s="1"/>
  <c r="AP12" i="103"/>
  <c r="I21" i="56" s="1"/>
  <c r="AN12" i="103"/>
  <c r="E21" i="56" s="1"/>
  <c r="AL12" i="103"/>
  <c r="D21" i="56" s="1"/>
  <c r="AZ11" i="103"/>
  <c r="M21" i="56" s="1"/>
  <c r="AX11" i="103"/>
  <c r="L21" i="56" s="1"/>
  <c r="AV11" i="103"/>
  <c r="AT11" i="103"/>
  <c r="AR11" i="103"/>
  <c r="AP11" i="103"/>
  <c r="AN11" i="103"/>
  <c r="AL11" i="103"/>
  <c r="AZ10" i="103"/>
  <c r="AX10" i="103"/>
  <c r="P21" i="56" s="1"/>
  <c r="AV10" i="103"/>
  <c r="AT10" i="103"/>
  <c r="AR10" i="103"/>
  <c r="H22" i="56" s="1"/>
  <c r="AP10" i="103"/>
  <c r="AN10" i="103"/>
  <c r="AL10" i="103"/>
  <c r="B21" i="56" s="1"/>
  <c r="AD6" i="103"/>
  <c r="AG4" i="103"/>
  <c r="AF4" i="103"/>
  <c r="O4" i="103"/>
  <c r="N4" i="103"/>
  <c r="BA2" i="103"/>
  <c r="AS2" i="103"/>
  <c r="H2" i="103"/>
  <c r="AT72" i="102"/>
  <c r="AQ72" i="102"/>
  <c r="AP72" i="102"/>
  <c r="AN72" i="102"/>
  <c r="AM72" i="102"/>
  <c r="AQ70" i="102"/>
  <c r="AP70" i="102"/>
  <c r="AA20" i="56" s="1"/>
  <c r="AN70" i="102"/>
  <c r="AO70" i="102" s="1"/>
  <c r="AM70" i="102"/>
  <c r="AQ69" i="102"/>
  <c r="AP69" i="102"/>
  <c r="Y20" i="56" s="1"/>
  <c r="AN69" i="102"/>
  <c r="AO69" i="102" s="1"/>
  <c r="AM69" i="102"/>
  <c r="AQ68" i="102"/>
  <c r="AP68" i="102"/>
  <c r="AP20" i="56" s="1"/>
  <c r="AN68" i="102"/>
  <c r="AO68" i="102" s="1"/>
  <c r="AM68" i="102"/>
  <c r="AQ67" i="102"/>
  <c r="AP67" i="102"/>
  <c r="AN20" i="56" s="1"/>
  <c r="AN67" i="102"/>
  <c r="AO67" i="102" s="1"/>
  <c r="AM67" i="102"/>
  <c r="AQ66" i="102"/>
  <c r="AP66" i="102"/>
  <c r="AF20" i="56" s="1"/>
  <c r="AN66" i="102"/>
  <c r="AO66" i="102" s="1"/>
  <c r="AM66" i="102"/>
  <c r="BB65" i="102"/>
  <c r="AQ65" i="102"/>
  <c r="AP65" i="102"/>
  <c r="AH20" i="56" s="1"/>
  <c r="AN65" i="102"/>
  <c r="AO65" i="102" s="1"/>
  <c r="AM65" i="102"/>
  <c r="BB64" i="102"/>
  <c r="AQ64" i="102"/>
  <c r="AP64" i="102"/>
  <c r="AL20" i="56" s="1"/>
  <c r="AN64" i="102"/>
  <c r="AO64" i="102" s="1"/>
  <c r="AM64" i="102"/>
  <c r="BB63" i="102"/>
  <c r="AQ63" i="102"/>
  <c r="AP63" i="102"/>
  <c r="AJ20" i="56" s="1"/>
  <c r="AN63" i="102"/>
  <c r="AO63" i="102" s="1"/>
  <c r="AM63" i="102"/>
  <c r="BB62" i="102"/>
  <c r="AQ62" i="102"/>
  <c r="AP62" i="102"/>
  <c r="AD20" i="56" s="1"/>
  <c r="AN62" i="102"/>
  <c r="AM62" i="102"/>
  <c r="BB61" i="102"/>
  <c r="AQ61" i="102"/>
  <c r="AR61" i="102" s="1"/>
  <c r="AP61" i="102"/>
  <c r="W20" i="56" s="1"/>
  <c r="AN61" i="102"/>
  <c r="AM61" i="102"/>
  <c r="BB60" i="102"/>
  <c r="AQ60" i="102"/>
  <c r="V20" i="56" s="1"/>
  <c r="AP60" i="102"/>
  <c r="U20" i="56" s="1"/>
  <c r="AN60" i="102"/>
  <c r="AM60" i="102"/>
  <c r="BB59" i="102"/>
  <c r="AQ57" i="102"/>
  <c r="AN57" i="102"/>
  <c r="AQ56" i="102"/>
  <c r="AP56" i="102"/>
  <c r="AN56" i="102"/>
  <c r="AM56" i="102"/>
  <c r="AQ55" i="102"/>
  <c r="AP55" i="102"/>
  <c r="AN55" i="102"/>
  <c r="AM55" i="102"/>
  <c r="AQ54" i="102"/>
  <c r="AP54" i="102"/>
  <c r="AN54" i="102"/>
  <c r="AM54" i="102"/>
  <c r="AQ53" i="102"/>
  <c r="AP53" i="102"/>
  <c r="AN53" i="102"/>
  <c r="AM53" i="102"/>
  <c r="AZ30" i="102"/>
  <c r="AZ31" i="102" s="1"/>
  <c r="AX30" i="102"/>
  <c r="AX31" i="102" s="1"/>
  <c r="J6" i="102" s="1"/>
  <c r="AW30" i="102"/>
  <c r="AU30" i="102"/>
  <c r="AS30" i="102"/>
  <c r="AR30" i="102"/>
  <c r="AP30" i="102"/>
  <c r="AN30" i="102"/>
  <c r="AL30" i="102"/>
  <c r="AZ23" i="102"/>
  <c r="AX23" i="102"/>
  <c r="AZ22" i="102"/>
  <c r="AX22" i="102"/>
  <c r="AT21" i="102"/>
  <c r="AV21" i="102" s="1"/>
  <c r="AP21" i="102"/>
  <c r="AR21" i="102" s="1"/>
  <c r="AL21" i="102"/>
  <c r="AT20" i="102"/>
  <c r="AV20" i="102" s="1"/>
  <c r="AP20" i="102"/>
  <c r="AR20" i="102" s="1"/>
  <c r="AL20" i="102"/>
  <c r="AZ13" i="102"/>
  <c r="O20" i="56" s="1"/>
  <c r="AX13" i="102"/>
  <c r="N20" i="56" s="1"/>
  <c r="AV13" i="102"/>
  <c r="AT13" i="102"/>
  <c r="AR13" i="102"/>
  <c r="AP13" i="102"/>
  <c r="AN13" i="102"/>
  <c r="AL13" i="102"/>
  <c r="AZ12" i="102"/>
  <c r="S20" i="56" s="1"/>
  <c r="AX12" i="102"/>
  <c r="R20" i="56" s="1"/>
  <c r="AV12" i="102"/>
  <c r="AT12" i="102"/>
  <c r="AR12" i="102"/>
  <c r="J20" i="56" s="1"/>
  <c r="AP12" i="102"/>
  <c r="I20" i="56" s="1"/>
  <c r="AN12" i="102"/>
  <c r="E20" i="56" s="1"/>
  <c r="AL12" i="102"/>
  <c r="D20" i="56" s="1"/>
  <c r="AZ11" i="102"/>
  <c r="M20" i="56" s="1"/>
  <c r="AX11" i="102"/>
  <c r="L20" i="56" s="1"/>
  <c r="AV11" i="102"/>
  <c r="AT11" i="102"/>
  <c r="AR11" i="102"/>
  <c r="AP11" i="102"/>
  <c r="AN11" i="102"/>
  <c r="AL11" i="102"/>
  <c r="AZ10" i="102"/>
  <c r="Q20" i="56" s="1"/>
  <c r="AX10" i="102"/>
  <c r="P20" i="56" s="1"/>
  <c r="AV10" i="102"/>
  <c r="AT10" i="102"/>
  <c r="AR10" i="102"/>
  <c r="H21" i="56" s="1"/>
  <c r="AP10" i="102"/>
  <c r="AN10" i="102"/>
  <c r="C20" i="56" s="1"/>
  <c r="AL10" i="102"/>
  <c r="B20" i="56" s="1"/>
  <c r="AD6" i="102"/>
  <c r="AG4" i="102"/>
  <c r="AF4" i="102"/>
  <c r="O4" i="102"/>
  <c r="N4" i="102"/>
  <c r="BA2" i="102"/>
  <c r="AS2" i="102"/>
  <c r="N2" i="102"/>
  <c r="H2" i="102"/>
  <c r="AT72" i="101"/>
  <c r="AQ72" i="101"/>
  <c r="AP72" i="101"/>
  <c r="AN72" i="101"/>
  <c r="AM72" i="101"/>
  <c r="AQ70" i="101"/>
  <c r="AP70" i="101"/>
  <c r="AA19" i="56" s="1"/>
  <c r="AN70" i="101"/>
  <c r="AM70" i="101"/>
  <c r="AQ69" i="101"/>
  <c r="AP69" i="101"/>
  <c r="Y19" i="56" s="1"/>
  <c r="AN69" i="101"/>
  <c r="AM69" i="101"/>
  <c r="AQ68" i="101"/>
  <c r="AP68" i="101"/>
  <c r="AP19" i="56" s="1"/>
  <c r="AN68" i="101"/>
  <c r="AO68" i="101" s="1"/>
  <c r="AM68" i="101"/>
  <c r="AQ67" i="101"/>
  <c r="AP67" i="101"/>
  <c r="AN19" i="56" s="1"/>
  <c r="AN67" i="101"/>
  <c r="AO67" i="101" s="1"/>
  <c r="AM67" i="101"/>
  <c r="AQ66" i="101"/>
  <c r="AP66" i="101"/>
  <c r="AF19" i="56" s="1"/>
  <c r="AN66" i="101"/>
  <c r="AO66" i="101" s="1"/>
  <c r="AM66" i="101"/>
  <c r="BB65" i="101"/>
  <c r="AQ65" i="101"/>
  <c r="AP65" i="101"/>
  <c r="AH19" i="56" s="1"/>
  <c r="AN65" i="101"/>
  <c r="AM65" i="101"/>
  <c r="BB64" i="101"/>
  <c r="AQ64" i="101"/>
  <c r="AP64" i="101"/>
  <c r="AL19" i="56" s="1"/>
  <c r="AN64" i="101"/>
  <c r="AO64" i="101" s="1"/>
  <c r="AM64" i="101"/>
  <c r="BB63" i="101"/>
  <c r="AQ63" i="101"/>
  <c r="AP63" i="101"/>
  <c r="AN63" i="101"/>
  <c r="AO63" i="101" s="1"/>
  <c r="AM63" i="101"/>
  <c r="BB62" i="101"/>
  <c r="AQ62" i="101"/>
  <c r="AP62" i="101"/>
  <c r="AD19" i="56" s="1"/>
  <c r="AN62" i="101"/>
  <c r="AO62" i="101" s="1"/>
  <c r="AM62" i="101"/>
  <c r="BB61" i="101"/>
  <c r="AQ61" i="101"/>
  <c r="AR61" i="101" s="1"/>
  <c r="AP61" i="101"/>
  <c r="W19" i="56" s="1"/>
  <c r="AN61" i="101"/>
  <c r="AM61" i="101"/>
  <c r="BB60" i="101"/>
  <c r="AQ60" i="101"/>
  <c r="AP60" i="101"/>
  <c r="U19" i="56" s="1"/>
  <c r="AN60" i="101"/>
  <c r="AO60" i="101" s="1"/>
  <c r="AM60" i="101"/>
  <c r="BB59" i="101"/>
  <c r="AQ57" i="101"/>
  <c r="AN57" i="101"/>
  <c r="AQ56" i="101"/>
  <c r="AP56" i="101"/>
  <c r="AN56" i="101"/>
  <c r="AM56" i="101"/>
  <c r="AQ55" i="101"/>
  <c r="AP55" i="101"/>
  <c r="AN55" i="101"/>
  <c r="AM55" i="101"/>
  <c r="AQ54" i="101"/>
  <c r="AP54" i="101"/>
  <c r="AN54" i="101"/>
  <c r="AM54" i="101"/>
  <c r="AQ53" i="101"/>
  <c r="AP53" i="101"/>
  <c r="AN53" i="101"/>
  <c r="AM53" i="101"/>
  <c r="AZ30" i="101"/>
  <c r="AZ31" i="101" s="1"/>
  <c r="AX30" i="101"/>
  <c r="AX31" i="101" s="1"/>
  <c r="J6" i="101" s="1"/>
  <c r="AW30" i="101"/>
  <c r="AU30" i="101"/>
  <c r="AS30" i="101"/>
  <c r="AR30" i="101"/>
  <c r="AP30" i="101"/>
  <c r="AN30" i="101"/>
  <c r="AL30" i="101"/>
  <c r="AZ23" i="101"/>
  <c r="AX23" i="101"/>
  <c r="AZ22" i="101"/>
  <c r="AX22" i="101"/>
  <c r="AT21" i="101"/>
  <c r="AV21" i="101" s="1"/>
  <c r="AP21" i="101"/>
  <c r="AL21" i="101"/>
  <c r="AT20" i="101"/>
  <c r="AV20" i="101" s="1"/>
  <c r="AP20" i="101"/>
  <c r="AR20" i="101" s="1"/>
  <c r="AL20" i="101"/>
  <c r="AZ13" i="101"/>
  <c r="O19" i="56" s="1"/>
  <c r="AX13" i="101"/>
  <c r="N19" i="56" s="1"/>
  <c r="AV13" i="101"/>
  <c r="AT13" i="101"/>
  <c r="AR13" i="101"/>
  <c r="AP13" i="101"/>
  <c r="AN13" i="101"/>
  <c r="BD13" i="101" s="1"/>
  <c r="AL13" i="101"/>
  <c r="AZ12" i="101"/>
  <c r="S19" i="56" s="1"/>
  <c r="AX12" i="101"/>
  <c r="R19" i="56" s="1"/>
  <c r="AV12" i="101"/>
  <c r="AT12" i="101"/>
  <c r="AR12" i="101"/>
  <c r="J19" i="56" s="1"/>
  <c r="AP12" i="101"/>
  <c r="I19" i="56" s="1"/>
  <c r="AN12" i="101"/>
  <c r="E19" i="56" s="1"/>
  <c r="AL12" i="101"/>
  <c r="D19" i="56" s="1"/>
  <c r="AZ11" i="101"/>
  <c r="M19" i="56" s="1"/>
  <c r="AX11" i="101"/>
  <c r="L19" i="56" s="1"/>
  <c r="AV11" i="101"/>
  <c r="AT11" i="101"/>
  <c r="AR11" i="101"/>
  <c r="AP11" i="101"/>
  <c r="AN11" i="101"/>
  <c r="AL11" i="101"/>
  <c r="AZ10" i="101"/>
  <c r="AX10" i="101"/>
  <c r="AV10" i="101"/>
  <c r="AT10" i="101"/>
  <c r="AR10" i="101"/>
  <c r="H20" i="56" s="1"/>
  <c r="AP10" i="101"/>
  <c r="G19" i="56" s="1"/>
  <c r="AN10" i="101"/>
  <c r="AL10" i="101"/>
  <c r="AD6" i="101"/>
  <c r="AG4" i="101"/>
  <c r="AF4" i="101"/>
  <c r="O4" i="101"/>
  <c r="N4" i="101"/>
  <c r="BA2" i="101"/>
  <c r="AS2" i="101"/>
  <c r="N2" i="101"/>
  <c r="H2" i="101"/>
  <c r="AT72" i="100"/>
  <c r="AQ72" i="100"/>
  <c r="AP72" i="100"/>
  <c r="AN72" i="100"/>
  <c r="AM72" i="100"/>
  <c r="AQ70" i="100"/>
  <c r="AP70" i="100"/>
  <c r="AA18" i="56" s="1"/>
  <c r="AN70" i="100"/>
  <c r="AO70" i="100" s="1"/>
  <c r="AM70" i="100"/>
  <c r="AQ69" i="100"/>
  <c r="AP69" i="100"/>
  <c r="Y18" i="56" s="1"/>
  <c r="AN69" i="100"/>
  <c r="AM69" i="100"/>
  <c r="AQ68" i="100"/>
  <c r="AP68" i="100"/>
  <c r="AP18" i="56" s="1"/>
  <c r="AN68" i="100"/>
  <c r="AO68" i="100" s="1"/>
  <c r="AM68" i="100"/>
  <c r="AQ67" i="100"/>
  <c r="AP67" i="100"/>
  <c r="AN18" i="56" s="1"/>
  <c r="AN67" i="100"/>
  <c r="AO67" i="100" s="1"/>
  <c r="AM67" i="100"/>
  <c r="AQ66" i="100"/>
  <c r="AP66" i="100"/>
  <c r="AF18" i="56" s="1"/>
  <c r="AN66" i="100"/>
  <c r="AO66" i="100" s="1"/>
  <c r="AM66" i="100"/>
  <c r="BB65" i="100"/>
  <c r="AQ65" i="100"/>
  <c r="AP65" i="100"/>
  <c r="AH18" i="56" s="1"/>
  <c r="AN65" i="100"/>
  <c r="AO65" i="100" s="1"/>
  <c r="AM65" i="100"/>
  <c r="BB64" i="100"/>
  <c r="AQ64" i="100"/>
  <c r="AM18" i="56" s="1"/>
  <c r="AP64" i="100"/>
  <c r="AL18" i="56" s="1"/>
  <c r="AN64" i="100"/>
  <c r="AO64" i="100" s="1"/>
  <c r="AM64" i="100"/>
  <c r="BB63" i="100"/>
  <c r="AQ63" i="100"/>
  <c r="AP63" i="100"/>
  <c r="AJ18" i="56" s="1"/>
  <c r="AN63" i="100"/>
  <c r="AO63" i="100" s="1"/>
  <c r="AM63" i="100"/>
  <c r="BB62" i="100"/>
  <c r="AQ62" i="100"/>
  <c r="AP62" i="100"/>
  <c r="AD18" i="56" s="1"/>
  <c r="AN62" i="100"/>
  <c r="AM62" i="100"/>
  <c r="BB61" i="100"/>
  <c r="AQ61" i="100"/>
  <c r="AR61" i="100" s="1"/>
  <c r="AP61" i="100"/>
  <c r="W18" i="56" s="1"/>
  <c r="AN61" i="100"/>
  <c r="AO61" i="100" s="1"/>
  <c r="AM61" i="100"/>
  <c r="BB60" i="100"/>
  <c r="AQ60" i="100"/>
  <c r="AP60" i="100"/>
  <c r="U18" i="56" s="1"/>
  <c r="AN60" i="100"/>
  <c r="AO60" i="100" s="1"/>
  <c r="AM60" i="100"/>
  <c r="BB59" i="100"/>
  <c r="AQ57" i="100"/>
  <c r="AN57" i="100"/>
  <c r="AQ56" i="100"/>
  <c r="AP56" i="100"/>
  <c r="AN56" i="100"/>
  <c r="AM56" i="100"/>
  <c r="AQ55" i="100"/>
  <c r="AP55" i="100"/>
  <c r="AN55" i="100"/>
  <c r="AM55" i="100"/>
  <c r="AQ54" i="100"/>
  <c r="AP54" i="100"/>
  <c r="AN54" i="100"/>
  <c r="AM54" i="100"/>
  <c r="AQ53" i="100"/>
  <c r="AP53" i="100"/>
  <c r="AN53" i="100"/>
  <c r="AM53" i="100"/>
  <c r="AZ30" i="100"/>
  <c r="AZ31" i="100" s="1"/>
  <c r="AX30" i="100"/>
  <c r="AX31" i="100" s="1"/>
  <c r="J6" i="100" s="1"/>
  <c r="AW30" i="100"/>
  <c r="AU30" i="100"/>
  <c r="AS30" i="100"/>
  <c r="AR30" i="100"/>
  <c r="AP30" i="100"/>
  <c r="AN30" i="100"/>
  <c r="AL30" i="100"/>
  <c r="AZ23" i="100"/>
  <c r="AX23" i="100"/>
  <c r="AZ22" i="100"/>
  <c r="AX22" i="100"/>
  <c r="AT21" i="100"/>
  <c r="AV21" i="100" s="1"/>
  <c r="AP21" i="100"/>
  <c r="AR21" i="100" s="1"/>
  <c r="AL21" i="100"/>
  <c r="AT20" i="100"/>
  <c r="AV20" i="100" s="1"/>
  <c r="AP20" i="100"/>
  <c r="AL20" i="100"/>
  <c r="AZ13" i="100"/>
  <c r="O18" i="56" s="1"/>
  <c r="AX13" i="100"/>
  <c r="N18" i="56" s="1"/>
  <c r="AV13" i="100"/>
  <c r="AT13" i="100"/>
  <c r="AR13" i="100"/>
  <c r="AP13" i="100"/>
  <c r="AN13" i="100"/>
  <c r="AL13" i="100"/>
  <c r="AZ12" i="100"/>
  <c r="S18" i="56" s="1"/>
  <c r="AX12" i="100"/>
  <c r="AV12" i="100"/>
  <c r="AT12" i="100"/>
  <c r="AR12" i="100"/>
  <c r="J18" i="56" s="1"/>
  <c r="AP12" i="100"/>
  <c r="I18" i="56" s="1"/>
  <c r="AN12" i="100"/>
  <c r="AL12" i="100"/>
  <c r="D18" i="56" s="1"/>
  <c r="AZ11" i="100"/>
  <c r="M18" i="56" s="1"/>
  <c r="AX11" i="100"/>
  <c r="L18" i="56" s="1"/>
  <c r="AV11" i="100"/>
  <c r="AT11" i="100"/>
  <c r="AR11" i="100"/>
  <c r="AP11" i="100"/>
  <c r="AN11" i="100"/>
  <c r="AL11" i="100"/>
  <c r="AZ10" i="100"/>
  <c r="Q18" i="56" s="1"/>
  <c r="AX10" i="100"/>
  <c r="AV10" i="100"/>
  <c r="AT10" i="100"/>
  <c r="AR10" i="100"/>
  <c r="H19" i="56" s="1"/>
  <c r="AP10" i="100"/>
  <c r="AN10" i="100"/>
  <c r="C18" i="56" s="1"/>
  <c r="AL10" i="100"/>
  <c r="AD6" i="100"/>
  <c r="AG4" i="100"/>
  <c r="AF4" i="100"/>
  <c r="O4" i="100"/>
  <c r="N4" i="100"/>
  <c r="BA2" i="100"/>
  <c r="AS2" i="100"/>
  <c r="H2" i="100"/>
  <c r="AT72" i="99"/>
  <c r="AQ72" i="99"/>
  <c r="AP72" i="99"/>
  <c r="AN72" i="99"/>
  <c r="AM72" i="99"/>
  <c r="AQ70" i="99"/>
  <c r="AP70" i="99"/>
  <c r="AA17" i="56" s="1"/>
  <c r="AN70" i="99"/>
  <c r="AO70" i="99" s="1"/>
  <c r="AM70" i="99"/>
  <c r="AQ69" i="99"/>
  <c r="AP69" i="99"/>
  <c r="Y17" i="56" s="1"/>
  <c r="AN69" i="99"/>
  <c r="AO69" i="99" s="1"/>
  <c r="AM69" i="99"/>
  <c r="AQ68" i="99"/>
  <c r="AQ17" i="56" s="1"/>
  <c r="AP68" i="99"/>
  <c r="AP17" i="56" s="1"/>
  <c r="AN68" i="99"/>
  <c r="AO68" i="99" s="1"/>
  <c r="AM68" i="99"/>
  <c r="AQ67" i="99"/>
  <c r="AO17" i="56" s="1"/>
  <c r="AP67" i="99"/>
  <c r="AN17" i="56" s="1"/>
  <c r="AN67" i="99"/>
  <c r="AO67" i="99" s="1"/>
  <c r="AM67" i="99"/>
  <c r="AQ66" i="99"/>
  <c r="AP66" i="99"/>
  <c r="AF17" i="56" s="1"/>
  <c r="AN66" i="99"/>
  <c r="AO66" i="99" s="1"/>
  <c r="AM66" i="99"/>
  <c r="BB65" i="99"/>
  <c r="AQ65" i="99"/>
  <c r="AP65" i="99"/>
  <c r="AH17" i="56" s="1"/>
  <c r="AN65" i="99"/>
  <c r="AO65" i="99" s="1"/>
  <c r="AM65" i="99"/>
  <c r="BB64" i="99"/>
  <c r="AQ64" i="99"/>
  <c r="AM17" i="56" s="1"/>
  <c r="AP64" i="99"/>
  <c r="AL17" i="56" s="1"/>
  <c r="AN64" i="99"/>
  <c r="AO64" i="99" s="1"/>
  <c r="AM64" i="99"/>
  <c r="BB63" i="99"/>
  <c r="AQ63" i="99"/>
  <c r="AP63" i="99"/>
  <c r="AJ17" i="56" s="1"/>
  <c r="AN63" i="99"/>
  <c r="AO63" i="99" s="1"/>
  <c r="AM63" i="99"/>
  <c r="BB62" i="99"/>
  <c r="AQ62" i="99"/>
  <c r="AP62" i="99"/>
  <c r="AD17" i="56" s="1"/>
  <c r="AN62" i="99"/>
  <c r="AM62" i="99"/>
  <c r="BB61" i="99"/>
  <c r="AQ61" i="99"/>
  <c r="AR61" i="99" s="1"/>
  <c r="AP61" i="99"/>
  <c r="W17" i="56" s="1"/>
  <c r="AN61" i="99"/>
  <c r="AO61" i="99" s="1"/>
  <c r="AM61" i="99"/>
  <c r="BB60" i="99"/>
  <c r="AQ60" i="99"/>
  <c r="AP60" i="99"/>
  <c r="U17" i="56" s="1"/>
  <c r="AN60" i="99"/>
  <c r="AM60" i="99"/>
  <c r="BB59" i="99"/>
  <c r="AQ57" i="99"/>
  <c r="AN57" i="99"/>
  <c r="AQ56" i="99"/>
  <c r="AP56" i="99"/>
  <c r="AN56" i="99"/>
  <c r="AM56" i="99"/>
  <c r="AQ55" i="99"/>
  <c r="AP55" i="99"/>
  <c r="AN55" i="99"/>
  <c r="AM55" i="99"/>
  <c r="AQ54" i="99"/>
  <c r="AP54" i="99"/>
  <c r="AN54" i="99"/>
  <c r="AM54" i="99"/>
  <c r="AQ53" i="99"/>
  <c r="AP53" i="99"/>
  <c r="AN53" i="99"/>
  <c r="AM53" i="99"/>
  <c r="AZ30" i="99"/>
  <c r="AZ31" i="99" s="1"/>
  <c r="AX30" i="99"/>
  <c r="AX31" i="99" s="1"/>
  <c r="J6" i="99" s="1"/>
  <c r="AW30" i="99"/>
  <c r="AU30" i="99"/>
  <c r="AS30" i="99"/>
  <c r="AR30" i="99"/>
  <c r="AP30" i="99"/>
  <c r="AN30" i="99"/>
  <c r="AL30" i="99"/>
  <c r="AZ23" i="99"/>
  <c r="AX23" i="99"/>
  <c r="AZ22" i="99"/>
  <c r="AX22" i="99"/>
  <c r="AT21" i="99"/>
  <c r="AV21" i="99" s="1"/>
  <c r="AP21" i="99"/>
  <c r="AR21" i="99" s="1"/>
  <c r="AL21" i="99"/>
  <c r="AT20" i="99"/>
  <c r="AV20" i="99" s="1"/>
  <c r="AP20" i="99"/>
  <c r="AL20" i="99"/>
  <c r="AZ13" i="99"/>
  <c r="O17" i="56" s="1"/>
  <c r="AX13" i="99"/>
  <c r="N17" i="56" s="1"/>
  <c r="AV13" i="99"/>
  <c r="AT13" i="99"/>
  <c r="AR13" i="99"/>
  <c r="AP13" i="99"/>
  <c r="AN13" i="99"/>
  <c r="AL13" i="99"/>
  <c r="AZ12" i="99"/>
  <c r="S17" i="56" s="1"/>
  <c r="AX12" i="99"/>
  <c r="R17" i="56" s="1"/>
  <c r="AV12" i="99"/>
  <c r="AT12" i="99"/>
  <c r="AR12" i="99"/>
  <c r="J17" i="56" s="1"/>
  <c r="AP12" i="99"/>
  <c r="I17" i="56" s="1"/>
  <c r="AN12" i="99"/>
  <c r="E17" i="56" s="1"/>
  <c r="AL12" i="99"/>
  <c r="D17" i="56" s="1"/>
  <c r="AZ11" i="99"/>
  <c r="M17" i="56" s="1"/>
  <c r="AX11" i="99"/>
  <c r="L17" i="56" s="1"/>
  <c r="AV11" i="99"/>
  <c r="AT11" i="99"/>
  <c r="AR11" i="99"/>
  <c r="AP11" i="99"/>
  <c r="AN11" i="99"/>
  <c r="AL11" i="99"/>
  <c r="AZ10" i="99"/>
  <c r="Q17" i="56" s="1"/>
  <c r="AX10" i="99"/>
  <c r="AV10" i="99"/>
  <c r="AT10" i="99"/>
  <c r="AR10" i="99"/>
  <c r="H18" i="56" s="1"/>
  <c r="AP10" i="99"/>
  <c r="AN10" i="99"/>
  <c r="C17" i="56" s="1"/>
  <c r="AL10" i="99"/>
  <c r="AD6" i="99"/>
  <c r="AG4" i="99"/>
  <c r="AF4" i="99"/>
  <c r="O4" i="99"/>
  <c r="N4" i="99"/>
  <c r="BA2" i="99"/>
  <c r="AS2" i="99"/>
  <c r="H2" i="99"/>
  <c r="AT72" i="98"/>
  <c r="AQ72" i="98"/>
  <c r="AP72" i="98"/>
  <c r="AN72" i="98"/>
  <c r="AM72" i="98"/>
  <c r="AQ70" i="98"/>
  <c r="AP70" i="98"/>
  <c r="AA16" i="56" s="1"/>
  <c r="AN70" i="98"/>
  <c r="AO70" i="98" s="1"/>
  <c r="AM70" i="98"/>
  <c r="AQ69" i="98"/>
  <c r="AP69" i="98"/>
  <c r="Y16" i="56" s="1"/>
  <c r="AN69" i="98"/>
  <c r="AO69" i="98" s="1"/>
  <c r="AM69" i="98"/>
  <c r="AQ68" i="98"/>
  <c r="AQ16" i="56" s="1"/>
  <c r="AP68" i="98"/>
  <c r="AP16" i="56" s="1"/>
  <c r="AN68" i="98"/>
  <c r="AO68" i="98" s="1"/>
  <c r="AM68" i="98"/>
  <c r="AQ67" i="98"/>
  <c r="AO16" i="56" s="1"/>
  <c r="AP67" i="98"/>
  <c r="AN16" i="56" s="1"/>
  <c r="AN67" i="98"/>
  <c r="AO67" i="98" s="1"/>
  <c r="AM67" i="98"/>
  <c r="AQ66" i="98"/>
  <c r="AG16" i="56" s="1"/>
  <c r="AP66" i="98"/>
  <c r="AF16" i="56" s="1"/>
  <c r="AN66" i="98"/>
  <c r="AO66" i="98" s="1"/>
  <c r="AM66" i="98"/>
  <c r="BB65" i="98"/>
  <c r="AQ65" i="98"/>
  <c r="AP65" i="98"/>
  <c r="AH16" i="56" s="1"/>
  <c r="AN65" i="98"/>
  <c r="AO65" i="98" s="1"/>
  <c r="AM65" i="98"/>
  <c r="BB64" i="98"/>
  <c r="AQ64" i="98"/>
  <c r="AP64" i="98"/>
  <c r="AL16" i="56" s="1"/>
  <c r="AN64" i="98"/>
  <c r="AO64" i="98" s="1"/>
  <c r="AM64" i="98"/>
  <c r="BB63" i="98"/>
  <c r="AQ63" i="98"/>
  <c r="AP63" i="98"/>
  <c r="AJ16" i="56" s="1"/>
  <c r="AN63" i="98"/>
  <c r="AO63" i="98" s="1"/>
  <c r="AM63" i="98"/>
  <c r="BB62" i="98"/>
  <c r="AQ62" i="98"/>
  <c r="AP62" i="98"/>
  <c r="AD16" i="56" s="1"/>
  <c r="AN62" i="98"/>
  <c r="AM62" i="98"/>
  <c r="BB61" i="98"/>
  <c r="AQ61" i="98"/>
  <c r="AR61" i="98" s="1"/>
  <c r="AP61" i="98"/>
  <c r="W16" i="56" s="1"/>
  <c r="AN61" i="98"/>
  <c r="AO61" i="98" s="1"/>
  <c r="AM61" i="98"/>
  <c r="BB60" i="98"/>
  <c r="AQ60" i="98"/>
  <c r="AP60" i="98"/>
  <c r="U16" i="56" s="1"/>
  <c r="AN60" i="98"/>
  <c r="AM60" i="98"/>
  <c r="BB59" i="98"/>
  <c r="AQ57" i="98"/>
  <c r="AN57" i="98"/>
  <c r="AQ56" i="98"/>
  <c r="AP56" i="98"/>
  <c r="AN56" i="98"/>
  <c r="AM56" i="98"/>
  <c r="AQ55" i="98"/>
  <c r="AP55" i="98"/>
  <c r="AN55" i="98"/>
  <c r="AM55" i="98"/>
  <c r="AQ54" i="98"/>
  <c r="AP54" i="98"/>
  <c r="AN54" i="98"/>
  <c r="AM54" i="98"/>
  <c r="AQ53" i="98"/>
  <c r="AP53" i="98"/>
  <c r="AN53" i="98"/>
  <c r="AM53" i="98"/>
  <c r="AZ30" i="98"/>
  <c r="AZ31" i="98" s="1"/>
  <c r="AX30" i="98"/>
  <c r="AX31" i="98" s="1"/>
  <c r="J6" i="98" s="1"/>
  <c r="AW30" i="98"/>
  <c r="AU30" i="98"/>
  <c r="AS30" i="98"/>
  <c r="AR30" i="98"/>
  <c r="AP30" i="98"/>
  <c r="AN30" i="98"/>
  <c r="AL30" i="98"/>
  <c r="AZ23" i="98"/>
  <c r="AX23" i="98"/>
  <c r="AZ22" i="98"/>
  <c r="AX22" i="98"/>
  <c r="AT21" i="98"/>
  <c r="AV21" i="98" s="1"/>
  <c r="AP21" i="98"/>
  <c r="AR21" i="98" s="1"/>
  <c r="AL21" i="98"/>
  <c r="AT20" i="98"/>
  <c r="AV20" i="98" s="1"/>
  <c r="AP20" i="98"/>
  <c r="AR20" i="98" s="1"/>
  <c r="AL20" i="98"/>
  <c r="AZ13" i="98"/>
  <c r="O16" i="56" s="1"/>
  <c r="AX13" i="98"/>
  <c r="N16" i="56" s="1"/>
  <c r="AV13" i="98"/>
  <c r="AT13" i="98"/>
  <c r="AR13" i="98"/>
  <c r="AP13" i="98"/>
  <c r="AN13" i="98"/>
  <c r="AL13" i="98"/>
  <c r="AZ12" i="98"/>
  <c r="S16" i="56" s="1"/>
  <c r="AX12" i="98"/>
  <c r="AV12" i="98"/>
  <c r="AT12" i="98"/>
  <c r="AR12" i="98"/>
  <c r="J16" i="56" s="1"/>
  <c r="AP12" i="98"/>
  <c r="I16" i="56" s="1"/>
  <c r="AN12" i="98"/>
  <c r="AL12" i="98"/>
  <c r="AZ11" i="98"/>
  <c r="M16" i="56" s="1"/>
  <c r="AX11" i="98"/>
  <c r="L16" i="56" s="1"/>
  <c r="AV11" i="98"/>
  <c r="AT11" i="98"/>
  <c r="AR11" i="98"/>
  <c r="AP11" i="98"/>
  <c r="AN11" i="98"/>
  <c r="AL11" i="98"/>
  <c r="AZ10" i="98"/>
  <c r="Q16" i="56" s="1"/>
  <c r="AX10" i="98"/>
  <c r="AV10" i="98"/>
  <c r="AT10" i="98"/>
  <c r="AR10" i="98"/>
  <c r="H17" i="56" s="1"/>
  <c r="AP10" i="98"/>
  <c r="G16" i="56" s="1"/>
  <c r="AN10" i="98"/>
  <c r="C16" i="56" s="1"/>
  <c r="AL10" i="98"/>
  <c r="AD6" i="98"/>
  <c r="AG4" i="98"/>
  <c r="AF4" i="98"/>
  <c r="BA2" i="98"/>
  <c r="AS2" i="98"/>
  <c r="AT72" i="97"/>
  <c r="AQ72" i="97"/>
  <c r="AP72" i="97"/>
  <c r="AN72" i="97"/>
  <c r="AM72" i="97"/>
  <c r="AQ70" i="97"/>
  <c r="AP70" i="97"/>
  <c r="AA15" i="56" s="1"/>
  <c r="AN70" i="97"/>
  <c r="AO70" i="97" s="1"/>
  <c r="AM70" i="97"/>
  <c r="AQ69" i="97"/>
  <c r="AP69" i="97"/>
  <c r="Y15" i="56" s="1"/>
  <c r="AN69" i="97"/>
  <c r="AO69" i="97" s="1"/>
  <c r="AM69" i="97"/>
  <c r="AQ68" i="97"/>
  <c r="AQ15" i="56" s="1"/>
  <c r="AP68" i="97"/>
  <c r="AP15" i="56" s="1"/>
  <c r="AN68" i="97"/>
  <c r="AO68" i="97" s="1"/>
  <c r="AM68" i="97"/>
  <c r="AQ67" i="97"/>
  <c r="AO15" i="56" s="1"/>
  <c r="AP67" i="97"/>
  <c r="AN15" i="56" s="1"/>
  <c r="AN67" i="97"/>
  <c r="AO67" i="97" s="1"/>
  <c r="AM67" i="97"/>
  <c r="AQ66" i="97"/>
  <c r="AP66" i="97"/>
  <c r="AF15" i="56" s="1"/>
  <c r="AN66" i="97"/>
  <c r="AO66" i="97" s="1"/>
  <c r="AM66" i="97"/>
  <c r="BB65" i="97"/>
  <c r="AQ65" i="97"/>
  <c r="AP65" i="97"/>
  <c r="AH15" i="56" s="1"/>
  <c r="AN65" i="97"/>
  <c r="AO65" i="97" s="1"/>
  <c r="AM65" i="97"/>
  <c r="BB64" i="97"/>
  <c r="AQ64" i="97"/>
  <c r="AP64" i="97"/>
  <c r="AL15" i="56" s="1"/>
  <c r="AN64" i="97"/>
  <c r="AO64" i="97" s="1"/>
  <c r="AM64" i="97"/>
  <c r="BB63" i="97"/>
  <c r="AQ63" i="97"/>
  <c r="AP63" i="97"/>
  <c r="AJ15" i="56" s="1"/>
  <c r="AN63" i="97"/>
  <c r="AO63" i="97" s="1"/>
  <c r="AM63" i="97"/>
  <c r="BB62" i="97"/>
  <c r="AQ62" i="97"/>
  <c r="AP62" i="97"/>
  <c r="AD15" i="56" s="1"/>
  <c r="AN62" i="97"/>
  <c r="AM62" i="97"/>
  <c r="BB61" i="97"/>
  <c r="AQ61" i="97"/>
  <c r="AR61" i="97" s="1"/>
  <c r="AP61" i="97"/>
  <c r="W15" i="56" s="1"/>
  <c r="AN61" i="97"/>
  <c r="AM61" i="97"/>
  <c r="BB60" i="97"/>
  <c r="AQ60" i="97"/>
  <c r="V15" i="56" s="1"/>
  <c r="AP60" i="97"/>
  <c r="U15" i="56" s="1"/>
  <c r="AN60" i="97"/>
  <c r="AM60" i="97"/>
  <c r="BB59" i="97"/>
  <c r="AQ57" i="97"/>
  <c r="AN57" i="97"/>
  <c r="AQ56" i="97"/>
  <c r="AP56" i="97"/>
  <c r="AN56" i="97"/>
  <c r="AM56" i="97"/>
  <c r="AQ55" i="97"/>
  <c r="AP55" i="97"/>
  <c r="AN55" i="97"/>
  <c r="AM55" i="97"/>
  <c r="AQ54" i="97"/>
  <c r="AP54" i="97"/>
  <c r="AN54" i="97"/>
  <c r="AM54" i="97"/>
  <c r="AQ53" i="97"/>
  <c r="AP53" i="97"/>
  <c r="AN53" i="97"/>
  <c r="AM53" i="97"/>
  <c r="AZ30" i="97"/>
  <c r="AZ31" i="97" s="1"/>
  <c r="AX30" i="97"/>
  <c r="AX31" i="97" s="1"/>
  <c r="J6" i="97" s="1"/>
  <c r="AW30" i="97"/>
  <c r="AU30" i="97"/>
  <c r="AS30" i="97"/>
  <c r="AR30" i="97"/>
  <c r="AP30" i="97"/>
  <c r="AN30" i="97"/>
  <c r="AL30" i="97"/>
  <c r="AZ23" i="97"/>
  <c r="AX23" i="97"/>
  <c r="AZ22" i="97"/>
  <c r="AX22" i="97"/>
  <c r="AT21" i="97"/>
  <c r="AV21" i="97" s="1"/>
  <c r="AP21" i="97"/>
  <c r="AR21" i="97" s="1"/>
  <c r="AL21" i="97"/>
  <c r="AN21" i="97" s="1"/>
  <c r="AT20" i="97"/>
  <c r="AV20" i="97" s="1"/>
  <c r="AP20" i="97"/>
  <c r="AL20" i="97"/>
  <c r="AN20" i="97" s="1"/>
  <c r="AZ13" i="97"/>
  <c r="O15" i="56" s="1"/>
  <c r="AX13" i="97"/>
  <c r="N15" i="56" s="1"/>
  <c r="AV13" i="97"/>
  <c r="AT13" i="97"/>
  <c r="AR13" i="97"/>
  <c r="AP13" i="97"/>
  <c r="AN13" i="97"/>
  <c r="AL13" i="97"/>
  <c r="AZ12" i="97"/>
  <c r="S15" i="56" s="1"/>
  <c r="AX12" i="97"/>
  <c r="R15" i="56" s="1"/>
  <c r="AV12" i="97"/>
  <c r="AT12" i="97"/>
  <c r="AR12" i="97"/>
  <c r="J15" i="56" s="1"/>
  <c r="AP12" i="97"/>
  <c r="I15" i="56" s="1"/>
  <c r="AN12" i="97"/>
  <c r="E15" i="56" s="1"/>
  <c r="AL12" i="97"/>
  <c r="AZ11" i="97"/>
  <c r="M15" i="56" s="1"/>
  <c r="AX11" i="97"/>
  <c r="L15" i="56" s="1"/>
  <c r="AV11" i="97"/>
  <c r="AT11" i="97"/>
  <c r="AR11" i="97"/>
  <c r="AP11" i="97"/>
  <c r="AN11" i="97"/>
  <c r="AL11" i="97"/>
  <c r="AZ10" i="97"/>
  <c r="Q15" i="56" s="1"/>
  <c r="AX10" i="97"/>
  <c r="AV10" i="97"/>
  <c r="AT10" i="97"/>
  <c r="AT14" i="97" s="1"/>
  <c r="AR10" i="97"/>
  <c r="H16" i="56" s="1"/>
  <c r="AP10" i="97"/>
  <c r="G15" i="56" s="1"/>
  <c r="AN10" i="97"/>
  <c r="C15" i="56" s="1"/>
  <c r="AL10" i="97"/>
  <c r="AD6" i="97"/>
  <c r="AG4" i="97"/>
  <c r="AF4" i="97"/>
  <c r="O4" i="97"/>
  <c r="N4" i="97"/>
  <c r="BA2" i="97"/>
  <c r="AS2" i="97"/>
  <c r="H2" i="97"/>
  <c r="AT72" i="95"/>
  <c r="AQ72" i="95"/>
  <c r="AP72" i="95"/>
  <c r="AN72" i="95"/>
  <c r="AM72" i="95"/>
  <c r="AQ70" i="95"/>
  <c r="AP70" i="95"/>
  <c r="AA14" i="56" s="1"/>
  <c r="AN70" i="95"/>
  <c r="AO70" i="95" s="1"/>
  <c r="AM70" i="95"/>
  <c r="AQ69" i="95"/>
  <c r="AP69" i="95"/>
  <c r="Y14" i="56" s="1"/>
  <c r="AN69" i="95"/>
  <c r="AO69" i="95" s="1"/>
  <c r="AM69" i="95"/>
  <c r="AQ68" i="95"/>
  <c r="AP68" i="95"/>
  <c r="AP14" i="56" s="1"/>
  <c r="AN68" i="95"/>
  <c r="AO68" i="95" s="1"/>
  <c r="AM68" i="95"/>
  <c r="AQ67" i="95"/>
  <c r="AP67" i="95"/>
  <c r="AN14" i="56" s="1"/>
  <c r="AN67" i="95"/>
  <c r="AO67" i="95" s="1"/>
  <c r="AM67" i="95"/>
  <c r="AQ66" i="95"/>
  <c r="AP66" i="95"/>
  <c r="AF14" i="56" s="1"/>
  <c r="AN66" i="95"/>
  <c r="AO66" i="95" s="1"/>
  <c r="AM66" i="95"/>
  <c r="BB65" i="95"/>
  <c r="AQ65" i="95"/>
  <c r="AP65" i="95"/>
  <c r="AH14" i="56" s="1"/>
  <c r="AN65" i="95"/>
  <c r="AO65" i="95" s="1"/>
  <c r="AM65" i="95"/>
  <c r="BB64" i="95"/>
  <c r="AQ64" i="95"/>
  <c r="AM14" i="56" s="1"/>
  <c r="AP64" i="95"/>
  <c r="AL14" i="56" s="1"/>
  <c r="AN64" i="95"/>
  <c r="AO64" i="95" s="1"/>
  <c r="AM64" i="95"/>
  <c r="BB63" i="95"/>
  <c r="AQ63" i="95"/>
  <c r="AP63" i="95"/>
  <c r="AJ14" i="56" s="1"/>
  <c r="AN63" i="95"/>
  <c r="AO63" i="95" s="1"/>
  <c r="AM63" i="95"/>
  <c r="BB62" i="95"/>
  <c r="AQ62" i="95"/>
  <c r="AP62" i="95"/>
  <c r="AD14" i="56" s="1"/>
  <c r="AN62" i="95"/>
  <c r="AM62" i="95"/>
  <c r="BB61" i="95"/>
  <c r="AQ61" i="95"/>
  <c r="AR61" i="95" s="1"/>
  <c r="AP61" i="95"/>
  <c r="W14" i="56" s="1"/>
  <c r="AN61" i="95"/>
  <c r="AM61" i="95"/>
  <c r="BB60" i="95"/>
  <c r="AQ60" i="95"/>
  <c r="V14" i="56" s="1"/>
  <c r="AP60" i="95"/>
  <c r="U14" i="56" s="1"/>
  <c r="AN60" i="95"/>
  <c r="AM60" i="95"/>
  <c r="BB59" i="95"/>
  <c r="AQ57" i="95"/>
  <c r="AN57" i="95"/>
  <c r="AQ56" i="95"/>
  <c r="AP56" i="95"/>
  <c r="AN56" i="95"/>
  <c r="AM56" i="95"/>
  <c r="AQ55" i="95"/>
  <c r="AP55" i="95"/>
  <c r="AN55" i="95"/>
  <c r="AM55" i="95"/>
  <c r="AQ54" i="95"/>
  <c r="AP54" i="95"/>
  <c r="AN54" i="95"/>
  <c r="AM54" i="95"/>
  <c r="AQ53" i="95"/>
  <c r="AP53" i="95"/>
  <c r="AN53" i="95"/>
  <c r="AM53" i="95"/>
  <c r="AZ30" i="95"/>
  <c r="AZ31" i="95" s="1"/>
  <c r="AX30" i="95"/>
  <c r="AX31" i="95" s="1"/>
  <c r="J6" i="95" s="1"/>
  <c r="AW30" i="95"/>
  <c r="AU30" i="95"/>
  <c r="AS30" i="95"/>
  <c r="AR30" i="95"/>
  <c r="AP30" i="95"/>
  <c r="AN30" i="95"/>
  <c r="AL30" i="95"/>
  <c r="AZ23" i="95"/>
  <c r="AX23" i="95"/>
  <c r="AZ22" i="95"/>
  <c r="AX22" i="95"/>
  <c r="AT21" i="95"/>
  <c r="AV21" i="95" s="1"/>
  <c r="AP21" i="95"/>
  <c r="AR21" i="95" s="1"/>
  <c r="AL21" i="95"/>
  <c r="AT20" i="95"/>
  <c r="AV20" i="95" s="1"/>
  <c r="AP20" i="95"/>
  <c r="AL20" i="95"/>
  <c r="AZ13" i="95"/>
  <c r="O14" i="56" s="1"/>
  <c r="AX13" i="95"/>
  <c r="N14" i="56" s="1"/>
  <c r="AV13" i="95"/>
  <c r="AT13" i="95"/>
  <c r="AR13" i="95"/>
  <c r="AP13" i="95"/>
  <c r="AN13" i="95"/>
  <c r="AL13" i="95"/>
  <c r="AZ12" i="95"/>
  <c r="S14" i="56" s="1"/>
  <c r="AX12" i="95"/>
  <c r="R14" i="56" s="1"/>
  <c r="AV12" i="95"/>
  <c r="AT12" i="95"/>
  <c r="AR12" i="95"/>
  <c r="J14" i="56" s="1"/>
  <c r="AP12" i="95"/>
  <c r="I14" i="56" s="1"/>
  <c r="AN12" i="95"/>
  <c r="E14" i="56" s="1"/>
  <c r="AL12" i="95"/>
  <c r="D14" i="56" s="1"/>
  <c r="AZ11" i="95"/>
  <c r="M14" i="56" s="1"/>
  <c r="AX11" i="95"/>
  <c r="L14" i="56" s="1"/>
  <c r="AV11" i="95"/>
  <c r="AT11" i="95"/>
  <c r="AR11" i="95"/>
  <c r="AP11" i="95"/>
  <c r="AN11" i="95"/>
  <c r="AL11" i="95"/>
  <c r="AZ10" i="95"/>
  <c r="Q14" i="56" s="1"/>
  <c r="AX10" i="95"/>
  <c r="P14" i="56" s="1"/>
  <c r="AV10" i="95"/>
  <c r="AT10" i="95"/>
  <c r="AR10" i="95"/>
  <c r="H15" i="56" s="1"/>
  <c r="AP10" i="95"/>
  <c r="AN10" i="95"/>
  <c r="C14" i="56" s="1"/>
  <c r="AL10" i="95"/>
  <c r="B14" i="56" s="1"/>
  <c r="AD6" i="95"/>
  <c r="AG4" i="95"/>
  <c r="AF4" i="95"/>
  <c r="O4" i="95"/>
  <c r="N4" i="95"/>
  <c r="BA2" i="95"/>
  <c r="AS2" i="95"/>
  <c r="N2" i="95"/>
  <c r="H2" i="95"/>
  <c r="AT72" i="94"/>
  <c r="AQ72" i="94"/>
  <c r="AP72" i="94"/>
  <c r="AN72" i="94"/>
  <c r="AM72" i="94"/>
  <c r="AQ70" i="94"/>
  <c r="AP70" i="94"/>
  <c r="AA13" i="56" s="1"/>
  <c r="AN70" i="94"/>
  <c r="AO70" i="94" s="1"/>
  <c r="AM70" i="94"/>
  <c r="AQ69" i="94"/>
  <c r="AP69" i="94"/>
  <c r="Y13" i="56" s="1"/>
  <c r="AN69" i="94"/>
  <c r="AM69" i="94"/>
  <c r="AQ68" i="94"/>
  <c r="AQ13" i="56" s="1"/>
  <c r="AP68" i="94"/>
  <c r="AP13" i="56" s="1"/>
  <c r="AN68" i="94"/>
  <c r="AO68" i="94" s="1"/>
  <c r="AM68" i="94"/>
  <c r="AQ67" i="94"/>
  <c r="AO13" i="56" s="1"/>
  <c r="AP67" i="94"/>
  <c r="AN13" i="56" s="1"/>
  <c r="AN67" i="94"/>
  <c r="AO67" i="94" s="1"/>
  <c r="AM67" i="94"/>
  <c r="AQ66" i="94"/>
  <c r="AG13" i="56" s="1"/>
  <c r="AP66" i="94"/>
  <c r="AF13" i="56" s="1"/>
  <c r="AN66" i="94"/>
  <c r="AO66" i="94" s="1"/>
  <c r="AM66" i="94"/>
  <c r="BB65" i="94"/>
  <c r="AQ65" i="94"/>
  <c r="AP65" i="94"/>
  <c r="AH13" i="56" s="1"/>
  <c r="AN65" i="94"/>
  <c r="AO65" i="94" s="1"/>
  <c r="AM65" i="94"/>
  <c r="BB64" i="94"/>
  <c r="AQ64" i="94"/>
  <c r="AP64" i="94"/>
  <c r="AL13" i="56" s="1"/>
  <c r="AN64" i="94"/>
  <c r="AO64" i="94" s="1"/>
  <c r="AM64" i="94"/>
  <c r="BB63" i="94"/>
  <c r="AQ63" i="94"/>
  <c r="AP63" i="94"/>
  <c r="AJ13" i="56" s="1"/>
  <c r="AN63" i="94"/>
  <c r="AO63" i="94" s="1"/>
  <c r="AM63" i="94"/>
  <c r="BB62" i="94"/>
  <c r="AQ62" i="94"/>
  <c r="AP62" i="94"/>
  <c r="AD13" i="56" s="1"/>
  <c r="AN62" i="94"/>
  <c r="AM62" i="94"/>
  <c r="BB61" i="94"/>
  <c r="AQ61" i="94"/>
  <c r="AR61" i="94" s="1"/>
  <c r="AP61" i="94"/>
  <c r="W13" i="56" s="1"/>
  <c r="AN61" i="94"/>
  <c r="AM61" i="94"/>
  <c r="BB60" i="94"/>
  <c r="AQ60" i="94"/>
  <c r="AP60" i="94"/>
  <c r="U13" i="56" s="1"/>
  <c r="AN60" i="94"/>
  <c r="AO60" i="94" s="1"/>
  <c r="AM60" i="94"/>
  <c r="BB59" i="94"/>
  <c r="AQ57" i="94"/>
  <c r="AN57" i="94"/>
  <c r="AQ56" i="94"/>
  <c r="AP56" i="94"/>
  <c r="AN56" i="94"/>
  <c r="AM56" i="94"/>
  <c r="AQ55" i="94"/>
  <c r="AP55" i="94"/>
  <c r="AN55" i="94"/>
  <c r="AM55" i="94"/>
  <c r="AQ54" i="94"/>
  <c r="AP54" i="94"/>
  <c r="AN54" i="94"/>
  <c r="AM54" i="94"/>
  <c r="AQ53" i="94"/>
  <c r="AP53" i="94"/>
  <c r="AN53" i="94"/>
  <c r="AM53" i="94"/>
  <c r="AZ30" i="94"/>
  <c r="AZ31" i="94" s="1"/>
  <c r="AX30" i="94"/>
  <c r="AX31" i="94" s="1"/>
  <c r="J6" i="94" s="1"/>
  <c r="AW30" i="94"/>
  <c r="AU30" i="94"/>
  <c r="AS30" i="94"/>
  <c r="AR30" i="94"/>
  <c r="AP30" i="94"/>
  <c r="AN30" i="94"/>
  <c r="AL30" i="94"/>
  <c r="AZ23" i="94"/>
  <c r="AX23" i="94"/>
  <c r="AZ22" i="94"/>
  <c r="AX22" i="94"/>
  <c r="AT21" i="94"/>
  <c r="AV21" i="94" s="1"/>
  <c r="AP21" i="94"/>
  <c r="AR21" i="94" s="1"/>
  <c r="AL21" i="94"/>
  <c r="AT20" i="94"/>
  <c r="AV20" i="94" s="1"/>
  <c r="AP20" i="94"/>
  <c r="AL20" i="94"/>
  <c r="AZ13" i="94"/>
  <c r="O13" i="56" s="1"/>
  <c r="AX13" i="94"/>
  <c r="N13" i="56" s="1"/>
  <c r="AV13" i="94"/>
  <c r="AT13" i="94"/>
  <c r="AR13" i="94"/>
  <c r="AP13" i="94"/>
  <c r="AN13" i="94"/>
  <c r="AL13" i="94"/>
  <c r="AZ12" i="94"/>
  <c r="S13" i="56" s="1"/>
  <c r="AX12" i="94"/>
  <c r="R13" i="56" s="1"/>
  <c r="AV12" i="94"/>
  <c r="AT12" i="94"/>
  <c r="AR12" i="94"/>
  <c r="J13" i="56" s="1"/>
  <c r="AP12" i="94"/>
  <c r="I13" i="56" s="1"/>
  <c r="AN12" i="94"/>
  <c r="E13" i="56" s="1"/>
  <c r="AL12" i="94"/>
  <c r="D13" i="56" s="1"/>
  <c r="AZ11" i="94"/>
  <c r="M13" i="56" s="1"/>
  <c r="AX11" i="94"/>
  <c r="L13" i="56" s="1"/>
  <c r="AV11" i="94"/>
  <c r="AT11" i="94"/>
  <c r="AR11" i="94"/>
  <c r="AP11" i="94"/>
  <c r="AN11" i="94"/>
  <c r="AL11" i="94"/>
  <c r="AZ10" i="94"/>
  <c r="Q13" i="56" s="1"/>
  <c r="AX10" i="94"/>
  <c r="AV10" i="94"/>
  <c r="AT10" i="94"/>
  <c r="AR10" i="94"/>
  <c r="H14" i="56" s="1"/>
  <c r="AP10" i="94"/>
  <c r="G13" i="56" s="1"/>
  <c r="AN10" i="94"/>
  <c r="C13" i="56" s="1"/>
  <c r="AL10" i="94"/>
  <c r="AD6" i="94"/>
  <c r="AG4" i="94"/>
  <c r="AF4" i="94"/>
  <c r="O4" i="94"/>
  <c r="N4" i="94"/>
  <c r="BA2" i="94"/>
  <c r="AS2" i="94"/>
  <c r="N2" i="94"/>
  <c r="H2" i="94"/>
  <c r="AT72" i="93"/>
  <c r="AQ72" i="93"/>
  <c r="AP72" i="93"/>
  <c r="AN72" i="93"/>
  <c r="AM72" i="93"/>
  <c r="AQ70" i="93"/>
  <c r="AP70" i="93"/>
  <c r="AA12" i="56" s="1"/>
  <c r="AN70" i="93"/>
  <c r="AM70" i="93"/>
  <c r="AQ69" i="93"/>
  <c r="AP69" i="93"/>
  <c r="Y12" i="56" s="1"/>
  <c r="AN69" i="93"/>
  <c r="AM69" i="93"/>
  <c r="AQ68" i="93"/>
  <c r="AP68" i="93"/>
  <c r="AP12" i="56" s="1"/>
  <c r="AN68" i="93"/>
  <c r="AO68" i="93" s="1"/>
  <c r="AM68" i="93"/>
  <c r="AQ67" i="93"/>
  <c r="AO12" i="56" s="1"/>
  <c r="AP67" i="93"/>
  <c r="AN12" i="56" s="1"/>
  <c r="AN67" i="93"/>
  <c r="AO67" i="93" s="1"/>
  <c r="AM67" i="93"/>
  <c r="AQ66" i="93"/>
  <c r="AP66" i="93"/>
  <c r="AF12" i="56" s="1"/>
  <c r="AN66" i="93"/>
  <c r="AO66" i="93" s="1"/>
  <c r="AM66" i="93"/>
  <c r="BB65" i="93"/>
  <c r="AQ65" i="93"/>
  <c r="AP65" i="93"/>
  <c r="AH12" i="56" s="1"/>
  <c r="AN65" i="93"/>
  <c r="AO65" i="93" s="1"/>
  <c r="AM65" i="93"/>
  <c r="BB64" i="93"/>
  <c r="AQ64" i="93"/>
  <c r="AM12" i="56" s="1"/>
  <c r="AP64" i="93"/>
  <c r="AL12" i="56" s="1"/>
  <c r="AN64" i="93"/>
  <c r="AO64" i="93" s="1"/>
  <c r="AM64" i="93"/>
  <c r="BB63" i="93"/>
  <c r="AQ63" i="93"/>
  <c r="AP63" i="93"/>
  <c r="AJ12" i="56" s="1"/>
  <c r="AN63" i="93"/>
  <c r="AO63" i="93" s="1"/>
  <c r="AM63" i="93"/>
  <c r="BB62" i="93"/>
  <c r="AQ62" i="93"/>
  <c r="AP62" i="93"/>
  <c r="AD12" i="56" s="1"/>
  <c r="AN62" i="93"/>
  <c r="AM62" i="93"/>
  <c r="BB61" i="93"/>
  <c r="AQ61" i="93"/>
  <c r="AR61" i="93" s="1"/>
  <c r="AP61" i="93"/>
  <c r="W12" i="56" s="1"/>
  <c r="AN61" i="93"/>
  <c r="AM61" i="93"/>
  <c r="BB60" i="93"/>
  <c r="AQ60" i="93"/>
  <c r="AP60" i="93"/>
  <c r="U12" i="56" s="1"/>
  <c r="AN60" i="93"/>
  <c r="AO60" i="93" s="1"/>
  <c r="AM60" i="93"/>
  <c r="BB59" i="93"/>
  <c r="AQ57" i="93"/>
  <c r="AN57" i="93"/>
  <c r="AQ56" i="93"/>
  <c r="AP56" i="93"/>
  <c r="AN56" i="93"/>
  <c r="AM56" i="93"/>
  <c r="AQ55" i="93"/>
  <c r="AP55" i="93"/>
  <c r="AN55" i="93"/>
  <c r="AM55" i="93"/>
  <c r="AQ54" i="93"/>
  <c r="AP54" i="93"/>
  <c r="AN54" i="93"/>
  <c r="AM54" i="93"/>
  <c r="AQ53" i="93"/>
  <c r="AP53" i="93"/>
  <c r="AN53" i="93"/>
  <c r="AM53" i="93"/>
  <c r="AZ30" i="93"/>
  <c r="AZ31" i="93" s="1"/>
  <c r="AX30" i="93"/>
  <c r="AX31" i="93" s="1"/>
  <c r="J6" i="93" s="1"/>
  <c r="AW30" i="93"/>
  <c r="AU30" i="93"/>
  <c r="AS30" i="93"/>
  <c r="AR30" i="93"/>
  <c r="AP30" i="93"/>
  <c r="AN30" i="93"/>
  <c r="AL30" i="93"/>
  <c r="AZ23" i="93"/>
  <c r="AX23" i="93"/>
  <c r="AZ22" i="93"/>
  <c r="AX22" i="93"/>
  <c r="AT21" i="93"/>
  <c r="AV21" i="93" s="1"/>
  <c r="AP21" i="93"/>
  <c r="AR21" i="93" s="1"/>
  <c r="AL21" i="93"/>
  <c r="AT20" i="93"/>
  <c r="AV20" i="93" s="1"/>
  <c r="AP20" i="93"/>
  <c r="AL20" i="93"/>
  <c r="AZ13" i="93"/>
  <c r="O12" i="56" s="1"/>
  <c r="AX13" i="93"/>
  <c r="N12" i="56" s="1"/>
  <c r="AV13" i="93"/>
  <c r="AT13" i="93"/>
  <c r="AR13" i="93"/>
  <c r="AP13" i="93"/>
  <c r="AN13" i="93"/>
  <c r="AL13" i="93"/>
  <c r="AZ12" i="93"/>
  <c r="S12" i="56" s="1"/>
  <c r="AX12" i="93"/>
  <c r="R12" i="56" s="1"/>
  <c r="AV12" i="93"/>
  <c r="AT12" i="93"/>
  <c r="AR12" i="93"/>
  <c r="J12" i="56" s="1"/>
  <c r="AP12" i="93"/>
  <c r="I12" i="56" s="1"/>
  <c r="AN12" i="93"/>
  <c r="E12" i="56" s="1"/>
  <c r="AL12" i="93"/>
  <c r="D12" i="56" s="1"/>
  <c r="AZ11" i="93"/>
  <c r="M12" i="56" s="1"/>
  <c r="AX11" i="93"/>
  <c r="L12" i="56" s="1"/>
  <c r="AV11" i="93"/>
  <c r="AT11" i="93"/>
  <c r="AR11" i="93"/>
  <c r="AP11" i="93"/>
  <c r="AN11" i="93"/>
  <c r="AL11" i="93"/>
  <c r="AZ10" i="93"/>
  <c r="AX10" i="93"/>
  <c r="AV10" i="93"/>
  <c r="AT10" i="93"/>
  <c r="AR10" i="93"/>
  <c r="H13" i="56" s="1"/>
  <c r="AP10" i="93"/>
  <c r="G12" i="56" s="1"/>
  <c r="AN10" i="93"/>
  <c r="AL10" i="93"/>
  <c r="AD6" i="93"/>
  <c r="AG4" i="93"/>
  <c r="AF4" i="93"/>
  <c r="O4" i="93"/>
  <c r="N4" i="93"/>
  <c r="BA2" i="93"/>
  <c r="AS2" i="93"/>
  <c r="N2" i="93"/>
  <c r="H2" i="93"/>
  <c r="AT72" i="92"/>
  <c r="AQ72" i="92"/>
  <c r="AP72" i="92"/>
  <c r="AN72" i="92"/>
  <c r="AM72" i="92"/>
  <c r="AQ70" i="92"/>
  <c r="AP70" i="92"/>
  <c r="AA11" i="56" s="1"/>
  <c r="AN70" i="92"/>
  <c r="AO70" i="92" s="1"/>
  <c r="AM70" i="92"/>
  <c r="AQ69" i="92"/>
  <c r="AP69" i="92"/>
  <c r="Y11" i="56" s="1"/>
  <c r="AN69" i="92"/>
  <c r="AO69" i="92" s="1"/>
  <c r="AM69" i="92"/>
  <c r="AQ68" i="92"/>
  <c r="AP68" i="92"/>
  <c r="AP11" i="56" s="1"/>
  <c r="AN68" i="92"/>
  <c r="AO68" i="92" s="1"/>
  <c r="AM68" i="92"/>
  <c r="AQ67" i="92"/>
  <c r="AO11" i="56" s="1"/>
  <c r="AP67" i="92"/>
  <c r="AN11" i="56" s="1"/>
  <c r="AN67" i="92"/>
  <c r="AO67" i="92" s="1"/>
  <c r="AM67" i="92"/>
  <c r="AQ66" i="92"/>
  <c r="AG11" i="56" s="1"/>
  <c r="AP66" i="92"/>
  <c r="AF11" i="56" s="1"/>
  <c r="AN66" i="92"/>
  <c r="AO66" i="92" s="1"/>
  <c r="AM66" i="92"/>
  <c r="BB65" i="92"/>
  <c r="AQ65" i="92"/>
  <c r="AI11" i="56" s="1"/>
  <c r="AP65" i="92"/>
  <c r="AH11" i="56" s="1"/>
  <c r="AN65" i="92"/>
  <c r="AO65" i="92" s="1"/>
  <c r="AM65" i="92"/>
  <c r="BB64" i="92"/>
  <c r="AQ64" i="92"/>
  <c r="AM11" i="56" s="1"/>
  <c r="AP64" i="92"/>
  <c r="AL11" i="56" s="1"/>
  <c r="AN64" i="92"/>
  <c r="AO64" i="92" s="1"/>
  <c r="AM64" i="92"/>
  <c r="BB63" i="92"/>
  <c r="AQ63" i="92"/>
  <c r="AP63" i="92"/>
  <c r="AJ11" i="56" s="1"/>
  <c r="AN63" i="92"/>
  <c r="AO63" i="92" s="1"/>
  <c r="AM63" i="92"/>
  <c r="BB62" i="92"/>
  <c r="AQ62" i="92"/>
  <c r="AP62" i="92"/>
  <c r="AD11" i="56" s="1"/>
  <c r="AN62" i="92"/>
  <c r="AM62" i="92"/>
  <c r="BB61" i="92"/>
  <c r="AQ61" i="92"/>
  <c r="AR61" i="92" s="1"/>
  <c r="AP61" i="92"/>
  <c r="W11" i="56" s="1"/>
  <c r="AN61" i="92"/>
  <c r="AM61" i="92"/>
  <c r="BB60" i="92"/>
  <c r="AQ60" i="92"/>
  <c r="AP60" i="92"/>
  <c r="U11" i="56" s="1"/>
  <c r="AN60" i="92"/>
  <c r="AM60" i="92"/>
  <c r="BB59" i="92"/>
  <c r="AQ57" i="92"/>
  <c r="AN57" i="92"/>
  <c r="AQ56" i="92"/>
  <c r="AP56" i="92"/>
  <c r="AN56" i="92"/>
  <c r="AM56" i="92"/>
  <c r="AQ55" i="92"/>
  <c r="AP55" i="92"/>
  <c r="AN55" i="92"/>
  <c r="AM55" i="92"/>
  <c r="AQ54" i="92"/>
  <c r="AP54" i="92"/>
  <c r="AN54" i="92"/>
  <c r="AM54" i="92"/>
  <c r="AQ53" i="92"/>
  <c r="AP53" i="92"/>
  <c r="AN53" i="92"/>
  <c r="AM53" i="92"/>
  <c r="AZ30" i="92"/>
  <c r="AZ31" i="92" s="1"/>
  <c r="AX30" i="92"/>
  <c r="AX31" i="92" s="1"/>
  <c r="J6" i="92" s="1"/>
  <c r="AW30" i="92"/>
  <c r="AU30" i="92"/>
  <c r="AS30" i="92"/>
  <c r="AR30" i="92"/>
  <c r="AP30" i="92"/>
  <c r="AN30" i="92"/>
  <c r="AL30" i="92"/>
  <c r="AZ23" i="92"/>
  <c r="AX23" i="92"/>
  <c r="AZ22" i="92"/>
  <c r="AX22" i="92"/>
  <c r="AT21" i="92"/>
  <c r="AV21" i="92" s="1"/>
  <c r="AP21" i="92"/>
  <c r="AR21" i="92" s="1"/>
  <c r="AL21" i="92"/>
  <c r="AT20" i="92"/>
  <c r="AV20" i="92" s="1"/>
  <c r="AP20" i="92"/>
  <c r="AR20" i="92" s="1"/>
  <c r="AL20" i="92"/>
  <c r="AZ13" i="92"/>
  <c r="O11" i="56" s="1"/>
  <c r="AX13" i="92"/>
  <c r="N11" i="56" s="1"/>
  <c r="AV13" i="92"/>
  <c r="AT13" i="92"/>
  <c r="AR13" i="92"/>
  <c r="AP13" i="92"/>
  <c r="AN13" i="92"/>
  <c r="AL13" i="92"/>
  <c r="AZ12" i="92"/>
  <c r="S11" i="56" s="1"/>
  <c r="AX12" i="92"/>
  <c r="R11" i="56" s="1"/>
  <c r="AV12" i="92"/>
  <c r="AT12" i="92"/>
  <c r="AR12" i="92"/>
  <c r="J11" i="56" s="1"/>
  <c r="AP12" i="92"/>
  <c r="I11" i="56" s="1"/>
  <c r="AN12" i="92"/>
  <c r="E11" i="56" s="1"/>
  <c r="AL12" i="92"/>
  <c r="D11" i="56" s="1"/>
  <c r="AZ11" i="92"/>
  <c r="M11" i="56" s="1"/>
  <c r="AX11" i="92"/>
  <c r="L11" i="56" s="1"/>
  <c r="AV11" i="92"/>
  <c r="AT11" i="92"/>
  <c r="AR11" i="92"/>
  <c r="AP11" i="92"/>
  <c r="AN11" i="92"/>
  <c r="AL11" i="92"/>
  <c r="AZ10" i="92"/>
  <c r="Q11" i="56" s="1"/>
  <c r="AX10" i="92"/>
  <c r="P11" i="56" s="1"/>
  <c r="AV10" i="92"/>
  <c r="AT10" i="92"/>
  <c r="AR10" i="92"/>
  <c r="H12" i="56" s="1"/>
  <c r="AP10" i="92"/>
  <c r="AN10" i="92"/>
  <c r="C11" i="56" s="1"/>
  <c r="AL10" i="92"/>
  <c r="B11" i="56" s="1"/>
  <c r="AD6" i="92"/>
  <c r="AG4" i="92"/>
  <c r="AF4" i="92"/>
  <c r="O4" i="92"/>
  <c r="N4" i="92"/>
  <c r="BA2" i="92"/>
  <c r="AS2" i="92"/>
  <c r="H2" i="92"/>
  <c r="AT72" i="91"/>
  <c r="AQ72" i="91"/>
  <c r="AP72" i="91"/>
  <c r="AN72" i="91"/>
  <c r="AM72" i="91"/>
  <c r="AQ70" i="91"/>
  <c r="AP70" i="91"/>
  <c r="AA10" i="56" s="1"/>
  <c r="AN70" i="91"/>
  <c r="AM70" i="91"/>
  <c r="AQ69" i="91"/>
  <c r="AP69" i="91"/>
  <c r="Y10" i="56" s="1"/>
  <c r="AN69" i="91"/>
  <c r="AM69" i="91"/>
  <c r="AQ68" i="91"/>
  <c r="AP68" i="91"/>
  <c r="AP10" i="56" s="1"/>
  <c r="AN68" i="91"/>
  <c r="AO68" i="91" s="1"/>
  <c r="AM68" i="91"/>
  <c r="AQ67" i="91"/>
  <c r="AO10" i="56" s="1"/>
  <c r="AP67" i="91"/>
  <c r="AN10" i="56" s="1"/>
  <c r="AN67" i="91"/>
  <c r="AO67" i="91" s="1"/>
  <c r="AM67" i="91"/>
  <c r="AQ66" i="91"/>
  <c r="AG10" i="56" s="1"/>
  <c r="AP66" i="91"/>
  <c r="AF10" i="56" s="1"/>
  <c r="AN66" i="91"/>
  <c r="AO66" i="91" s="1"/>
  <c r="AM66" i="91"/>
  <c r="BB65" i="91"/>
  <c r="AQ65" i="91"/>
  <c r="AI10" i="56" s="1"/>
  <c r="AP65" i="91"/>
  <c r="AH10" i="56" s="1"/>
  <c r="AN65" i="91"/>
  <c r="AO65" i="91" s="1"/>
  <c r="AM65" i="91"/>
  <c r="BB64" i="91"/>
  <c r="AQ64" i="91"/>
  <c r="AM10" i="56" s="1"/>
  <c r="AP64" i="91"/>
  <c r="AL10" i="56" s="1"/>
  <c r="AN64" i="91"/>
  <c r="AO64" i="91" s="1"/>
  <c r="AM64" i="91"/>
  <c r="BB63" i="91"/>
  <c r="AQ63" i="91"/>
  <c r="AP63" i="91"/>
  <c r="AJ10" i="56" s="1"/>
  <c r="AN63" i="91"/>
  <c r="AO63" i="91" s="1"/>
  <c r="AM63" i="91"/>
  <c r="BB62" i="91"/>
  <c r="AQ62" i="91"/>
  <c r="AP62" i="91"/>
  <c r="AD10" i="56" s="1"/>
  <c r="AN62" i="91"/>
  <c r="AM62" i="91"/>
  <c r="BB61" i="91"/>
  <c r="AQ61" i="91"/>
  <c r="AR61" i="91" s="1"/>
  <c r="AP61" i="91"/>
  <c r="W10" i="56" s="1"/>
  <c r="AN61" i="91"/>
  <c r="AM61" i="91"/>
  <c r="BB60" i="91"/>
  <c r="AQ60" i="91"/>
  <c r="V10" i="56" s="1"/>
  <c r="AP60" i="91"/>
  <c r="U10" i="56" s="1"/>
  <c r="AN60" i="91"/>
  <c r="AM60" i="91"/>
  <c r="BB59" i="91"/>
  <c r="AQ57" i="91"/>
  <c r="AN57" i="91"/>
  <c r="AQ56" i="91"/>
  <c r="AP56" i="91"/>
  <c r="AN56" i="91"/>
  <c r="AM56" i="91"/>
  <c r="AQ55" i="91"/>
  <c r="AP55" i="91"/>
  <c r="AN55" i="91"/>
  <c r="AM55" i="91"/>
  <c r="AQ54" i="91"/>
  <c r="AP54" i="91"/>
  <c r="AN54" i="91"/>
  <c r="AM54" i="91"/>
  <c r="AQ53" i="91"/>
  <c r="AS53" i="91" s="1"/>
  <c r="AP53" i="91"/>
  <c r="AN53" i="91"/>
  <c r="AM53" i="91"/>
  <c r="AZ30" i="91"/>
  <c r="AZ31" i="91" s="1"/>
  <c r="AX30" i="91"/>
  <c r="AX31" i="91" s="1"/>
  <c r="J6" i="91" s="1"/>
  <c r="AW30" i="91"/>
  <c r="AU30" i="91"/>
  <c r="AS30" i="91"/>
  <c r="AR30" i="91"/>
  <c r="AP30" i="91"/>
  <c r="AN30" i="91"/>
  <c r="AL30" i="91"/>
  <c r="AZ23" i="91"/>
  <c r="AX23" i="91"/>
  <c r="AZ22" i="91"/>
  <c r="AX22" i="91"/>
  <c r="AT21" i="91"/>
  <c r="AV21" i="91" s="1"/>
  <c r="AP21" i="91"/>
  <c r="AR21" i="91" s="1"/>
  <c r="AL21" i="91"/>
  <c r="AN21" i="91" s="1"/>
  <c r="AT20" i="91"/>
  <c r="AV20" i="91" s="1"/>
  <c r="AP20" i="91"/>
  <c r="AR20" i="91" s="1"/>
  <c r="AL20" i="91"/>
  <c r="AN20" i="91" s="1"/>
  <c r="AZ13" i="91"/>
  <c r="O10" i="56" s="1"/>
  <c r="AX13" i="91"/>
  <c r="N10" i="56" s="1"/>
  <c r="AV13" i="91"/>
  <c r="AT13" i="91"/>
  <c r="AR13" i="91"/>
  <c r="AP13" i="91"/>
  <c r="AN13" i="91"/>
  <c r="AL13" i="91"/>
  <c r="AZ12" i="91"/>
  <c r="S10" i="56" s="1"/>
  <c r="AX12" i="91"/>
  <c r="R10" i="56" s="1"/>
  <c r="AV12" i="91"/>
  <c r="AT12" i="91"/>
  <c r="AR12" i="91"/>
  <c r="J10" i="56" s="1"/>
  <c r="AP12" i="91"/>
  <c r="I10" i="56" s="1"/>
  <c r="AN12" i="91"/>
  <c r="E10" i="56" s="1"/>
  <c r="AL12" i="91"/>
  <c r="D10" i="56" s="1"/>
  <c r="AZ11" i="91"/>
  <c r="M10" i="56" s="1"/>
  <c r="AX11" i="91"/>
  <c r="L10" i="56" s="1"/>
  <c r="AV11" i="91"/>
  <c r="AT11" i="91"/>
  <c r="AR11" i="91"/>
  <c r="AP11" i="91"/>
  <c r="AN11" i="91"/>
  <c r="AL11" i="91"/>
  <c r="AZ10" i="91"/>
  <c r="AX10" i="91"/>
  <c r="P10" i="56" s="1"/>
  <c r="AV10" i="91"/>
  <c r="AT10" i="91"/>
  <c r="AR10" i="91"/>
  <c r="H11" i="56" s="1"/>
  <c r="AP10" i="91"/>
  <c r="AN10" i="91"/>
  <c r="C10" i="56" s="1"/>
  <c r="AL10" i="91"/>
  <c r="B10" i="56" s="1"/>
  <c r="AD6" i="91"/>
  <c r="AG4" i="91"/>
  <c r="AF4" i="91"/>
  <c r="O4" i="91"/>
  <c r="N4" i="91"/>
  <c r="BA2" i="91"/>
  <c r="AS2" i="91"/>
  <c r="N2" i="91"/>
  <c r="H2" i="91"/>
  <c r="AT72" i="62"/>
  <c r="AQ72" i="62"/>
  <c r="AP72" i="62"/>
  <c r="AN72" i="62"/>
  <c r="AM72" i="62"/>
  <c r="AQ70" i="62"/>
  <c r="AP70" i="62"/>
  <c r="AA9" i="56" s="1"/>
  <c r="AN70" i="62"/>
  <c r="AM70" i="62"/>
  <c r="AQ69" i="62"/>
  <c r="AP69" i="62"/>
  <c r="Y9" i="56" s="1"/>
  <c r="AN69" i="62"/>
  <c r="AM69" i="62"/>
  <c r="AQ68" i="62"/>
  <c r="AP68" i="62"/>
  <c r="AP9" i="56" s="1"/>
  <c r="AN68" i="62"/>
  <c r="AO68" i="62" s="1"/>
  <c r="AM68" i="62"/>
  <c r="AQ67" i="62"/>
  <c r="AO9" i="56" s="1"/>
  <c r="AP67" i="62"/>
  <c r="AN9" i="56" s="1"/>
  <c r="AN67" i="62"/>
  <c r="AO67" i="62" s="1"/>
  <c r="AM67" i="62"/>
  <c r="AQ66" i="62"/>
  <c r="AP66" i="62"/>
  <c r="AF9" i="56" s="1"/>
  <c r="AN66" i="62"/>
  <c r="AO66" i="62" s="1"/>
  <c r="AM66" i="62"/>
  <c r="BB65" i="62"/>
  <c r="AQ65" i="62"/>
  <c r="AP65" i="62"/>
  <c r="AH9" i="56" s="1"/>
  <c r="AN65" i="62"/>
  <c r="AO65" i="62" s="1"/>
  <c r="AM65" i="62"/>
  <c r="BB64" i="62"/>
  <c r="AQ64" i="62"/>
  <c r="AP64" i="62"/>
  <c r="AL9" i="56" s="1"/>
  <c r="AN64" i="62"/>
  <c r="AO64" i="62" s="1"/>
  <c r="AM64" i="62"/>
  <c r="BB63" i="62"/>
  <c r="AQ63" i="62"/>
  <c r="AP63" i="62"/>
  <c r="AN63" i="62"/>
  <c r="AO63" i="62" s="1"/>
  <c r="AM63" i="62"/>
  <c r="BB62" i="62"/>
  <c r="AQ62" i="62"/>
  <c r="AP62" i="62"/>
  <c r="AD9" i="56" s="1"/>
  <c r="AN62" i="62"/>
  <c r="AM62" i="62"/>
  <c r="BB61" i="62"/>
  <c r="AQ61" i="62"/>
  <c r="AR61" i="62" s="1"/>
  <c r="AP61" i="62"/>
  <c r="W9" i="56" s="1"/>
  <c r="AN61" i="62"/>
  <c r="AM61" i="62"/>
  <c r="BB60" i="62"/>
  <c r="AQ60" i="62"/>
  <c r="AP60" i="62"/>
  <c r="U9" i="56" s="1"/>
  <c r="AN60" i="62"/>
  <c r="AO60" i="62" s="1"/>
  <c r="AM60" i="62"/>
  <c r="BB59" i="62"/>
  <c r="AQ57" i="62"/>
  <c r="AN57" i="62"/>
  <c r="AQ56" i="62"/>
  <c r="AP56" i="62"/>
  <c r="AN56" i="62"/>
  <c r="AM56" i="62"/>
  <c r="AQ55" i="62"/>
  <c r="AP55" i="62"/>
  <c r="AN55" i="62"/>
  <c r="AM55" i="62"/>
  <c r="AQ54" i="62"/>
  <c r="AP54" i="62"/>
  <c r="AN54" i="62"/>
  <c r="AM54" i="62"/>
  <c r="AQ53" i="62"/>
  <c r="AP53" i="62"/>
  <c r="AN53" i="62"/>
  <c r="AM53" i="62"/>
  <c r="AZ30" i="62"/>
  <c r="AZ31" i="62" s="1"/>
  <c r="AX30" i="62"/>
  <c r="AX31" i="62" s="1"/>
  <c r="J6" i="62" s="1"/>
  <c r="AW30" i="62"/>
  <c r="AU30" i="62"/>
  <c r="AS30" i="62"/>
  <c r="AR30" i="62"/>
  <c r="F6" i="57" s="1"/>
  <c r="AP30" i="62"/>
  <c r="AN30" i="62"/>
  <c r="AL30" i="62"/>
  <c r="AZ23" i="62"/>
  <c r="AX23" i="62"/>
  <c r="AZ22" i="62"/>
  <c r="AX22" i="62"/>
  <c r="AT21" i="62"/>
  <c r="AV21" i="62" s="1"/>
  <c r="AP21" i="62"/>
  <c r="AR21" i="62" s="1"/>
  <c r="AL21" i="62"/>
  <c r="AT20" i="62"/>
  <c r="AV20" i="62" s="1"/>
  <c r="AP20" i="62"/>
  <c r="AL20" i="62"/>
  <c r="AZ13" i="62"/>
  <c r="O9" i="56" s="1"/>
  <c r="AX13" i="62"/>
  <c r="N9" i="56" s="1"/>
  <c r="AV13" i="62"/>
  <c r="AT13" i="62"/>
  <c r="AR13" i="62"/>
  <c r="AP13" i="62"/>
  <c r="AN13" i="62"/>
  <c r="AL13" i="62"/>
  <c r="AZ12" i="62"/>
  <c r="S9" i="56" s="1"/>
  <c r="AX12" i="62"/>
  <c r="R9" i="56" s="1"/>
  <c r="AV12" i="62"/>
  <c r="AT12" i="62"/>
  <c r="AR12" i="62"/>
  <c r="J9" i="56" s="1"/>
  <c r="AP12" i="62"/>
  <c r="I9" i="56" s="1"/>
  <c r="AN12" i="62"/>
  <c r="E9" i="56" s="1"/>
  <c r="AL12" i="62"/>
  <c r="D9" i="56" s="1"/>
  <c r="AZ11" i="62"/>
  <c r="M9" i="56" s="1"/>
  <c r="AX11" i="62"/>
  <c r="L9" i="56" s="1"/>
  <c r="AV11" i="62"/>
  <c r="AT11" i="62"/>
  <c r="AR11" i="62"/>
  <c r="AP11" i="62"/>
  <c r="AN11" i="62"/>
  <c r="AL11" i="62"/>
  <c r="AZ10" i="62"/>
  <c r="Q9" i="56" s="1"/>
  <c r="AX10" i="62"/>
  <c r="AV10" i="62"/>
  <c r="AT10" i="62"/>
  <c r="AR10" i="62"/>
  <c r="H10" i="56" s="1"/>
  <c r="AP10" i="62"/>
  <c r="G9" i="56" s="1"/>
  <c r="AN10" i="62"/>
  <c r="C9" i="56" s="1"/>
  <c r="AL10" i="62"/>
  <c r="AD6" i="62"/>
  <c r="AG4" i="62"/>
  <c r="AF4" i="62"/>
  <c r="O4" i="62"/>
  <c r="N4" i="62"/>
  <c r="BA2" i="62"/>
  <c r="AS2" i="62"/>
  <c r="N2" i="62"/>
  <c r="H2" i="62"/>
  <c r="AT72" i="61"/>
  <c r="AQ72" i="61"/>
  <c r="AP72" i="61"/>
  <c r="AN72" i="61"/>
  <c r="AM72" i="61"/>
  <c r="AQ70" i="61"/>
  <c r="AP70" i="61"/>
  <c r="AA8" i="56" s="1"/>
  <c r="AN70" i="61"/>
  <c r="AO70" i="61" s="1"/>
  <c r="AM70" i="61"/>
  <c r="AQ69" i="61"/>
  <c r="AP69" i="61"/>
  <c r="Y8" i="56" s="1"/>
  <c r="AN69" i="61"/>
  <c r="AO69" i="61" s="1"/>
  <c r="AM69" i="61"/>
  <c r="AQ68" i="61"/>
  <c r="AQ8" i="56" s="1"/>
  <c r="AP68" i="61"/>
  <c r="AP8" i="56" s="1"/>
  <c r="AN68" i="61"/>
  <c r="AO68" i="61" s="1"/>
  <c r="AM68" i="61"/>
  <c r="AQ67" i="61"/>
  <c r="AO8" i="56" s="1"/>
  <c r="AP67" i="61"/>
  <c r="AN8" i="56" s="1"/>
  <c r="AN67" i="61"/>
  <c r="AO67" i="61" s="1"/>
  <c r="AM67" i="61"/>
  <c r="AQ66" i="61"/>
  <c r="AP66" i="61"/>
  <c r="AF8" i="56" s="1"/>
  <c r="AN66" i="61"/>
  <c r="AO66" i="61" s="1"/>
  <c r="AM66" i="61"/>
  <c r="BB65" i="61"/>
  <c r="AQ65" i="61"/>
  <c r="AP65" i="61"/>
  <c r="AH8" i="56" s="1"/>
  <c r="AN65" i="61"/>
  <c r="AO65" i="61" s="1"/>
  <c r="AM65" i="61"/>
  <c r="BB64" i="61"/>
  <c r="AQ64" i="61"/>
  <c r="AP64" i="61"/>
  <c r="AL8" i="56" s="1"/>
  <c r="AN64" i="61"/>
  <c r="AO64" i="61" s="1"/>
  <c r="AM64" i="61"/>
  <c r="BB63" i="61"/>
  <c r="AQ63" i="61"/>
  <c r="AP63" i="61"/>
  <c r="AJ8" i="56" s="1"/>
  <c r="AN63" i="61"/>
  <c r="AO63" i="61" s="1"/>
  <c r="AM63" i="61"/>
  <c r="BB62" i="61"/>
  <c r="AQ62" i="61"/>
  <c r="AP62" i="61"/>
  <c r="AD8" i="56" s="1"/>
  <c r="AN62" i="61"/>
  <c r="AM62" i="61"/>
  <c r="BB61" i="61"/>
  <c r="AQ61" i="61"/>
  <c r="AR61" i="61" s="1"/>
  <c r="AP61" i="61"/>
  <c r="W8" i="56" s="1"/>
  <c r="AN61" i="61"/>
  <c r="AM61" i="61"/>
  <c r="BB60" i="61"/>
  <c r="AQ60" i="61"/>
  <c r="AP60" i="61"/>
  <c r="AN60" i="61"/>
  <c r="AO60" i="61" s="1"/>
  <c r="AM60" i="61"/>
  <c r="BB59" i="61"/>
  <c r="AQ57" i="61"/>
  <c r="AN57" i="61"/>
  <c r="AQ56" i="61"/>
  <c r="AP56" i="61"/>
  <c r="AN56" i="61"/>
  <c r="AM56" i="61"/>
  <c r="AQ55" i="61"/>
  <c r="AP55" i="61"/>
  <c r="AN55" i="61"/>
  <c r="AM55" i="61"/>
  <c r="AQ54" i="61"/>
  <c r="AP54" i="61"/>
  <c r="AN54" i="61"/>
  <c r="AM54" i="61"/>
  <c r="AQ53" i="61"/>
  <c r="AP53" i="61"/>
  <c r="AN53" i="61"/>
  <c r="AM53" i="61"/>
  <c r="AZ30" i="61"/>
  <c r="AZ31" i="61" s="1"/>
  <c r="AX30" i="61"/>
  <c r="AX31" i="61" s="1"/>
  <c r="J6" i="61" s="1"/>
  <c r="AW30" i="61"/>
  <c r="AU30" i="61"/>
  <c r="AS30" i="61"/>
  <c r="AR30" i="61"/>
  <c r="AP30" i="61"/>
  <c r="AN30" i="61"/>
  <c r="D5" i="57" s="1"/>
  <c r="AL30" i="61"/>
  <c r="AZ23" i="61"/>
  <c r="AX23" i="61"/>
  <c r="AZ22" i="61"/>
  <c r="AX22" i="61"/>
  <c r="AT21" i="61"/>
  <c r="AV21" i="61" s="1"/>
  <c r="AP21" i="61"/>
  <c r="AR21" i="61" s="1"/>
  <c r="AL21" i="61"/>
  <c r="AN21" i="61" s="1"/>
  <c r="AT20" i="61"/>
  <c r="AP20" i="61"/>
  <c r="AR20" i="61" s="1"/>
  <c r="AL20" i="61"/>
  <c r="AN20" i="61" s="1"/>
  <c r="AZ13" i="61"/>
  <c r="O8" i="56" s="1"/>
  <c r="AX13" i="61"/>
  <c r="N8" i="56" s="1"/>
  <c r="AV13" i="61"/>
  <c r="AT13" i="61"/>
  <c r="AR13" i="61"/>
  <c r="AP13" i="61"/>
  <c r="AN13" i="61"/>
  <c r="AL13" i="61"/>
  <c r="AZ12" i="61"/>
  <c r="S8" i="56" s="1"/>
  <c r="AX12" i="61"/>
  <c r="R8" i="56" s="1"/>
  <c r="AV12" i="61"/>
  <c r="AT12" i="61"/>
  <c r="AR12" i="61"/>
  <c r="J8" i="56" s="1"/>
  <c r="AP12" i="61"/>
  <c r="I8" i="56" s="1"/>
  <c r="AN12" i="61"/>
  <c r="E8" i="56" s="1"/>
  <c r="AL12" i="61"/>
  <c r="AZ11" i="61"/>
  <c r="M8" i="56" s="1"/>
  <c r="AX11" i="61"/>
  <c r="L8" i="56" s="1"/>
  <c r="AV11" i="61"/>
  <c r="AT11" i="61"/>
  <c r="AR11" i="61"/>
  <c r="AP11" i="61"/>
  <c r="AN11" i="61"/>
  <c r="AL11" i="61"/>
  <c r="AZ10" i="61"/>
  <c r="Q8" i="56" s="1"/>
  <c r="AX10" i="61"/>
  <c r="AV10" i="61"/>
  <c r="AT10" i="61"/>
  <c r="AR10" i="61"/>
  <c r="H9" i="56" s="1"/>
  <c r="AP10" i="61"/>
  <c r="G8" i="56" s="1"/>
  <c r="AN10" i="61"/>
  <c r="C8" i="56" s="1"/>
  <c r="AL10" i="61"/>
  <c r="AD6" i="61"/>
  <c r="AG4" i="61"/>
  <c r="AF4" i="61"/>
  <c r="O4" i="61"/>
  <c r="N4" i="61"/>
  <c r="BA2" i="61"/>
  <c r="AS2" i="61"/>
  <c r="N2" i="61"/>
  <c r="H2" i="61"/>
  <c r="BD13" i="91" l="1"/>
  <c r="AX21" i="112"/>
  <c r="AS53" i="61"/>
  <c r="BD13" i="93"/>
  <c r="BD13" i="106"/>
  <c r="BB11" i="116"/>
  <c r="AS57" i="117"/>
  <c r="AQ19" i="56"/>
  <c r="AG19" i="56"/>
  <c r="AO19" i="56"/>
  <c r="AM19" i="56"/>
  <c r="AS57" i="115"/>
  <c r="BD13" i="111"/>
  <c r="AS57" i="107"/>
  <c r="AX21" i="107"/>
  <c r="AS53" i="111"/>
  <c r="AS53" i="109"/>
  <c r="AS63" i="105"/>
  <c r="BL23" i="56" s="1"/>
  <c r="AS53" i="104"/>
  <c r="AT14" i="102"/>
  <c r="AS57" i="98"/>
  <c r="AS57" i="93"/>
  <c r="AS57" i="91"/>
  <c r="AS57" i="61"/>
  <c r="AS62" i="62"/>
  <c r="Y6" i="62" s="1"/>
  <c r="AS54" i="61"/>
  <c r="AS54" i="101"/>
  <c r="BB13" i="105"/>
  <c r="AQ58" i="105"/>
  <c r="BB11" i="111"/>
  <c r="BD11" i="116"/>
  <c r="BD13" i="117"/>
  <c r="BB13" i="100"/>
  <c r="AS57" i="109"/>
  <c r="AS53" i="110"/>
  <c r="AT14" i="116"/>
  <c r="BB11" i="117"/>
  <c r="AL24" i="117"/>
  <c r="AL15" i="117" s="1"/>
  <c r="AS63" i="91"/>
  <c r="AA6" i="91" s="1"/>
  <c r="BB11" i="92"/>
  <c r="AX20" i="92"/>
  <c r="AS54" i="92"/>
  <c r="AM73" i="93"/>
  <c r="BP12" i="56" s="1"/>
  <c r="AS70" i="93"/>
  <c r="AG6" i="93" s="1"/>
  <c r="AS63" i="95"/>
  <c r="BL14" i="56" s="1"/>
  <c r="AX21" i="98"/>
  <c r="AL24" i="102"/>
  <c r="AL15" i="102" s="1"/>
  <c r="AS53" i="103"/>
  <c r="AT14" i="104"/>
  <c r="AT61" i="99"/>
  <c r="AS57" i="100"/>
  <c r="BD13" i="103"/>
  <c r="AT14" i="107"/>
  <c r="AV24" i="107"/>
  <c r="AZ15" i="107" s="1"/>
  <c r="BB11" i="112"/>
  <c r="AS57" i="112"/>
  <c r="AS57" i="118"/>
  <c r="AS65" i="101"/>
  <c r="AR62" i="62"/>
  <c r="AE9" i="56"/>
  <c r="AR63" i="62"/>
  <c r="AT63" i="62" s="1"/>
  <c r="AK9" i="56"/>
  <c r="AR64" i="62"/>
  <c r="AT64" i="62" s="1"/>
  <c r="AM9" i="56"/>
  <c r="AS70" i="62"/>
  <c r="AR60" i="62"/>
  <c r="AT60" i="62" s="1"/>
  <c r="V9" i="56"/>
  <c r="AS65" i="62"/>
  <c r="AE6" i="62" s="1"/>
  <c r="AI9" i="56"/>
  <c r="AR69" i="62"/>
  <c r="Z9" i="56"/>
  <c r="AS66" i="62"/>
  <c r="BJ9" i="56" s="1"/>
  <c r="AG9" i="56"/>
  <c r="AS68" i="62"/>
  <c r="BN9" i="56" s="1"/>
  <c r="AQ9" i="56"/>
  <c r="AR70" i="62"/>
  <c r="AB9" i="56"/>
  <c r="AR60" i="61"/>
  <c r="AT60" i="61" s="1"/>
  <c r="V8" i="56"/>
  <c r="AR65" i="61"/>
  <c r="AT65" i="61" s="1"/>
  <c r="AI8" i="56"/>
  <c r="AS66" i="61"/>
  <c r="AB6" i="61" s="1"/>
  <c r="AG8" i="56"/>
  <c r="AR63" i="61"/>
  <c r="AT63" i="61" s="1"/>
  <c r="AK8" i="56"/>
  <c r="AR62" i="61"/>
  <c r="AE8" i="56"/>
  <c r="AR69" i="61"/>
  <c r="AT69" i="61" s="1"/>
  <c r="Z8" i="56"/>
  <c r="AR70" i="61"/>
  <c r="AT70" i="61" s="1"/>
  <c r="AB8" i="56"/>
  <c r="AS64" i="61"/>
  <c r="BO8" i="56" s="1"/>
  <c r="AM8" i="56"/>
  <c r="AS54" i="104"/>
  <c r="AX21" i="100"/>
  <c r="AS70" i="118"/>
  <c r="BH36" i="56" s="1"/>
  <c r="AS70" i="116"/>
  <c r="AG6" i="116" s="1"/>
  <c r="AR60" i="107"/>
  <c r="V25" i="56"/>
  <c r="AR69" i="107"/>
  <c r="AT69" i="107" s="1"/>
  <c r="Z25" i="56"/>
  <c r="AP58" i="107"/>
  <c r="AR65" i="107"/>
  <c r="AT65" i="107" s="1"/>
  <c r="AI25" i="56"/>
  <c r="AR62" i="107"/>
  <c r="AE25" i="56"/>
  <c r="AS67" i="107"/>
  <c r="BK25" i="56" s="1"/>
  <c r="AO25" i="56"/>
  <c r="AS64" i="107"/>
  <c r="BO25" i="56" s="1"/>
  <c r="AM25" i="56"/>
  <c r="AR66" i="107"/>
  <c r="AT66" i="107" s="1"/>
  <c r="AG25" i="56"/>
  <c r="AR70" i="107"/>
  <c r="AT70" i="107" s="1"/>
  <c r="AB25" i="56"/>
  <c r="AR63" i="107"/>
  <c r="AT63" i="107" s="1"/>
  <c r="AK25" i="56"/>
  <c r="AR60" i="105"/>
  <c r="AT60" i="105" s="1"/>
  <c r="V23" i="56"/>
  <c r="AS68" i="105"/>
  <c r="BN23" i="56" s="1"/>
  <c r="AQ23" i="56"/>
  <c r="AR70" i="105"/>
  <c r="AT70" i="105" s="1"/>
  <c r="AB23" i="56"/>
  <c r="AR62" i="105"/>
  <c r="AE23" i="56"/>
  <c r="AS55" i="105"/>
  <c r="AR65" i="105"/>
  <c r="AT65" i="105" s="1"/>
  <c r="AI23" i="56"/>
  <c r="AR63" i="105"/>
  <c r="AT63" i="105" s="1"/>
  <c r="AK23" i="56"/>
  <c r="AR69" i="105"/>
  <c r="AT69" i="105" s="1"/>
  <c r="Z23" i="56"/>
  <c r="AR70" i="104"/>
  <c r="AT70" i="104" s="1"/>
  <c r="AB22" i="56"/>
  <c r="AR60" i="104"/>
  <c r="V22" i="56"/>
  <c r="AR68" i="104"/>
  <c r="AT68" i="104" s="1"/>
  <c r="AQ22" i="56"/>
  <c r="AR66" i="104"/>
  <c r="AT66" i="104" s="1"/>
  <c r="AG22" i="56"/>
  <c r="AR65" i="104"/>
  <c r="AT65" i="104" s="1"/>
  <c r="AI22" i="56"/>
  <c r="AR62" i="104"/>
  <c r="AE22" i="56"/>
  <c r="AR67" i="104"/>
  <c r="AT67" i="104" s="1"/>
  <c r="AO22" i="56"/>
  <c r="AR69" i="104"/>
  <c r="Z22" i="56"/>
  <c r="AR63" i="104"/>
  <c r="AT63" i="104" s="1"/>
  <c r="AK22" i="56"/>
  <c r="AZ14" i="103"/>
  <c r="Q21" i="56"/>
  <c r="AR68" i="103"/>
  <c r="AT68" i="103" s="1"/>
  <c r="AQ21" i="56"/>
  <c r="AR63" i="103"/>
  <c r="AT63" i="103" s="1"/>
  <c r="AK21" i="56"/>
  <c r="AR62" i="103"/>
  <c r="AE21" i="56"/>
  <c r="AR69" i="103"/>
  <c r="Z21" i="56"/>
  <c r="AR70" i="103"/>
  <c r="AB21" i="56"/>
  <c r="AN14" i="103"/>
  <c r="C21" i="56"/>
  <c r="AR60" i="103"/>
  <c r="AT60" i="103" s="1"/>
  <c r="V21" i="56"/>
  <c r="AR67" i="103"/>
  <c r="AT67" i="103" s="1"/>
  <c r="AO21" i="56"/>
  <c r="AR62" i="102"/>
  <c r="AE20" i="56"/>
  <c r="AR67" i="102"/>
  <c r="AT67" i="102" s="1"/>
  <c r="AO20" i="56"/>
  <c r="AR69" i="102"/>
  <c r="AT69" i="102" s="1"/>
  <c r="Z20" i="56"/>
  <c r="AS64" i="102"/>
  <c r="BO20" i="56" s="1"/>
  <c r="AM20" i="56"/>
  <c r="AR65" i="102"/>
  <c r="AT65" i="102" s="1"/>
  <c r="AI20" i="56"/>
  <c r="AS66" i="102"/>
  <c r="AB6" i="102" s="1"/>
  <c r="AG20" i="56"/>
  <c r="AS68" i="102"/>
  <c r="BN20" i="56" s="1"/>
  <c r="AQ20" i="56"/>
  <c r="AR70" i="102"/>
  <c r="AT70" i="102" s="1"/>
  <c r="AB20" i="56"/>
  <c r="AR63" i="102"/>
  <c r="AT63" i="102" s="1"/>
  <c r="AK20" i="56"/>
  <c r="AR63" i="101"/>
  <c r="AT63" i="101" s="1"/>
  <c r="AK19" i="56"/>
  <c r="AR65" i="101"/>
  <c r="AI19" i="56"/>
  <c r="AP24" i="101"/>
  <c r="AP15" i="101" s="1"/>
  <c r="AR69" i="101"/>
  <c r="Z19" i="56"/>
  <c r="AR60" i="101"/>
  <c r="AT60" i="101" s="1"/>
  <c r="V19" i="56"/>
  <c r="AR62" i="101"/>
  <c r="AT62" i="101" s="1"/>
  <c r="AE19" i="56"/>
  <c r="AR70" i="101"/>
  <c r="AB19" i="56"/>
  <c r="AN14" i="101"/>
  <c r="C19" i="56"/>
  <c r="AZ14" i="101"/>
  <c r="Q19" i="56"/>
  <c r="AS69" i="100"/>
  <c r="AR70" i="99"/>
  <c r="AT70" i="99" s="1"/>
  <c r="AB17" i="56"/>
  <c r="AX20" i="99"/>
  <c r="AS54" i="99"/>
  <c r="AR63" i="99"/>
  <c r="AT63" i="99" s="1"/>
  <c r="AK17" i="56"/>
  <c r="AR60" i="99"/>
  <c r="V17" i="56"/>
  <c r="AS66" i="99"/>
  <c r="AB6" i="99" s="1"/>
  <c r="AG17" i="56"/>
  <c r="AS65" i="99"/>
  <c r="AE6" i="99" s="1"/>
  <c r="AI17" i="56"/>
  <c r="AR62" i="99"/>
  <c r="AE17" i="56"/>
  <c r="AR69" i="99"/>
  <c r="AT69" i="99" s="1"/>
  <c r="Z17" i="56"/>
  <c r="AR62" i="97"/>
  <c r="AE15" i="56"/>
  <c r="AS65" i="97"/>
  <c r="AE6" i="97" s="1"/>
  <c r="AI15" i="56"/>
  <c r="AR69" i="97"/>
  <c r="AT69" i="97" s="1"/>
  <c r="Z15" i="56"/>
  <c r="AS64" i="97"/>
  <c r="BO15" i="56" s="1"/>
  <c r="AM15" i="56"/>
  <c r="AR63" i="97"/>
  <c r="AT63" i="97" s="1"/>
  <c r="AK15" i="56"/>
  <c r="AS66" i="97"/>
  <c r="AB6" i="97" s="1"/>
  <c r="AG15" i="56"/>
  <c r="AR70" i="97"/>
  <c r="AT70" i="97" s="1"/>
  <c r="AB15" i="56"/>
  <c r="AR66" i="95"/>
  <c r="AT66" i="95" s="1"/>
  <c r="AG14" i="56"/>
  <c r="AR67" i="95"/>
  <c r="AT67" i="95" s="1"/>
  <c r="AO14" i="56"/>
  <c r="AR69" i="95"/>
  <c r="AT69" i="95" s="1"/>
  <c r="Z14" i="56"/>
  <c r="AR68" i="95"/>
  <c r="AT68" i="95" s="1"/>
  <c r="AQ14" i="56"/>
  <c r="AR62" i="95"/>
  <c r="AE14" i="56"/>
  <c r="AS55" i="95"/>
  <c r="AR63" i="95"/>
  <c r="AT63" i="95" s="1"/>
  <c r="AK14" i="56"/>
  <c r="AR70" i="95"/>
  <c r="AT70" i="95" s="1"/>
  <c r="AB14" i="56"/>
  <c r="AR65" i="95"/>
  <c r="AT65" i="95" s="1"/>
  <c r="AI14" i="56"/>
  <c r="AR70" i="94"/>
  <c r="AT70" i="94" s="1"/>
  <c r="AB13" i="56"/>
  <c r="AR63" i="94"/>
  <c r="AT63" i="94" s="1"/>
  <c r="AK13" i="56"/>
  <c r="AR60" i="94"/>
  <c r="AT60" i="94" s="1"/>
  <c r="V13" i="56"/>
  <c r="AS69" i="94"/>
  <c r="AR65" i="94"/>
  <c r="AT65" i="94" s="1"/>
  <c r="AI13" i="56"/>
  <c r="AR62" i="94"/>
  <c r="AE13" i="56"/>
  <c r="AR69" i="94"/>
  <c r="Z13" i="56"/>
  <c r="AR64" i="94"/>
  <c r="AT64" i="94" s="1"/>
  <c r="AM13" i="56"/>
  <c r="AR63" i="93"/>
  <c r="AT63" i="93" s="1"/>
  <c r="AK12" i="56"/>
  <c r="AR70" i="93"/>
  <c r="AB12" i="56"/>
  <c r="AR65" i="93"/>
  <c r="AT65" i="93" s="1"/>
  <c r="AI12" i="56"/>
  <c r="AR69" i="93"/>
  <c r="Z12" i="56"/>
  <c r="AZ14" i="93"/>
  <c r="Q12" i="56"/>
  <c r="AS66" i="93"/>
  <c r="BJ12" i="56" s="1"/>
  <c r="AG12" i="56"/>
  <c r="AS68" i="93"/>
  <c r="BN12" i="56" s="1"/>
  <c r="AQ12" i="56"/>
  <c r="AN14" i="93"/>
  <c r="C12" i="56"/>
  <c r="AR60" i="93"/>
  <c r="AT60" i="93" s="1"/>
  <c r="V12" i="56"/>
  <c r="AR62" i="93"/>
  <c r="AE12" i="56"/>
  <c r="AR63" i="92"/>
  <c r="AT63" i="92" s="1"/>
  <c r="AK11" i="56"/>
  <c r="AR70" i="92"/>
  <c r="AT70" i="92" s="1"/>
  <c r="AB11" i="56"/>
  <c r="AR68" i="92"/>
  <c r="AT68" i="92" s="1"/>
  <c r="AQ11" i="56"/>
  <c r="AR69" i="92"/>
  <c r="AT69" i="92" s="1"/>
  <c r="Z11" i="56"/>
  <c r="AR60" i="92"/>
  <c r="V11" i="56"/>
  <c r="AR62" i="92"/>
  <c r="AE11" i="56"/>
  <c r="AZ14" i="91"/>
  <c r="Q10" i="56"/>
  <c r="AS68" i="91"/>
  <c r="BN10" i="56" s="1"/>
  <c r="AQ10" i="56"/>
  <c r="AR62" i="91"/>
  <c r="AE10" i="56"/>
  <c r="AR64" i="91"/>
  <c r="AT64" i="91" s="1"/>
  <c r="AR63" i="91"/>
  <c r="AT63" i="91" s="1"/>
  <c r="AK10" i="56"/>
  <c r="AR70" i="91"/>
  <c r="AB10" i="56"/>
  <c r="AR69" i="91"/>
  <c r="Z10" i="56"/>
  <c r="AS57" i="113"/>
  <c r="AT14" i="113"/>
  <c r="AV24" i="113"/>
  <c r="AZ15" i="113" s="1"/>
  <c r="AN14" i="111"/>
  <c r="AZ14" i="111"/>
  <c r="AS57" i="111"/>
  <c r="AR63" i="110"/>
  <c r="AT63" i="110" s="1"/>
  <c r="AK28" i="56"/>
  <c r="AR62" i="110"/>
  <c r="AE28" i="56"/>
  <c r="AR67" i="110"/>
  <c r="AT67" i="110" s="1"/>
  <c r="AO28" i="56"/>
  <c r="AR70" i="110"/>
  <c r="AT70" i="110" s="1"/>
  <c r="AB28" i="56"/>
  <c r="AR66" i="110"/>
  <c r="AT66" i="110" s="1"/>
  <c r="AG28" i="56"/>
  <c r="AR69" i="110"/>
  <c r="Z28" i="56"/>
  <c r="AR68" i="110"/>
  <c r="AT68" i="110" s="1"/>
  <c r="AQ28" i="56"/>
  <c r="AR64" i="109"/>
  <c r="AT64" i="109" s="1"/>
  <c r="AM27" i="56"/>
  <c r="AR66" i="109"/>
  <c r="AT66" i="109" s="1"/>
  <c r="AG27" i="56"/>
  <c r="AR69" i="109"/>
  <c r="Z27" i="56"/>
  <c r="AR65" i="109"/>
  <c r="AT65" i="109" s="1"/>
  <c r="AI27" i="56"/>
  <c r="AR63" i="109"/>
  <c r="AT63" i="109" s="1"/>
  <c r="AK27" i="56"/>
  <c r="AR62" i="109"/>
  <c r="AE27" i="56"/>
  <c r="AS67" i="109"/>
  <c r="AC6" i="109" s="1"/>
  <c r="AO27" i="56"/>
  <c r="AR70" i="109"/>
  <c r="AT70" i="109" s="1"/>
  <c r="AB27" i="56"/>
  <c r="AX20" i="108"/>
  <c r="AS57" i="108"/>
  <c r="AR64" i="108"/>
  <c r="AT64" i="108" s="1"/>
  <c r="AM26" i="56"/>
  <c r="AR63" i="108"/>
  <c r="AT63" i="108" s="1"/>
  <c r="AK26" i="56"/>
  <c r="AR62" i="108"/>
  <c r="AE26" i="56"/>
  <c r="AS68" i="108"/>
  <c r="BN26" i="56" s="1"/>
  <c r="AQ26" i="56"/>
  <c r="AR70" i="108"/>
  <c r="AT70" i="108" s="1"/>
  <c r="AB26" i="56"/>
  <c r="AR69" i="108"/>
  <c r="AT69" i="108" s="1"/>
  <c r="Z26" i="56"/>
  <c r="AN14" i="106"/>
  <c r="C24" i="56"/>
  <c r="AZ14" i="106"/>
  <c r="Q24" i="56"/>
  <c r="AR65" i="106"/>
  <c r="AT65" i="106" s="1"/>
  <c r="AI24" i="56"/>
  <c r="AR64" i="106"/>
  <c r="AT64" i="106" s="1"/>
  <c r="AM24" i="56"/>
  <c r="AR63" i="106"/>
  <c r="AK24" i="56"/>
  <c r="AR62" i="106"/>
  <c r="AE24" i="56"/>
  <c r="AS67" i="106"/>
  <c r="AC6" i="106" s="1"/>
  <c r="AO24" i="56"/>
  <c r="AR70" i="106"/>
  <c r="AB24" i="56"/>
  <c r="AR66" i="106"/>
  <c r="AT66" i="106" s="1"/>
  <c r="AG24" i="56"/>
  <c r="AR69" i="106"/>
  <c r="AT69" i="106" s="1"/>
  <c r="Z24" i="56"/>
  <c r="AS62" i="100"/>
  <c r="Y6" i="100" s="1"/>
  <c r="AV14" i="100"/>
  <c r="BD12" i="100"/>
  <c r="E18" i="56"/>
  <c r="AR62" i="100"/>
  <c r="AE18" i="56"/>
  <c r="AR67" i="100"/>
  <c r="AT67" i="100" s="1"/>
  <c r="AO18" i="56"/>
  <c r="AR70" i="100"/>
  <c r="AT70" i="100" s="1"/>
  <c r="AB18" i="56"/>
  <c r="AS55" i="100"/>
  <c r="AR60" i="100"/>
  <c r="AT60" i="100" s="1"/>
  <c r="V18" i="56"/>
  <c r="AR66" i="100"/>
  <c r="AT66" i="100" s="1"/>
  <c r="AG18" i="56"/>
  <c r="AR69" i="100"/>
  <c r="Z18" i="56"/>
  <c r="AR65" i="100"/>
  <c r="AT65" i="100" s="1"/>
  <c r="AI18" i="56"/>
  <c r="AR68" i="100"/>
  <c r="AT68" i="100" s="1"/>
  <c r="AQ18" i="56"/>
  <c r="AR63" i="100"/>
  <c r="AT63" i="100" s="1"/>
  <c r="AK18" i="56"/>
  <c r="AT61" i="98"/>
  <c r="AV14" i="98"/>
  <c r="BD12" i="98"/>
  <c r="E16" i="56"/>
  <c r="AS55" i="98"/>
  <c r="AR64" i="98"/>
  <c r="AT64" i="98" s="1"/>
  <c r="AM16" i="56"/>
  <c r="AR63" i="98"/>
  <c r="AT63" i="98" s="1"/>
  <c r="AK16" i="56"/>
  <c r="AR62" i="98"/>
  <c r="AE16" i="56"/>
  <c r="AR70" i="98"/>
  <c r="AT70" i="98" s="1"/>
  <c r="AB16" i="56"/>
  <c r="AR60" i="98"/>
  <c r="V16" i="56"/>
  <c r="AR69" i="98"/>
  <c r="AT69" i="98" s="1"/>
  <c r="Z16" i="56"/>
  <c r="AR65" i="98"/>
  <c r="AT65" i="98" s="1"/>
  <c r="AI16" i="56"/>
  <c r="AS61" i="118"/>
  <c r="X36" i="56" s="1"/>
  <c r="AR69" i="116"/>
  <c r="AT69" i="116" s="1"/>
  <c r="Z34" i="56"/>
  <c r="AR60" i="116"/>
  <c r="AT60" i="116" s="1"/>
  <c r="V34" i="56"/>
  <c r="AR64" i="116"/>
  <c r="AT64" i="116" s="1"/>
  <c r="AM34" i="56"/>
  <c r="AR68" i="116"/>
  <c r="AT68" i="116" s="1"/>
  <c r="AQ34" i="56"/>
  <c r="AR63" i="116"/>
  <c r="AT63" i="116" s="1"/>
  <c r="AK34" i="56"/>
  <c r="AR66" i="116"/>
  <c r="AT66" i="116" s="1"/>
  <c r="AG34" i="56"/>
  <c r="AR62" i="116"/>
  <c r="AE34" i="56"/>
  <c r="AR67" i="116"/>
  <c r="AT67" i="116" s="1"/>
  <c r="AO34" i="56"/>
  <c r="AR70" i="116"/>
  <c r="AB34" i="56"/>
  <c r="AR65" i="118"/>
  <c r="AT65" i="118" s="1"/>
  <c r="AI36" i="56"/>
  <c r="AR64" i="118"/>
  <c r="AM36" i="56"/>
  <c r="AR68" i="118"/>
  <c r="AT68" i="118" s="1"/>
  <c r="AQ36" i="56"/>
  <c r="AR63" i="118"/>
  <c r="AT63" i="118" s="1"/>
  <c r="AK36" i="56"/>
  <c r="AS60" i="118"/>
  <c r="BE36" i="56" s="1"/>
  <c r="AR62" i="118"/>
  <c r="AE36" i="56"/>
  <c r="AR67" i="118"/>
  <c r="AT67" i="118" s="1"/>
  <c r="AO36" i="56"/>
  <c r="AR70" i="118"/>
  <c r="AB36" i="56"/>
  <c r="AS55" i="118"/>
  <c r="AR60" i="118"/>
  <c r="V36" i="56"/>
  <c r="AR66" i="118"/>
  <c r="AT66" i="118" s="1"/>
  <c r="AG36" i="56"/>
  <c r="AR69" i="118"/>
  <c r="AT69" i="118" s="1"/>
  <c r="Z36" i="56"/>
  <c r="AS57" i="114"/>
  <c r="AR63" i="115"/>
  <c r="AT63" i="115" s="1"/>
  <c r="AK33" i="56"/>
  <c r="AR68" i="115"/>
  <c r="AT68" i="115" s="1"/>
  <c r="AQ33" i="56"/>
  <c r="AR62" i="115"/>
  <c r="AE33" i="56"/>
  <c r="AR67" i="115"/>
  <c r="AT67" i="115" s="1"/>
  <c r="AO33" i="56"/>
  <c r="AR70" i="115"/>
  <c r="AB33" i="56"/>
  <c r="AR66" i="115"/>
  <c r="AT66" i="115" s="1"/>
  <c r="AG33" i="56"/>
  <c r="AR69" i="115"/>
  <c r="AT69" i="115" s="1"/>
  <c r="Z33" i="56"/>
  <c r="AR65" i="115"/>
  <c r="AT65" i="115" s="1"/>
  <c r="AI33" i="56"/>
  <c r="AS61" i="113"/>
  <c r="X31" i="56" s="1"/>
  <c r="AN14" i="117"/>
  <c r="C35" i="56"/>
  <c r="AZ14" i="117"/>
  <c r="Q35" i="56"/>
  <c r="AR70" i="112"/>
  <c r="AB30" i="56"/>
  <c r="AS54" i="112"/>
  <c r="AR66" i="112"/>
  <c r="AT66" i="112" s="1"/>
  <c r="AG30" i="56"/>
  <c r="AR69" i="112"/>
  <c r="Z30" i="56"/>
  <c r="AR65" i="112"/>
  <c r="AT65" i="112" s="1"/>
  <c r="AI30" i="56"/>
  <c r="AR63" i="112"/>
  <c r="AT63" i="112" s="1"/>
  <c r="AK30" i="56"/>
  <c r="AR68" i="112"/>
  <c r="AT68" i="112" s="1"/>
  <c r="AQ30" i="56"/>
  <c r="AR62" i="112"/>
  <c r="AE30" i="56"/>
  <c r="AR70" i="114"/>
  <c r="AB32" i="56"/>
  <c r="AR65" i="114"/>
  <c r="AT65" i="114" s="1"/>
  <c r="AI32" i="56"/>
  <c r="AR69" i="114"/>
  <c r="AT69" i="114" s="1"/>
  <c r="Z32" i="56"/>
  <c r="AR64" i="114"/>
  <c r="AT64" i="114" s="1"/>
  <c r="AM32" i="56"/>
  <c r="AS63" i="114"/>
  <c r="AA6" i="114" s="1"/>
  <c r="AK32" i="56"/>
  <c r="AS70" i="114"/>
  <c r="AR62" i="114"/>
  <c r="AE32" i="56"/>
  <c r="AS70" i="117"/>
  <c r="AR70" i="117"/>
  <c r="AB35" i="56"/>
  <c r="AR60" i="117"/>
  <c r="AT60" i="117" s="1"/>
  <c r="V35" i="56"/>
  <c r="AR69" i="117"/>
  <c r="Z35" i="56"/>
  <c r="AR63" i="117"/>
  <c r="AT63" i="117" s="1"/>
  <c r="AK35" i="56"/>
  <c r="AR64" i="117"/>
  <c r="AT64" i="117" s="1"/>
  <c r="AR62" i="117"/>
  <c r="AE35" i="56"/>
  <c r="AR63" i="113"/>
  <c r="AT63" i="113" s="1"/>
  <c r="AK31" i="56"/>
  <c r="AR68" i="113"/>
  <c r="AT68" i="113" s="1"/>
  <c r="AQ31" i="56"/>
  <c r="AR62" i="113"/>
  <c r="AE31" i="56"/>
  <c r="AR67" i="113"/>
  <c r="AT67" i="113" s="1"/>
  <c r="AO31" i="56"/>
  <c r="AR70" i="113"/>
  <c r="AT70" i="113" s="1"/>
  <c r="AB31" i="56"/>
  <c r="AR60" i="113"/>
  <c r="V31" i="56"/>
  <c r="AR66" i="113"/>
  <c r="AT66" i="113" s="1"/>
  <c r="AG31" i="56"/>
  <c r="AR69" i="113"/>
  <c r="AT69" i="113" s="1"/>
  <c r="Z31" i="56"/>
  <c r="AS65" i="113"/>
  <c r="AE6" i="113" s="1"/>
  <c r="AI31" i="56"/>
  <c r="AR65" i="111"/>
  <c r="AT65" i="111" s="1"/>
  <c r="AI29" i="56"/>
  <c r="AR62" i="111"/>
  <c r="AE29" i="56"/>
  <c r="AS68" i="111"/>
  <c r="BN29" i="56" s="1"/>
  <c r="AQ29" i="56"/>
  <c r="AR67" i="111"/>
  <c r="AT67" i="111" s="1"/>
  <c r="AO29" i="56"/>
  <c r="AR70" i="111"/>
  <c r="AT70" i="111" s="1"/>
  <c r="AB29" i="56"/>
  <c r="AR64" i="111"/>
  <c r="AT64" i="111" s="1"/>
  <c r="AM29" i="56"/>
  <c r="AR60" i="111"/>
  <c r="V29" i="56"/>
  <c r="AR63" i="111"/>
  <c r="AT63" i="111" s="1"/>
  <c r="AK29" i="56"/>
  <c r="AR66" i="111"/>
  <c r="AT66" i="111" s="1"/>
  <c r="AG29" i="56"/>
  <c r="AR69" i="111"/>
  <c r="AT69" i="111" s="1"/>
  <c r="Z29" i="56"/>
  <c r="AP31" i="92"/>
  <c r="E6" i="92" s="1"/>
  <c r="E8" i="57"/>
  <c r="AP14" i="92"/>
  <c r="G11" i="56"/>
  <c r="AX14" i="100"/>
  <c r="P18" i="56"/>
  <c r="AN21" i="100"/>
  <c r="AZ21" i="100" s="1"/>
  <c r="H3" i="100" s="1"/>
  <c r="AP31" i="101"/>
  <c r="E6" i="101" s="1"/>
  <c r="E16" i="57"/>
  <c r="AN31" i="117"/>
  <c r="D6" i="117" s="1"/>
  <c r="D32" i="57"/>
  <c r="AR31" i="118"/>
  <c r="F6" i="118" s="1"/>
  <c r="F33" i="57"/>
  <c r="AP14" i="91"/>
  <c r="G10" i="56"/>
  <c r="BB11" i="91"/>
  <c r="AP31" i="91"/>
  <c r="E6" i="91" s="1"/>
  <c r="E7" i="57"/>
  <c r="AP31" i="97"/>
  <c r="E6" i="97" s="1"/>
  <c r="E12" i="57"/>
  <c r="AU31" i="98"/>
  <c r="H6" i="98" s="1"/>
  <c r="H13" i="57"/>
  <c r="AR31" i="99"/>
  <c r="F6" i="99" s="1"/>
  <c r="F14" i="57"/>
  <c r="AS64" i="99"/>
  <c r="BO17" i="56" s="1"/>
  <c r="AR64" i="99"/>
  <c r="AT64" i="99" s="1"/>
  <c r="AN31" i="104"/>
  <c r="D6" i="104" s="1"/>
  <c r="D19" i="57"/>
  <c r="AU31" i="105"/>
  <c r="H6" i="105" s="1"/>
  <c r="H20" i="57"/>
  <c r="AN31" i="106"/>
  <c r="D6" i="106" s="1"/>
  <c r="D21" i="57"/>
  <c r="AU31" i="109"/>
  <c r="H6" i="109" s="1"/>
  <c r="H24" i="57"/>
  <c r="AL31" i="111"/>
  <c r="C6" i="111" s="1"/>
  <c r="C26" i="57"/>
  <c r="AW31" i="111"/>
  <c r="I6" i="111" s="1"/>
  <c r="I26" i="57"/>
  <c r="AS31" i="93"/>
  <c r="G6" i="93" s="1"/>
  <c r="G9" i="57"/>
  <c r="AS31" i="100"/>
  <c r="G6" i="100" s="1"/>
  <c r="G15" i="57"/>
  <c r="BB12" i="113"/>
  <c r="D31" i="56"/>
  <c r="AS31" i="113"/>
  <c r="G6" i="113" s="1"/>
  <c r="G28" i="57"/>
  <c r="AN31" i="91"/>
  <c r="D6" i="91" s="1"/>
  <c r="D7" i="57"/>
  <c r="AR31" i="92"/>
  <c r="F6" i="92" s="1"/>
  <c r="F8" i="57"/>
  <c r="AP14" i="99"/>
  <c r="G17" i="56"/>
  <c r="AS57" i="101"/>
  <c r="AR31" i="116"/>
  <c r="F6" i="116" s="1"/>
  <c r="F31" i="57"/>
  <c r="AU31" i="62"/>
  <c r="H6" i="62" s="1"/>
  <c r="H6" i="57"/>
  <c r="AP31" i="61"/>
  <c r="E6" i="61" s="1"/>
  <c r="E5" i="57"/>
  <c r="AP73" i="61"/>
  <c r="BR8" i="56" s="1"/>
  <c r="U8" i="56"/>
  <c r="BB13" i="62"/>
  <c r="AL31" i="62"/>
  <c r="C6" i="62" s="1"/>
  <c r="C6" i="57"/>
  <c r="AW31" i="62"/>
  <c r="I6" i="62" s="1"/>
  <c r="I6" i="57"/>
  <c r="AS31" i="94"/>
  <c r="G6" i="94" s="1"/>
  <c r="G10" i="57"/>
  <c r="AL31" i="95"/>
  <c r="C6" i="95" s="1"/>
  <c r="C11" i="57"/>
  <c r="AW31" i="95"/>
  <c r="I6" i="95" s="1"/>
  <c r="I11" i="57"/>
  <c r="AR31" i="97"/>
  <c r="F6" i="97" s="1"/>
  <c r="F12" i="57"/>
  <c r="AX14" i="98"/>
  <c r="P16" i="56"/>
  <c r="AL31" i="98"/>
  <c r="C6" i="98" s="1"/>
  <c r="C13" i="57"/>
  <c r="AW31" i="98"/>
  <c r="I6" i="98" s="1"/>
  <c r="I13" i="57"/>
  <c r="AN31" i="115"/>
  <c r="D6" i="115" s="1"/>
  <c r="D30" i="57"/>
  <c r="AL31" i="91"/>
  <c r="C6" i="91" s="1"/>
  <c r="C7" i="57"/>
  <c r="AW31" i="91"/>
  <c r="I6" i="91" s="1"/>
  <c r="I7" i="57"/>
  <c r="AN31" i="101"/>
  <c r="D6" i="101" s="1"/>
  <c r="D16" i="57"/>
  <c r="AR31" i="102"/>
  <c r="F6" i="102" s="1"/>
  <c r="F17" i="57"/>
  <c r="AN31" i="110"/>
  <c r="D6" i="110" s="1"/>
  <c r="D25" i="57"/>
  <c r="AP31" i="99"/>
  <c r="E6" i="99" s="1"/>
  <c r="E14" i="57"/>
  <c r="AL14" i="100"/>
  <c r="B18" i="56"/>
  <c r="AU31" i="100"/>
  <c r="H6" i="100" s="1"/>
  <c r="H15" i="57"/>
  <c r="AS31" i="107"/>
  <c r="G6" i="107" s="1"/>
  <c r="G22" i="57"/>
  <c r="AS63" i="61"/>
  <c r="AR64" i="61"/>
  <c r="AT64" i="61" s="1"/>
  <c r="AL14" i="62"/>
  <c r="B9" i="56"/>
  <c r="AX14" i="62"/>
  <c r="P9" i="56"/>
  <c r="AN31" i="93"/>
  <c r="D6" i="93" s="1"/>
  <c r="D9" i="57"/>
  <c r="AR14" i="61"/>
  <c r="BD11" i="61"/>
  <c r="AR31" i="61"/>
  <c r="F6" i="61" s="1"/>
  <c r="F5" i="57"/>
  <c r="AN31" i="61"/>
  <c r="D6" i="61" s="1"/>
  <c r="AS68" i="61"/>
  <c r="BN8" i="56" s="1"/>
  <c r="AN14" i="62"/>
  <c r="AZ14" i="62"/>
  <c r="D6" i="57"/>
  <c r="AN31" i="62"/>
  <c r="D6" i="62" s="1"/>
  <c r="AS65" i="91"/>
  <c r="AL31" i="92"/>
  <c r="C6" i="92" s="1"/>
  <c r="C8" i="57"/>
  <c r="AW31" i="92"/>
  <c r="I6" i="92" s="1"/>
  <c r="I8" i="57"/>
  <c r="AP31" i="93"/>
  <c r="E6" i="93" s="1"/>
  <c r="E9" i="57"/>
  <c r="AU31" i="94"/>
  <c r="H6" i="94" s="1"/>
  <c r="H10" i="57"/>
  <c r="AN31" i="95"/>
  <c r="D6" i="95" s="1"/>
  <c r="D11" i="57"/>
  <c r="AS57" i="95"/>
  <c r="AU31" i="103"/>
  <c r="H6" i="103" s="1"/>
  <c r="H18" i="57"/>
  <c r="AS69" i="110"/>
  <c r="AO69" i="110"/>
  <c r="AN31" i="108"/>
  <c r="D6" i="108" s="1"/>
  <c r="D23" i="57"/>
  <c r="AO65" i="101"/>
  <c r="AS31" i="102"/>
  <c r="G6" i="102" s="1"/>
  <c r="G17" i="57"/>
  <c r="AP14" i="112"/>
  <c r="G30" i="56"/>
  <c r="AP31" i="112"/>
  <c r="E6" i="112" s="1"/>
  <c r="E27" i="57"/>
  <c r="D8" i="56"/>
  <c r="D7" i="56"/>
  <c r="AV20" i="61"/>
  <c r="AV24" i="61" s="1"/>
  <c r="AZ15" i="61" s="1"/>
  <c r="AT24" i="61"/>
  <c r="AX15" i="61" s="1"/>
  <c r="AS31" i="61"/>
  <c r="G6" i="61" s="1"/>
  <c r="G5" i="57"/>
  <c r="AP31" i="62"/>
  <c r="E6" i="62" s="1"/>
  <c r="E6" i="57"/>
  <c r="AU31" i="91"/>
  <c r="H6" i="91" s="1"/>
  <c r="H7" i="57"/>
  <c r="AN73" i="91"/>
  <c r="BQ10" i="56" s="1"/>
  <c r="AS70" i="91"/>
  <c r="AN14" i="92"/>
  <c r="AZ14" i="92"/>
  <c r="BD13" i="92"/>
  <c r="AN31" i="92"/>
  <c r="D6" i="92" s="1"/>
  <c r="D8" i="57"/>
  <c r="AS57" i="92"/>
  <c r="AR31" i="93"/>
  <c r="F6" i="93" s="1"/>
  <c r="F9" i="57"/>
  <c r="AS64" i="93"/>
  <c r="BO12" i="56" s="1"/>
  <c r="AL14" i="94"/>
  <c r="B13" i="56"/>
  <c r="AX14" i="94"/>
  <c r="P13" i="56"/>
  <c r="BB13" i="94"/>
  <c r="AL31" i="94"/>
  <c r="C6" i="94" s="1"/>
  <c r="C10" i="57"/>
  <c r="AW31" i="94"/>
  <c r="I6" i="94" s="1"/>
  <c r="I10" i="57"/>
  <c r="AS67" i="94"/>
  <c r="AP14" i="95"/>
  <c r="G14" i="56"/>
  <c r="BB11" i="95"/>
  <c r="AP31" i="95"/>
  <c r="E6" i="95" s="1"/>
  <c r="E11" i="57"/>
  <c r="AL31" i="114"/>
  <c r="C6" i="114" s="1"/>
  <c r="C29" i="57"/>
  <c r="AW31" i="114"/>
  <c r="I6" i="114" s="1"/>
  <c r="I29" i="57"/>
  <c r="AL31" i="103"/>
  <c r="C6" i="103" s="1"/>
  <c r="C18" i="57"/>
  <c r="AW31" i="103"/>
  <c r="I6" i="103" s="1"/>
  <c r="I18" i="57"/>
  <c r="AP31" i="104"/>
  <c r="E6" i="104" s="1"/>
  <c r="E19" i="57"/>
  <c r="AS57" i="104"/>
  <c r="AL14" i="105"/>
  <c r="B23" i="56"/>
  <c r="AX14" i="105"/>
  <c r="P23" i="56"/>
  <c r="AL31" i="105"/>
  <c r="C6" i="105" s="1"/>
  <c r="C20" i="57"/>
  <c r="AW31" i="105"/>
  <c r="I6" i="105" s="1"/>
  <c r="I20" i="57"/>
  <c r="AP31" i="106"/>
  <c r="E6" i="106" s="1"/>
  <c r="E21" i="57"/>
  <c r="AU31" i="107"/>
  <c r="H6" i="107" s="1"/>
  <c r="H22" i="57"/>
  <c r="AP31" i="108"/>
  <c r="E6" i="108" s="1"/>
  <c r="E23" i="57"/>
  <c r="AL31" i="109"/>
  <c r="C6" i="109" s="1"/>
  <c r="C24" i="57"/>
  <c r="AW31" i="109"/>
  <c r="I6" i="109" s="1"/>
  <c r="I24" i="57"/>
  <c r="AP31" i="110"/>
  <c r="E6" i="110" s="1"/>
  <c r="E25" i="57"/>
  <c r="AN31" i="111"/>
  <c r="D6" i="111" s="1"/>
  <c r="D26" i="57"/>
  <c r="AR31" i="112"/>
  <c r="F6" i="112" s="1"/>
  <c r="F27" i="57"/>
  <c r="AU31" i="113"/>
  <c r="H6" i="113" s="1"/>
  <c r="H28" i="57"/>
  <c r="AN31" i="114"/>
  <c r="D6" i="114" s="1"/>
  <c r="D29" i="57"/>
  <c r="AP31" i="115"/>
  <c r="E6" i="115" s="1"/>
  <c r="E30" i="57"/>
  <c r="BB12" i="116"/>
  <c r="D34" i="56"/>
  <c r="AS31" i="116"/>
  <c r="G6" i="116" s="1"/>
  <c r="G31" i="57"/>
  <c r="AP14" i="117"/>
  <c r="G35" i="56"/>
  <c r="AP31" i="117"/>
  <c r="E6" i="117" s="1"/>
  <c r="E32" i="57"/>
  <c r="AS31" i="118"/>
  <c r="G6" i="118" s="1"/>
  <c r="G33" i="57"/>
  <c r="AM73" i="118"/>
  <c r="BP36" i="56" s="1"/>
  <c r="BD11" i="95"/>
  <c r="AR31" i="95"/>
  <c r="F6" i="95" s="1"/>
  <c r="F11" i="57"/>
  <c r="AN31" i="98"/>
  <c r="D6" i="98" s="1"/>
  <c r="D13" i="57"/>
  <c r="AS31" i="99"/>
  <c r="G6" i="99" s="1"/>
  <c r="G14" i="57"/>
  <c r="AM73" i="99"/>
  <c r="BP17" i="56" s="1"/>
  <c r="AL31" i="100"/>
  <c r="C6" i="100" s="1"/>
  <c r="C15" i="57"/>
  <c r="AW31" i="100"/>
  <c r="I6" i="100" s="1"/>
  <c r="I15" i="57"/>
  <c r="AR31" i="101"/>
  <c r="F6" i="101" s="1"/>
  <c r="F16" i="57"/>
  <c r="AS66" i="101"/>
  <c r="AU31" i="102"/>
  <c r="H6" i="102" s="1"/>
  <c r="H17" i="57"/>
  <c r="AP14" i="103"/>
  <c r="G21" i="56"/>
  <c r="BB11" i="103"/>
  <c r="AX20" i="103"/>
  <c r="AN31" i="103"/>
  <c r="D6" i="103" s="1"/>
  <c r="D18" i="57"/>
  <c r="AP24" i="104"/>
  <c r="AP15" i="104" s="1"/>
  <c r="AR31" i="104"/>
  <c r="F6" i="104" s="1"/>
  <c r="F19" i="57"/>
  <c r="AS64" i="104"/>
  <c r="BO22" i="56" s="1"/>
  <c r="AN31" i="105"/>
  <c r="D6" i="105" s="1"/>
  <c r="D20" i="57"/>
  <c r="AS57" i="105"/>
  <c r="AP24" i="106"/>
  <c r="AP15" i="106" s="1"/>
  <c r="AR31" i="106"/>
  <c r="F6" i="106" s="1"/>
  <c r="F21" i="57"/>
  <c r="AS57" i="106"/>
  <c r="BB13" i="107"/>
  <c r="AL31" i="107"/>
  <c r="C6" i="107" s="1"/>
  <c r="C22" i="57"/>
  <c r="AW31" i="107"/>
  <c r="I6" i="107" s="1"/>
  <c r="I22" i="57"/>
  <c r="AR14" i="108"/>
  <c r="BD11" i="108"/>
  <c r="AP24" i="108"/>
  <c r="AP15" i="108" s="1"/>
  <c r="AR31" i="108"/>
  <c r="F6" i="108" s="1"/>
  <c r="F23" i="57"/>
  <c r="AS67" i="108"/>
  <c r="AS69" i="108"/>
  <c r="AN14" i="109"/>
  <c r="AZ14" i="109"/>
  <c r="BD13" i="109"/>
  <c r="AN31" i="109"/>
  <c r="D6" i="109" s="1"/>
  <c r="D24" i="57"/>
  <c r="AP24" i="110"/>
  <c r="AP15" i="110" s="1"/>
  <c r="AR31" i="110"/>
  <c r="F6" i="110" s="1"/>
  <c r="F25" i="57"/>
  <c r="AS31" i="110"/>
  <c r="G6" i="110" s="1"/>
  <c r="AP31" i="111"/>
  <c r="E6" i="111" s="1"/>
  <c r="E26" i="57"/>
  <c r="AS31" i="112"/>
  <c r="G6" i="112" s="1"/>
  <c r="G27" i="57"/>
  <c r="AS64" i="112"/>
  <c r="BO30" i="56" s="1"/>
  <c r="AL14" i="113"/>
  <c r="B31" i="56"/>
  <c r="AX14" i="113"/>
  <c r="P31" i="56"/>
  <c r="BB13" i="113"/>
  <c r="AL31" i="113"/>
  <c r="C6" i="113" s="1"/>
  <c r="C28" i="57"/>
  <c r="AW31" i="113"/>
  <c r="I6" i="113" s="1"/>
  <c r="I28" i="57"/>
  <c r="AP14" i="114"/>
  <c r="G32" i="56"/>
  <c r="AP31" i="114"/>
  <c r="E6" i="114" s="1"/>
  <c r="E29" i="57"/>
  <c r="AS67" i="114"/>
  <c r="AR14" i="115"/>
  <c r="BD11" i="115"/>
  <c r="AP24" i="115"/>
  <c r="AP15" i="115" s="1"/>
  <c r="AR31" i="115"/>
  <c r="F6" i="115" s="1"/>
  <c r="F30" i="57"/>
  <c r="AU31" i="116"/>
  <c r="H6" i="116" s="1"/>
  <c r="H31" i="57"/>
  <c r="AR31" i="117"/>
  <c r="F6" i="117" s="1"/>
  <c r="F32" i="57"/>
  <c r="AU31" i="118"/>
  <c r="H6" i="118" s="1"/>
  <c r="H33" i="57"/>
  <c r="AP58" i="118"/>
  <c r="AZ14" i="94"/>
  <c r="BD13" i="94"/>
  <c r="AR14" i="95"/>
  <c r="BB12" i="97"/>
  <c r="D15" i="56"/>
  <c r="AS31" i="97"/>
  <c r="G6" i="97" s="1"/>
  <c r="G12" i="57"/>
  <c r="AL14" i="61"/>
  <c r="B8" i="56"/>
  <c r="AX14" i="61"/>
  <c r="P8" i="56"/>
  <c r="BB13" i="61"/>
  <c r="AU31" i="61"/>
  <c r="H6" i="61" s="1"/>
  <c r="H5" i="57"/>
  <c r="AP24" i="62"/>
  <c r="AP15" i="62" s="1"/>
  <c r="AS66" i="94"/>
  <c r="AS72" i="98"/>
  <c r="AS31" i="101"/>
  <c r="G6" i="101" s="1"/>
  <c r="G16" i="57"/>
  <c r="AS61" i="101"/>
  <c r="AJ9" i="56"/>
  <c r="AJ19" i="56"/>
  <c r="AS64" i="101"/>
  <c r="AL31" i="102"/>
  <c r="C6" i="102" s="1"/>
  <c r="C17" i="57"/>
  <c r="AW31" i="102"/>
  <c r="I6" i="102" s="1"/>
  <c r="I17" i="57"/>
  <c r="AP31" i="103"/>
  <c r="E6" i="103" s="1"/>
  <c r="E18" i="57"/>
  <c r="AS54" i="103"/>
  <c r="AS66" i="103"/>
  <c r="BB12" i="104"/>
  <c r="D22" i="56"/>
  <c r="AV24" i="104"/>
  <c r="AZ15" i="104" s="1"/>
  <c r="AS31" i="104"/>
  <c r="G6" i="104" s="1"/>
  <c r="G19" i="57"/>
  <c r="AT61" i="104"/>
  <c r="AP14" i="105"/>
  <c r="G23" i="56"/>
  <c r="AP31" i="105"/>
  <c r="E6" i="105" s="1"/>
  <c r="E20" i="57"/>
  <c r="AS54" i="105"/>
  <c r="BB12" i="106"/>
  <c r="D24" i="56"/>
  <c r="AS31" i="106"/>
  <c r="G6" i="106" s="1"/>
  <c r="G21" i="57"/>
  <c r="AN14" i="107"/>
  <c r="AZ14" i="107"/>
  <c r="BD13" i="107"/>
  <c r="AN31" i="107"/>
  <c r="D6" i="107" s="1"/>
  <c r="D22" i="57"/>
  <c r="AT14" i="108"/>
  <c r="BB12" i="108"/>
  <c r="D26" i="56"/>
  <c r="AS31" i="108"/>
  <c r="G6" i="108" s="1"/>
  <c r="G23" i="57"/>
  <c r="AP14" i="109"/>
  <c r="G27" i="56"/>
  <c r="BB11" i="109"/>
  <c r="AL24" i="109"/>
  <c r="AL15" i="109" s="1"/>
  <c r="AP31" i="109"/>
  <c r="E6" i="109" s="1"/>
  <c r="E24" i="57"/>
  <c r="AS54" i="109"/>
  <c r="AT14" i="110"/>
  <c r="BB12" i="110"/>
  <c r="D28" i="56"/>
  <c r="AT14" i="111"/>
  <c r="AR31" i="111"/>
  <c r="F6" i="111" s="1"/>
  <c r="F26" i="57"/>
  <c r="AV14" i="112"/>
  <c r="BD12" i="112"/>
  <c r="AU31" i="112"/>
  <c r="H6" i="112" s="1"/>
  <c r="H27" i="57"/>
  <c r="AN14" i="113"/>
  <c r="AZ14" i="113"/>
  <c r="AN31" i="113"/>
  <c r="D6" i="113" s="1"/>
  <c r="D28" i="57"/>
  <c r="AR31" i="114"/>
  <c r="F6" i="114" s="1"/>
  <c r="F29" i="57"/>
  <c r="AS62" i="114"/>
  <c r="AS66" i="114"/>
  <c r="AT14" i="115"/>
  <c r="BB12" i="115"/>
  <c r="D33" i="56"/>
  <c r="AV24" i="115"/>
  <c r="AZ15" i="115" s="1"/>
  <c r="AS31" i="115"/>
  <c r="G6" i="115" s="1"/>
  <c r="G30" i="57"/>
  <c r="AS56" i="115"/>
  <c r="AL31" i="116"/>
  <c r="C6" i="116" s="1"/>
  <c r="C31" i="57"/>
  <c r="AW31" i="116"/>
  <c r="I6" i="116" s="1"/>
  <c r="I31" i="57"/>
  <c r="AS31" i="117"/>
  <c r="G6" i="117" s="1"/>
  <c r="G32" i="57"/>
  <c r="AS68" i="117"/>
  <c r="BN35" i="56" s="1"/>
  <c r="AL31" i="118"/>
  <c r="C6" i="118" s="1"/>
  <c r="C33" i="57"/>
  <c r="AW31" i="118"/>
  <c r="I6" i="118" s="1"/>
  <c r="I33" i="57"/>
  <c r="AS53" i="118"/>
  <c r="AN14" i="94"/>
  <c r="AN31" i="94"/>
  <c r="D6" i="94" s="1"/>
  <c r="D10" i="57"/>
  <c r="AP24" i="95"/>
  <c r="AP15" i="95" s="1"/>
  <c r="AM73" i="97"/>
  <c r="BP15" i="56" s="1"/>
  <c r="AS68" i="97"/>
  <c r="BN15" i="56" s="1"/>
  <c r="AR31" i="91"/>
  <c r="F6" i="91" s="1"/>
  <c r="F7" i="57"/>
  <c r="AS31" i="92"/>
  <c r="G6" i="92" s="1"/>
  <c r="G8" i="57"/>
  <c r="AU31" i="93"/>
  <c r="H6" i="93" s="1"/>
  <c r="H9" i="57"/>
  <c r="AP31" i="94"/>
  <c r="E6" i="94" s="1"/>
  <c r="E10" i="57"/>
  <c r="AS57" i="94"/>
  <c r="AS31" i="95"/>
  <c r="G6" i="95" s="1"/>
  <c r="G11" i="57"/>
  <c r="AM73" i="95"/>
  <c r="BP14" i="56" s="1"/>
  <c r="AU31" i="97"/>
  <c r="H6" i="97" s="1"/>
  <c r="H12" i="57"/>
  <c r="AP31" i="98"/>
  <c r="E6" i="98" s="1"/>
  <c r="E13" i="57"/>
  <c r="AS66" i="98"/>
  <c r="AV14" i="99"/>
  <c r="BD12" i="99"/>
  <c r="AU31" i="99"/>
  <c r="H6" i="99" s="1"/>
  <c r="H14" i="57"/>
  <c r="AS60" i="99"/>
  <c r="BE17" i="56" s="1"/>
  <c r="AP14" i="100"/>
  <c r="G18" i="56"/>
  <c r="AX20" i="100"/>
  <c r="AN31" i="100"/>
  <c r="D6" i="100" s="1"/>
  <c r="D15" i="57"/>
  <c r="AL31" i="61"/>
  <c r="C6" i="61" s="1"/>
  <c r="C5" i="57"/>
  <c r="AW31" i="61"/>
  <c r="I6" i="61" s="1"/>
  <c r="I5" i="57"/>
  <c r="AS31" i="62"/>
  <c r="G6" i="62" s="1"/>
  <c r="G6" i="57"/>
  <c r="AR31" i="62"/>
  <c r="F6" i="62" s="1"/>
  <c r="AS57" i="62"/>
  <c r="AS31" i="91"/>
  <c r="G6" i="91" s="1"/>
  <c r="G7" i="57"/>
  <c r="AS64" i="91"/>
  <c r="BO10" i="56" s="1"/>
  <c r="AS66" i="91"/>
  <c r="AU31" i="92"/>
  <c r="H6" i="92" s="1"/>
  <c r="H8" i="57"/>
  <c r="AL14" i="93"/>
  <c r="B12" i="56"/>
  <c r="AX14" i="93"/>
  <c r="P12" i="56"/>
  <c r="BB13" i="93"/>
  <c r="AL31" i="93"/>
  <c r="C6" i="93" s="1"/>
  <c r="C9" i="57"/>
  <c r="AW31" i="93"/>
  <c r="I6" i="93" s="1"/>
  <c r="I9" i="57"/>
  <c r="AQ58" i="93"/>
  <c r="AS55" i="93"/>
  <c r="AR31" i="94"/>
  <c r="F6" i="94" s="1"/>
  <c r="F10" i="57"/>
  <c r="AU31" i="95"/>
  <c r="H6" i="95" s="1"/>
  <c r="H11" i="57"/>
  <c r="AS60" i="95"/>
  <c r="BE14" i="56" s="1"/>
  <c r="AL14" i="97"/>
  <c r="B15" i="56"/>
  <c r="AX14" i="97"/>
  <c r="P15" i="56"/>
  <c r="AL31" i="97"/>
  <c r="C6" i="97" s="1"/>
  <c r="C12" i="57"/>
  <c r="AW31" i="97"/>
  <c r="I6" i="97" s="1"/>
  <c r="I12" i="57"/>
  <c r="AS55" i="97"/>
  <c r="AR31" i="98"/>
  <c r="F6" i="98" s="1"/>
  <c r="F13" i="57"/>
  <c r="AL14" i="99"/>
  <c r="B17" i="56"/>
  <c r="AX14" i="99"/>
  <c r="P17" i="56"/>
  <c r="BB13" i="99"/>
  <c r="AL31" i="99"/>
  <c r="C6" i="99" s="1"/>
  <c r="C14" i="57"/>
  <c r="AW31" i="99"/>
  <c r="I6" i="99" s="1"/>
  <c r="I14" i="57"/>
  <c r="AS53" i="99"/>
  <c r="AS55" i="99"/>
  <c r="AP24" i="100"/>
  <c r="AP15" i="100" s="1"/>
  <c r="AP31" i="100"/>
  <c r="E6" i="100" s="1"/>
  <c r="E15" i="57"/>
  <c r="AU31" i="101"/>
  <c r="H6" i="101" s="1"/>
  <c r="H16" i="57"/>
  <c r="AS68" i="101"/>
  <c r="AS70" i="101"/>
  <c r="AN14" i="102"/>
  <c r="AZ14" i="102"/>
  <c r="BD13" i="102"/>
  <c r="AN31" i="102"/>
  <c r="D6" i="102" s="1"/>
  <c r="D17" i="57"/>
  <c r="AS57" i="102"/>
  <c r="AT14" i="103"/>
  <c r="AR31" i="103"/>
  <c r="F6" i="103" s="1"/>
  <c r="F18" i="57"/>
  <c r="AS64" i="103"/>
  <c r="BO21" i="56" s="1"/>
  <c r="AS65" i="103"/>
  <c r="AU31" i="104"/>
  <c r="H6" i="104" s="1"/>
  <c r="H19" i="57"/>
  <c r="AS69" i="104"/>
  <c r="AR14" i="105"/>
  <c r="BD11" i="105"/>
  <c r="AR31" i="105"/>
  <c r="F6" i="105" s="1"/>
  <c r="F20" i="57"/>
  <c r="AU31" i="106"/>
  <c r="H6" i="106" s="1"/>
  <c r="H21" i="57"/>
  <c r="AP14" i="107"/>
  <c r="G25" i="56"/>
  <c r="BB11" i="107"/>
  <c r="AP31" i="107"/>
  <c r="E6" i="107" s="1"/>
  <c r="E22" i="57"/>
  <c r="AU31" i="108"/>
  <c r="H6" i="108" s="1"/>
  <c r="H23" i="57"/>
  <c r="AS62" i="108"/>
  <c r="AR31" i="109"/>
  <c r="F6" i="109" s="1"/>
  <c r="F24" i="57"/>
  <c r="AV14" i="110"/>
  <c r="BD12" i="110"/>
  <c r="AU31" i="110"/>
  <c r="H6" i="110" s="1"/>
  <c r="H25" i="57"/>
  <c r="AS31" i="111"/>
  <c r="G6" i="111" s="1"/>
  <c r="G26" i="57"/>
  <c r="AL31" i="112"/>
  <c r="C6" i="112" s="1"/>
  <c r="C27" i="57"/>
  <c r="AW31" i="112"/>
  <c r="I6" i="112" s="1"/>
  <c r="I27" i="57"/>
  <c r="AS55" i="112"/>
  <c r="AN73" i="112"/>
  <c r="BQ30" i="56" s="1"/>
  <c r="AP31" i="113"/>
  <c r="E6" i="113" s="1"/>
  <c r="E28" i="57"/>
  <c r="AT14" i="114"/>
  <c r="BB12" i="114"/>
  <c r="D32" i="56"/>
  <c r="AS31" i="114"/>
  <c r="G6" i="114" s="1"/>
  <c r="G29" i="57"/>
  <c r="AM73" i="114"/>
  <c r="BP32" i="56" s="1"/>
  <c r="AX21" i="115"/>
  <c r="AU31" i="115"/>
  <c r="H6" i="115" s="1"/>
  <c r="H30" i="57"/>
  <c r="AS61" i="115"/>
  <c r="X33" i="56" s="1"/>
  <c r="AN31" i="116"/>
  <c r="D6" i="116" s="1"/>
  <c r="D31" i="57"/>
  <c r="AS57" i="116"/>
  <c r="AU31" i="117"/>
  <c r="H6" i="117" s="1"/>
  <c r="H32" i="57"/>
  <c r="AP14" i="118"/>
  <c r="G36" i="56"/>
  <c r="BB11" i="118"/>
  <c r="AN31" i="118"/>
  <c r="D6" i="118" s="1"/>
  <c r="D33" i="57"/>
  <c r="AN14" i="97"/>
  <c r="AZ14" i="97"/>
  <c r="BD13" i="97"/>
  <c r="AN31" i="97"/>
  <c r="D6" i="97" s="1"/>
  <c r="D12" i="57"/>
  <c r="AS57" i="97"/>
  <c r="AT14" i="98"/>
  <c r="BB12" i="98"/>
  <c r="D16" i="56"/>
  <c r="AS31" i="98"/>
  <c r="G6" i="98" s="1"/>
  <c r="G13" i="57"/>
  <c r="AS62" i="98"/>
  <c r="AN31" i="99"/>
  <c r="D6" i="99" s="1"/>
  <c r="D14" i="57"/>
  <c r="AS57" i="99"/>
  <c r="AR31" i="100"/>
  <c r="F6" i="100" s="1"/>
  <c r="F15" i="57"/>
  <c r="AL14" i="101"/>
  <c r="B19" i="56"/>
  <c r="AX14" i="101"/>
  <c r="P19" i="56"/>
  <c r="BB13" i="101"/>
  <c r="AL31" i="101"/>
  <c r="C6" i="101" s="1"/>
  <c r="C16" i="57"/>
  <c r="AW31" i="101"/>
  <c r="I6" i="101" s="1"/>
  <c r="I16" i="57"/>
  <c r="AP14" i="102"/>
  <c r="G20" i="56"/>
  <c r="BB11" i="102"/>
  <c r="AP31" i="102"/>
  <c r="E6" i="102" s="1"/>
  <c r="E17" i="57"/>
  <c r="AS31" i="103"/>
  <c r="G6" i="103" s="1"/>
  <c r="G18" i="57"/>
  <c r="AM73" i="103"/>
  <c r="BP21" i="56" s="1"/>
  <c r="AN14" i="104"/>
  <c r="AZ14" i="104"/>
  <c r="AL31" i="104"/>
  <c r="C6" i="104" s="1"/>
  <c r="C19" i="57"/>
  <c r="AW31" i="104"/>
  <c r="I6" i="104" s="1"/>
  <c r="I19" i="57"/>
  <c r="AS31" i="105"/>
  <c r="G6" i="105" s="1"/>
  <c r="G20" i="57"/>
  <c r="AL31" i="106"/>
  <c r="C6" i="106" s="1"/>
  <c r="C21" i="57"/>
  <c r="AW31" i="106"/>
  <c r="I6" i="106" s="1"/>
  <c r="I21" i="57"/>
  <c r="AR31" i="107"/>
  <c r="F6" i="107" s="1"/>
  <c r="F22" i="57"/>
  <c r="AL31" i="108"/>
  <c r="C6" i="108" s="1"/>
  <c r="C23" i="57"/>
  <c r="AW31" i="108"/>
  <c r="I6" i="108" s="1"/>
  <c r="I23" i="57"/>
  <c r="AT14" i="109"/>
  <c r="AS31" i="109"/>
  <c r="G6" i="109" s="1"/>
  <c r="G24" i="57"/>
  <c r="AL31" i="110"/>
  <c r="C6" i="110" s="1"/>
  <c r="C25" i="57"/>
  <c r="AW31" i="110"/>
  <c r="I6" i="110" s="1"/>
  <c r="I25" i="57"/>
  <c r="AU31" i="111"/>
  <c r="H6" i="111" s="1"/>
  <c r="H26" i="57"/>
  <c r="AN31" i="112"/>
  <c r="D6" i="112" s="1"/>
  <c r="D27" i="57"/>
  <c r="AR31" i="113"/>
  <c r="F6" i="113" s="1"/>
  <c r="F28" i="57"/>
  <c r="AV14" i="114"/>
  <c r="BD12" i="114"/>
  <c r="AX21" i="114"/>
  <c r="AU31" i="114"/>
  <c r="H6" i="114" s="1"/>
  <c r="H29" i="57"/>
  <c r="AL14" i="115"/>
  <c r="B33" i="56"/>
  <c r="AX14" i="115"/>
  <c r="P33" i="56"/>
  <c r="AL31" i="115"/>
  <c r="C6" i="115" s="1"/>
  <c r="C30" i="57"/>
  <c r="AW31" i="115"/>
  <c r="I6" i="115" s="1"/>
  <c r="I30" i="57"/>
  <c r="AP31" i="116"/>
  <c r="E6" i="116" s="1"/>
  <c r="E31" i="57"/>
  <c r="AL31" i="117"/>
  <c r="C6" i="117" s="1"/>
  <c r="C32" i="57"/>
  <c r="AW31" i="117"/>
  <c r="I6" i="117" s="1"/>
  <c r="I32" i="57"/>
  <c r="AS69" i="117"/>
  <c r="AR14" i="118"/>
  <c r="BD11" i="118"/>
  <c r="AP31" i="118"/>
  <c r="E6" i="118" s="1"/>
  <c r="E33" i="57"/>
  <c r="AP14" i="111"/>
  <c r="G29" i="56"/>
  <c r="AS60" i="111"/>
  <c r="BE29" i="56" s="1"/>
  <c r="AP58" i="111"/>
  <c r="AS61" i="111"/>
  <c r="X29" i="56" s="1"/>
  <c r="AS54" i="111"/>
  <c r="AN58" i="94"/>
  <c r="AN14" i="98"/>
  <c r="AZ14" i="98"/>
  <c r="BD13" i="98"/>
  <c r="AS53" i="98"/>
  <c r="AN73" i="98"/>
  <c r="BQ16" i="56" s="1"/>
  <c r="BB11" i="99"/>
  <c r="AR14" i="101"/>
  <c r="BD11" i="101"/>
  <c r="AP58" i="101"/>
  <c r="AM73" i="101"/>
  <c r="BP19" i="56" s="1"/>
  <c r="BB12" i="102"/>
  <c r="AV24" i="102"/>
  <c r="AZ15" i="102" s="1"/>
  <c r="AN58" i="102"/>
  <c r="BB12" i="103"/>
  <c r="AV24" i="103"/>
  <c r="AZ15" i="103" s="1"/>
  <c r="BB13" i="104"/>
  <c r="AP58" i="104"/>
  <c r="AM73" i="104"/>
  <c r="BP22" i="56" s="1"/>
  <c r="AR24" i="105"/>
  <c r="AR15" i="105" s="1"/>
  <c r="AM58" i="105"/>
  <c r="BD13" i="62"/>
  <c r="AN14" i="61"/>
  <c r="AZ14" i="61"/>
  <c r="BD13" i="61"/>
  <c r="AN58" i="61"/>
  <c r="AS62" i="61"/>
  <c r="AP14" i="62"/>
  <c r="BB11" i="62"/>
  <c r="AL24" i="62"/>
  <c r="AL15" i="62" s="1"/>
  <c r="AP58" i="62"/>
  <c r="AM73" i="62"/>
  <c r="BP9" i="56" s="1"/>
  <c r="AS61" i="62"/>
  <c r="X9" i="56" s="1"/>
  <c r="AS67" i="62"/>
  <c r="AS69" i="62"/>
  <c r="AR14" i="91"/>
  <c r="BD11" i="91"/>
  <c r="AR24" i="91"/>
  <c r="AR15" i="91" s="1"/>
  <c r="AM58" i="91"/>
  <c r="AS67" i="91"/>
  <c r="AS69" i="91"/>
  <c r="AR14" i="92"/>
  <c r="BD11" i="92"/>
  <c r="AM58" i="92"/>
  <c r="AS67" i="92"/>
  <c r="AP14" i="93"/>
  <c r="BB11" i="93"/>
  <c r="AX20" i="93"/>
  <c r="AP14" i="94"/>
  <c r="BB11" i="94"/>
  <c r="AL24" i="94"/>
  <c r="AL15" i="94" s="1"/>
  <c r="AP58" i="94"/>
  <c r="AM73" i="94"/>
  <c r="BP13" i="56" s="1"/>
  <c r="AS62" i="94"/>
  <c r="AT14" i="95"/>
  <c r="BB12" i="95"/>
  <c r="AS54" i="95"/>
  <c r="AP14" i="97"/>
  <c r="BB11" i="97"/>
  <c r="AP14" i="98"/>
  <c r="BB11" i="98"/>
  <c r="AP73" i="98"/>
  <c r="BR16" i="56" s="1"/>
  <c r="AS67" i="98"/>
  <c r="AR14" i="99"/>
  <c r="BD11" i="99"/>
  <c r="AP24" i="99"/>
  <c r="AP15" i="99" s="1"/>
  <c r="AM58" i="99"/>
  <c r="AS67" i="99"/>
  <c r="AR14" i="100"/>
  <c r="BD11" i="100"/>
  <c r="AP73" i="100"/>
  <c r="BR18" i="56" s="1"/>
  <c r="AT14" i="101"/>
  <c r="BB12" i="101"/>
  <c r="AQ58" i="101"/>
  <c r="AS72" i="101"/>
  <c r="AV14" i="102"/>
  <c r="BD12" i="102"/>
  <c r="AX21" i="102"/>
  <c r="AP58" i="102"/>
  <c r="AM73" i="102"/>
  <c r="BP20" i="56" s="1"/>
  <c r="AS61" i="102"/>
  <c r="X20" i="56" s="1"/>
  <c r="AS72" i="102"/>
  <c r="AV14" i="103"/>
  <c r="BD12" i="103"/>
  <c r="AX21" i="103"/>
  <c r="AM58" i="103"/>
  <c r="AP14" i="104"/>
  <c r="BB11" i="104"/>
  <c r="BD13" i="104"/>
  <c r="AS60" i="104"/>
  <c r="BE22" i="56" s="1"/>
  <c r="AT14" i="105"/>
  <c r="BB12" i="105"/>
  <c r="AV24" i="105"/>
  <c r="AZ15" i="105" s="1"/>
  <c r="AS56" i="105"/>
  <c r="AS66" i="105"/>
  <c r="BD12" i="106"/>
  <c r="AM58" i="106"/>
  <c r="AS63" i="106"/>
  <c r="AO63" i="106"/>
  <c r="AP14" i="61"/>
  <c r="BB11" i="61"/>
  <c r="AP58" i="61"/>
  <c r="AM73" i="61"/>
  <c r="BP8" i="56" s="1"/>
  <c r="AS67" i="61"/>
  <c r="AR14" i="62"/>
  <c r="BD11" i="62"/>
  <c r="AQ58" i="62"/>
  <c r="AS55" i="62"/>
  <c r="AT14" i="91"/>
  <c r="BB12" i="91"/>
  <c r="AV24" i="91"/>
  <c r="AZ15" i="91" s="1"/>
  <c r="AT14" i="92"/>
  <c r="BB12" i="92"/>
  <c r="AS56" i="92"/>
  <c r="AS62" i="92"/>
  <c r="AS64" i="92"/>
  <c r="BO11" i="56" s="1"/>
  <c r="AS65" i="92"/>
  <c r="AS66" i="92"/>
  <c r="AR14" i="93"/>
  <c r="BD11" i="93"/>
  <c r="AP24" i="93"/>
  <c r="AP15" i="93" s="1"/>
  <c r="AM58" i="93"/>
  <c r="AS67" i="93"/>
  <c r="AR14" i="94"/>
  <c r="BD11" i="94"/>
  <c r="AP24" i="94"/>
  <c r="AP15" i="94" s="1"/>
  <c r="AS55" i="94"/>
  <c r="AS60" i="94"/>
  <c r="BE13" i="56" s="1"/>
  <c r="AS68" i="94"/>
  <c r="BN13" i="56" s="1"/>
  <c r="AS72" i="94"/>
  <c r="AV14" i="95"/>
  <c r="BD12" i="95"/>
  <c r="AX21" i="95"/>
  <c r="AM58" i="95"/>
  <c r="AR14" i="97"/>
  <c r="T6" i="97" s="1"/>
  <c r="BD11" i="97"/>
  <c r="AP24" i="97"/>
  <c r="AP15" i="97" s="1"/>
  <c r="AM58" i="97"/>
  <c r="AS67" i="97"/>
  <c r="AR14" i="98"/>
  <c r="BD11" i="98"/>
  <c r="AT14" i="99"/>
  <c r="BB12" i="99"/>
  <c r="AV24" i="99"/>
  <c r="AZ15" i="99" s="1"/>
  <c r="AS56" i="99"/>
  <c r="AT14" i="100"/>
  <c r="BB12" i="100"/>
  <c r="AV24" i="100"/>
  <c r="AZ15" i="100" s="1"/>
  <c r="AV14" i="101"/>
  <c r="BD12" i="101"/>
  <c r="AX21" i="101"/>
  <c r="AS63" i="101"/>
  <c r="AR64" i="101"/>
  <c r="AT64" i="101" s="1"/>
  <c r="AL14" i="102"/>
  <c r="AX14" i="102"/>
  <c r="BB13" i="102"/>
  <c r="AS53" i="102"/>
  <c r="AS55" i="102"/>
  <c r="AN73" i="102"/>
  <c r="BQ20" i="56" s="1"/>
  <c r="AS63" i="102"/>
  <c r="AR64" i="102"/>
  <c r="AT64" i="102" s="1"/>
  <c r="AL14" i="103"/>
  <c r="AX14" i="103"/>
  <c r="BB13" i="103"/>
  <c r="AS56" i="103"/>
  <c r="AS62" i="103"/>
  <c r="AS69" i="103"/>
  <c r="AR14" i="104"/>
  <c r="AX20" i="104"/>
  <c r="AS63" i="104"/>
  <c r="AN58" i="62"/>
  <c r="AS61" i="61"/>
  <c r="X8" i="56" s="1"/>
  <c r="AR24" i="61"/>
  <c r="AR15" i="61" s="1"/>
  <c r="AS55" i="61"/>
  <c r="AT14" i="62"/>
  <c r="BB12" i="62"/>
  <c r="AV24" i="62"/>
  <c r="AZ15" i="62" s="1"/>
  <c r="AP73" i="62"/>
  <c r="BR9" i="56" s="1"/>
  <c r="AS63" i="62"/>
  <c r="AS72" i="62"/>
  <c r="AV14" i="91"/>
  <c r="BD12" i="91"/>
  <c r="AZ21" i="91"/>
  <c r="H3" i="91" s="1"/>
  <c r="AP58" i="91"/>
  <c r="AM73" i="91"/>
  <c r="BP10" i="56" s="1"/>
  <c r="AS61" i="91"/>
  <c r="X10" i="56" s="1"/>
  <c r="AS72" i="91"/>
  <c r="AV14" i="92"/>
  <c r="BD12" i="92"/>
  <c r="AX21" i="92"/>
  <c r="AM73" i="92"/>
  <c r="BP11" i="56" s="1"/>
  <c r="AT14" i="93"/>
  <c r="BB12" i="93"/>
  <c r="AV24" i="93"/>
  <c r="AZ15" i="93" s="1"/>
  <c r="AT14" i="94"/>
  <c r="BB12" i="94"/>
  <c r="AL14" i="95"/>
  <c r="AX14" i="95"/>
  <c r="BB13" i="95"/>
  <c r="AN58" i="95"/>
  <c r="AS62" i="95"/>
  <c r="AV24" i="97"/>
  <c r="AZ15" i="97" s="1"/>
  <c r="AN58" i="97"/>
  <c r="AM58" i="98"/>
  <c r="AX21" i="99"/>
  <c r="AM73" i="108"/>
  <c r="BP26" i="56" s="1"/>
  <c r="AM58" i="61"/>
  <c r="BB12" i="61"/>
  <c r="AS72" i="61"/>
  <c r="AX21" i="62"/>
  <c r="AL14" i="91"/>
  <c r="AX14" i="91"/>
  <c r="BB13" i="91"/>
  <c r="AS55" i="91"/>
  <c r="AL14" i="92"/>
  <c r="AX14" i="92"/>
  <c r="BB13" i="92"/>
  <c r="AS55" i="92"/>
  <c r="AS60" i="92"/>
  <c r="BE11" i="56" s="1"/>
  <c r="AS72" i="92"/>
  <c r="AV14" i="93"/>
  <c r="BD12" i="93"/>
  <c r="AX21" i="93"/>
  <c r="AP58" i="93"/>
  <c r="AS61" i="93"/>
  <c r="X12" i="56" s="1"/>
  <c r="AV14" i="94"/>
  <c r="BD12" i="94"/>
  <c r="AX21" i="94"/>
  <c r="AS54" i="94"/>
  <c r="AN14" i="95"/>
  <c r="AZ14" i="95"/>
  <c r="BD13" i="95"/>
  <c r="AV14" i="97"/>
  <c r="BD12" i="97"/>
  <c r="AZ21" i="97"/>
  <c r="H3" i="97" s="1"/>
  <c r="AP58" i="97"/>
  <c r="AS61" i="97"/>
  <c r="X15" i="56" s="1"/>
  <c r="AS72" i="97"/>
  <c r="AN58" i="98"/>
  <c r="AS63" i="99"/>
  <c r="AR21" i="101"/>
  <c r="AR24" i="101" s="1"/>
  <c r="AR15" i="101" s="1"/>
  <c r="AM58" i="101"/>
  <c r="AS72" i="103"/>
  <c r="AV14" i="104"/>
  <c r="AM58" i="104"/>
  <c r="AN14" i="105"/>
  <c r="AZ14" i="105"/>
  <c r="BD13" i="105"/>
  <c r="AP14" i="106"/>
  <c r="BB11" i="106"/>
  <c r="AS55" i="106"/>
  <c r="AR14" i="107"/>
  <c r="AT14" i="61"/>
  <c r="AV14" i="62"/>
  <c r="BD12" i="62"/>
  <c r="AS54" i="62"/>
  <c r="AS64" i="62"/>
  <c r="BO9" i="56" s="1"/>
  <c r="AV14" i="61"/>
  <c r="BD12" i="61"/>
  <c r="AZ21" i="61"/>
  <c r="H3" i="61" s="1"/>
  <c r="AT24" i="62"/>
  <c r="AX15" i="62" s="1"/>
  <c r="AM58" i="62"/>
  <c r="AS63" i="93"/>
  <c r="AR64" i="93"/>
  <c r="AT64" i="93" s="1"/>
  <c r="AN21" i="94"/>
  <c r="AZ21" i="94" s="1"/>
  <c r="H3" i="94" s="1"/>
  <c r="AM58" i="94"/>
  <c r="AO69" i="94"/>
  <c r="AS64" i="95"/>
  <c r="BO14" i="56" s="1"/>
  <c r="BB13" i="97"/>
  <c r="AQ58" i="97"/>
  <c r="AN73" i="97"/>
  <c r="BQ15" i="56" s="1"/>
  <c r="AS63" i="97"/>
  <c r="AR64" i="97"/>
  <c r="AT64" i="97" s="1"/>
  <c r="BB13" i="98"/>
  <c r="AM73" i="98"/>
  <c r="BP16" i="56" s="1"/>
  <c r="AS64" i="98"/>
  <c r="BO16" i="56" s="1"/>
  <c r="AS68" i="98"/>
  <c r="BN16" i="56" s="1"/>
  <c r="AN14" i="99"/>
  <c r="AZ14" i="99"/>
  <c r="BD13" i="99"/>
  <c r="AS68" i="99"/>
  <c r="BN17" i="56" s="1"/>
  <c r="AN14" i="100"/>
  <c r="AZ14" i="100"/>
  <c r="BD13" i="100"/>
  <c r="AP14" i="101"/>
  <c r="BB11" i="101"/>
  <c r="AX20" i="101"/>
  <c r="AT24" i="101"/>
  <c r="AX15" i="101" s="1"/>
  <c r="AN58" i="101"/>
  <c r="AS56" i="101"/>
  <c r="AS67" i="101"/>
  <c r="AS69" i="101"/>
  <c r="AR14" i="102"/>
  <c r="BD11" i="102"/>
  <c r="AR24" i="102"/>
  <c r="AR15" i="102" s="1"/>
  <c r="AM58" i="102"/>
  <c r="AR14" i="103"/>
  <c r="BD11" i="103"/>
  <c r="AP24" i="103"/>
  <c r="AP15" i="103" s="1"/>
  <c r="AR64" i="103"/>
  <c r="AT64" i="103" s="1"/>
  <c r="AL14" i="104"/>
  <c r="AX14" i="104"/>
  <c r="BD12" i="104"/>
  <c r="AX21" i="104"/>
  <c r="AN58" i="104"/>
  <c r="AS62" i="104"/>
  <c r="AO69" i="104"/>
  <c r="BB11" i="105"/>
  <c r="AX20" i="105"/>
  <c r="AS67" i="105"/>
  <c r="AR14" i="106"/>
  <c r="BD11" i="106"/>
  <c r="BB12" i="107"/>
  <c r="AN58" i="107"/>
  <c r="AM73" i="107"/>
  <c r="BP25" i="56" s="1"/>
  <c r="AV21" i="108"/>
  <c r="AV24" i="108" s="1"/>
  <c r="AZ15" i="108" s="1"/>
  <c r="AT24" i="108"/>
  <c r="AX15" i="108" s="1"/>
  <c r="AS72" i="104"/>
  <c r="AV14" i="105"/>
  <c r="BD12" i="105"/>
  <c r="AX21" i="105"/>
  <c r="AP58" i="105"/>
  <c r="AM73" i="105"/>
  <c r="BP23" i="56" s="1"/>
  <c r="AS61" i="105"/>
  <c r="X23" i="56" s="1"/>
  <c r="AS64" i="105"/>
  <c r="BO23" i="56" s="1"/>
  <c r="AL14" i="106"/>
  <c r="AX14" i="106"/>
  <c r="BB13" i="106"/>
  <c r="AS62" i="106"/>
  <c r="BD11" i="107"/>
  <c r="AS55" i="107"/>
  <c r="AS68" i="107"/>
  <c r="BN25" i="56" s="1"/>
  <c r="AV14" i="108"/>
  <c r="BD12" i="108"/>
  <c r="AS53" i="108"/>
  <c r="AS61" i="108"/>
  <c r="X26" i="56" s="1"/>
  <c r="AS66" i="108"/>
  <c r="AR14" i="109"/>
  <c r="BD11" i="109"/>
  <c r="AP24" i="109"/>
  <c r="AP15" i="109" s="1"/>
  <c r="AL14" i="110"/>
  <c r="AX14" i="110"/>
  <c r="BB13" i="110"/>
  <c r="AM58" i="110"/>
  <c r="AR14" i="111"/>
  <c r="BD11" i="111"/>
  <c r="AP24" i="111"/>
  <c r="AP15" i="111" s="1"/>
  <c r="AR14" i="112"/>
  <c r="BD11" i="112"/>
  <c r="AP24" i="112"/>
  <c r="AP15" i="112" s="1"/>
  <c r="AP73" i="112"/>
  <c r="BR30" i="56" s="1"/>
  <c r="AS63" i="112"/>
  <c r="AR64" i="112"/>
  <c r="AT64" i="112" s="1"/>
  <c r="AV14" i="113"/>
  <c r="BD12" i="113"/>
  <c r="AN58" i="113"/>
  <c r="AS64" i="113"/>
  <c r="BO31" i="56" s="1"/>
  <c r="AL14" i="114"/>
  <c r="AX14" i="114"/>
  <c r="BB13" i="114"/>
  <c r="AS53" i="114"/>
  <c r="AS55" i="114"/>
  <c r="AN73" i="114"/>
  <c r="BQ32" i="56" s="1"/>
  <c r="AV14" i="115"/>
  <c r="BD12" i="115"/>
  <c r="AP58" i="115"/>
  <c r="AM73" i="115"/>
  <c r="BP33" i="56" s="1"/>
  <c r="AS64" i="115"/>
  <c r="BO33" i="56" s="1"/>
  <c r="AS72" i="115"/>
  <c r="AV14" i="116"/>
  <c r="BD12" i="116"/>
  <c r="AV24" i="116"/>
  <c r="AZ15" i="116" s="1"/>
  <c r="AM58" i="116"/>
  <c r="AR14" i="117"/>
  <c r="BD11" i="117"/>
  <c r="AP24" i="117"/>
  <c r="AP15" i="117" s="1"/>
  <c r="AM58" i="117"/>
  <c r="AS67" i="117"/>
  <c r="AP24" i="118"/>
  <c r="AP15" i="118" s="1"/>
  <c r="AS63" i="118"/>
  <c r="AM73" i="106"/>
  <c r="BP24" i="56" s="1"/>
  <c r="AL14" i="108"/>
  <c r="AX14" i="108"/>
  <c r="BB13" i="108"/>
  <c r="AX21" i="108"/>
  <c r="AS65" i="108"/>
  <c r="BB12" i="109"/>
  <c r="AS68" i="109"/>
  <c r="BN27" i="56" s="1"/>
  <c r="AN14" i="110"/>
  <c r="AZ14" i="110"/>
  <c r="BD13" i="110"/>
  <c r="AX21" i="110"/>
  <c r="AL24" i="110"/>
  <c r="AL15" i="110" s="1"/>
  <c r="AM73" i="110"/>
  <c r="BP28" i="56" s="1"/>
  <c r="AS64" i="110"/>
  <c r="BO28" i="56" s="1"/>
  <c r="AS65" i="110"/>
  <c r="BB12" i="111"/>
  <c r="AV24" i="111"/>
  <c r="AZ15" i="111" s="1"/>
  <c r="BB12" i="112"/>
  <c r="AX21" i="113"/>
  <c r="AM73" i="113"/>
  <c r="BP31" i="56" s="1"/>
  <c r="AN14" i="114"/>
  <c r="AZ14" i="114"/>
  <c r="BD13" i="114"/>
  <c r="BB13" i="115"/>
  <c r="AS53" i="115"/>
  <c r="AS55" i="115"/>
  <c r="AN73" i="115"/>
  <c r="BQ33" i="56" s="1"/>
  <c r="AS63" i="115"/>
  <c r="AR64" i="115"/>
  <c r="AT64" i="115" s="1"/>
  <c r="AL14" i="116"/>
  <c r="AX14" i="116"/>
  <c r="AX21" i="116"/>
  <c r="AS56" i="116"/>
  <c r="AT14" i="117"/>
  <c r="BB12" i="117"/>
  <c r="AV24" i="117"/>
  <c r="AZ15" i="117" s="1"/>
  <c r="AN58" i="117"/>
  <c r="AT14" i="118"/>
  <c r="BB12" i="118"/>
  <c r="AV24" i="118"/>
  <c r="AZ15" i="118" s="1"/>
  <c r="AS64" i="118"/>
  <c r="BO36" i="56" s="1"/>
  <c r="AS72" i="106"/>
  <c r="AV14" i="107"/>
  <c r="BD12" i="107"/>
  <c r="AP24" i="107"/>
  <c r="AP15" i="107" s="1"/>
  <c r="AS69" i="107"/>
  <c r="AN14" i="108"/>
  <c r="AZ14" i="108"/>
  <c r="BD13" i="108"/>
  <c r="AN21" i="108"/>
  <c r="BD12" i="109"/>
  <c r="AX21" i="109"/>
  <c r="AM58" i="109"/>
  <c r="AP14" i="110"/>
  <c r="BB11" i="110"/>
  <c r="AS72" i="110"/>
  <c r="AV14" i="111"/>
  <c r="BD12" i="111"/>
  <c r="AX21" i="111"/>
  <c r="AM58" i="111"/>
  <c r="AM58" i="112"/>
  <c r="BB11" i="114"/>
  <c r="AS68" i="114"/>
  <c r="BN32" i="56" s="1"/>
  <c r="AN14" i="115"/>
  <c r="AZ14" i="115"/>
  <c r="BD13" i="115"/>
  <c r="AS70" i="115"/>
  <c r="AN14" i="116"/>
  <c r="AZ14" i="116"/>
  <c r="BB13" i="116"/>
  <c r="AT24" i="116"/>
  <c r="AX15" i="116" s="1"/>
  <c r="AP58" i="116"/>
  <c r="AM73" i="116"/>
  <c r="BP34" i="56" s="1"/>
  <c r="AT61" i="116"/>
  <c r="AS64" i="116"/>
  <c r="BO34" i="56" s="1"/>
  <c r="AS72" i="116"/>
  <c r="AV14" i="117"/>
  <c r="BD12" i="117"/>
  <c r="AX21" i="117"/>
  <c r="AP58" i="117"/>
  <c r="AM73" i="117"/>
  <c r="BP35" i="56" s="1"/>
  <c r="AT61" i="117"/>
  <c r="AS64" i="117"/>
  <c r="BO35" i="56" s="1"/>
  <c r="AS66" i="117"/>
  <c r="AS72" i="117"/>
  <c r="AV14" i="118"/>
  <c r="BD12" i="118"/>
  <c r="AZ21" i="118"/>
  <c r="H3" i="118" s="1"/>
  <c r="AP73" i="106"/>
  <c r="BR24" i="56" s="1"/>
  <c r="AS68" i="106"/>
  <c r="BN24" i="56" s="1"/>
  <c r="AL14" i="107"/>
  <c r="AX14" i="107"/>
  <c r="AM58" i="107"/>
  <c r="AP14" i="108"/>
  <c r="BB11" i="108"/>
  <c r="AM58" i="108"/>
  <c r="AL14" i="109"/>
  <c r="AX14" i="109"/>
  <c r="BB13" i="109"/>
  <c r="AS56" i="109"/>
  <c r="AS62" i="109"/>
  <c r="AS69" i="109"/>
  <c r="AR14" i="110"/>
  <c r="BD11" i="110"/>
  <c r="AL14" i="111"/>
  <c r="AX14" i="111"/>
  <c r="BB13" i="111"/>
  <c r="AS56" i="111"/>
  <c r="AS62" i="111"/>
  <c r="AL14" i="112"/>
  <c r="AX14" i="112"/>
  <c r="BB13" i="112"/>
  <c r="AS56" i="112"/>
  <c r="AS67" i="112"/>
  <c r="AS69" i="112"/>
  <c r="AP14" i="113"/>
  <c r="BB11" i="113"/>
  <c r="BD13" i="113"/>
  <c r="AR14" i="114"/>
  <c r="BD11" i="114"/>
  <c r="AP24" i="114"/>
  <c r="AP15" i="114" s="1"/>
  <c r="AM58" i="114"/>
  <c r="AP14" i="115"/>
  <c r="BB11" i="115"/>
  <c r="AX20" i="115"/>
  <c r="AP14" i="116"/>
  <c r="BD13" i="116"/>
  <c r="AQ58" i="116"/>
  <c r="AS55" i="116"/>
  <c r="AS63" i="116"/>
  <c r="AS65" i="116"/>
  <c r="AL14" i="117"/>
  <c r="AX14" i="117"/>
  <c r="BB13" i="117"/>
  <c r="AQ58" i="117"/>
  <c r="AS55" i="117"/>
  <c r="AS63" i="117"/>
  <c r="AS65" i="117"/>
  <c r="AL14" i="118"/>
  <c r="AX14" i="118"/>
  <c r="BB13" i="118"/>
  <c r="AM58" i="118"/>
  <c r="AM73" i="109"/>
  <c r="BP27" i="56" s="1"/>
  <c r="AS57" i="110"/>
  <c r="AM73" i="111"/>
  <c r="BP29" i="56" s="1"/>
  <c r="AN14" i="112"/>
  <c r="AZ14" i="112"/>
  <c r="BD13" i="112"/>
  <c r="AM73" i="112"/>
  <c r="BP30" i="56" s="1"/>
  <c r="AR14" i="113"/>
  <c r="BD11" i="113"/>
  <c r="AS54" i="114"/>
  <c r="AM58" i="115"/>
  <c r="AR14" i="116"/>
  <c r="BC34" i="56" s="1"/>
  <c r="AX20" i="116"/>
  <c r="AN14" i="118"/>
  <c r="AZ14" i="118"/>
  <c r="BD13" i="118"/>
  <c r="AS62" i="118"/>
  <c r="AM58" i="113"/>
  <c r="AS63" i="111"/>
  <c r="AS64" i="111"/>
  <c r="BO29" i="56" s="1"/>
  <c r="AS55" i="111"/>
  <c r="AS56" i="114"/>
  <c r="AT24" i="118"/>
  <c r="AX15" i="118" s="1"/>
  <c r="AS72" i="118"/>
  <c r="AS54" i="118"/>
  <c r="AS56" i="118"/>
  <c r="AP73" i="118"/>
  <c r="BR36" i="56" s="1"/>
  <c r="AN24" i="118"/>
  <c r="AN15" i="118" s="1"/>
  <c r="AN58" i="118"/>
  <c r="AS66" i="118"/>
  <c r="AS67" i="118"/>
  <c r="AS68" i="118"/>
  <c r="BN36" i="56" s="1"/>
  <c r="AQ73" i="118"/>
  <c r="AL24" i="118"/>
  <c r="AQ58" i="118"/>
  <c r="AN73" i="118"/>
  <c r="BQ36" i="56" s="1"/>
  <c r="AO70" i="118"/>
  <c r="AO61" i="118"/>
  <c r="AT61" i="118" s="1"/>
  <c r="AS65" i="118"/>
  <c r="AR20" i="118"/>
  <c r="AR24" i="118" s="1"/>
  <c r="AR15" i="118" s="1"/>
  <c r="AO62" i="118"/>
  <c r="AS69" i="118"/>
  <c r="BD10" i="118"/>
  <c r="AX20" i="118"/>
  <c r="AX21" i="118"/>
  <c r="AO60" i="118"/>
  <c r="BB10" i="118"/>
  <c r="AT24" i="117"/>
  <c r="AX15" i="117" s="1"/>
  <c r="AS54" i="117"/>
  <c r="AP73" i="117"/>
  <c r="BR35" i="56" s="1"/>
  <c r="AS62" i="117"/>
  <c r="AR65" i="117"/>
  <c r="AT65" i="117" s="1"/>
  <c r="AO69" i="117"/>
  <c r="AO70" i="117"/>
  <c r="AS53" i="117"/>
  <c r="AR66" i="117"/>
  <c r="AT66" i="117" s="1"/>
  <c r="AR67" i="117"/>
  <c r="AT67" i="117" s="1"/>
  <c r="BB10" i="117"/>
  <c r="AS56" i="117"/>
  <c r="AS60" i="117"/>
  <c r="BE35" i="56" s="1"/>
  <c r="AN73" i="117"/>
  <c r="BQ35" i="56" s="1"/>
  <c r="AN20" i="117"/>
  <c r="AN21" i="117"/>
  <c r="AZ21" i="117" s="1"/>
  <c r="H3" i="117" s="1"/>
  <c r="AR68" i="117"/>
  <c r="AT68" i="117" s="1"/>
  <c r="AR20" i="117"/>
  <c r="AR24" i="117" s="1"/>
  <c r="AR15" i="117" s="1"/>
  <c r="AO62" i="117"/>
  <c r="AQ73" i="117"/>
  <c r="BD10" i="117"/>
  <c r="AX20" i="117"/>
  <c r="AS61" i="117"/>
  <c r="X35" i="56" s="1"/>
  <c r="AS54" i="116"/>
  <c r="AP73" i="116"/>
  <c r="BR34" i="56" s="1"/>
  <c r="AS62" i="116"/>
  <c r="AO70" i="116"/>
  <c r="AS53" i="116"/>
  <c r="AN58" i="116"/>
  <c r="AS66" i="116"/>
  <c r="AS67" i="116"/>
  <c r="AS68" i="116"/>
  <c r="BN34" i="56" s="1"/>
  <c r="AQ73" i="116"/>
  <c r="AL24" i="116"/>
  <c r="BB10" i="116"/>
  <c r="AS60" i="116"/>
  <c r="BE34" i="56" s="1"/>
  <c r="AS69" i="116"/>
  <c r="AN73" i="116"/>
  <c r="BQ34" i="56" s="1"/>
  <c r="AN20" i="116"/>
  <c r="AN21" i="116"/>
  <c r="AZ21" i="116" s="1"/>
  <c r="H3" i="116" s="1"/>
  <c r="AR65" i="116"/>
  <c r="AT65" i="116" s="1"/>
  <c r="AO62" i="116"/>
  <c r="BD10" i="116"/>
  <c r="AP24" i="116"/>
  <c r="AP15" i="116" s="1"/>
  <c r="AS61" i="116"/>
  <c r="X34" i="56" s="1"/>
  <c r="AT24" i="115"/>
  <c r="AX15" i="115" s="1"/>
  <c r="AS54" i="115"/>
  <c r="AP73" i="115"/>
  <c r="BR33" i="56" s="1"/>
  <c r="AQ73" i="115"/>
  <c r="AS62" i="115"/>
  <c r="AN58" i="115"/>
  <c r="AO61" i="115"/>
  <c r="AT61" i="115" s="1"/>
  <c r="AS66" i="115"/>
  <c r="AS67" i="115"/>
  <c r="AS68" i="115"/>
  <c r="BN33" i="56" s="1"/>
  <c r="AL24" i="115"/>
  <c r="AQ58" i="115"/>
  <c r="AR60" i="115"/>
  <c r="AN20" i="115"/>
  <c r="AN21" i="115"/>
  <c r="AZ21" i="115" s="1"/>
  <c r="H3" i="115" s="1"/>
  <c r="AO60" i="115"/>
  <c r="AO70" i="115"/>
  <c r="AO62" i="115"/>
  <c r="BB10" i="115"/>
  <c r="AS60" i="115"/>
  <c r="BE33" i="56" s="1"/>
  <c r="AS69" i="115"/>
  <c r="AS65" i="115"/>
  <c r="AR20" i="115"/>
  <c r="AR24" i="115" s="1"/>
  <c r="AR15" i="115" s="1"/>
  <c r="BD10" i="115"/>
  <c r="AP73" i="114"/>
  <c r="BR32" i="56" s="1"/>
  <c r="AX20" i="114"/>
  <c r="AR63" i="114"/>
  <c r="AT63" i="114" s="1"/>
  <c r="AS64" i="114"/>
  <c r="BO32" i="56" s="1"/>
  <c r="AS72" i="114"/>
  <c r="AQ73" i="114"/>
  <c r="AP58" i="114"/>
  <c r="AT24" i="114"/>
  <c r="AX15" i="114" s="1"/>
  <c r="AV24" i="114"/>
  <c r="AZ15" i="114" s="1"/>
  <c r="AT61" i="114"/>
  <c r="AS65" i="114"/>
  <c r="AR66" i="114"/>
  <c r="AT66" i="114" s="1"/>
  <c r="AR67" i="114"/>
  <c r="AT67" i="114" s="1"/>
  <c r="AR68" i="114"/>
  <c r="AT68" i="114" s="1"/>
  <c r="AL24" i="114"/>
  <c r="AQ58" i="114"/>
  <c r="AR60" i="114"/>
  <c r="AN20" i="114"/>
  <c r="AN21" i="114"/>
  <c r="AZ21" i="114" s="1"/>
  <c r="H3" i="114" s="1"/>
  <c r="AO70" i="114"/>
  <c r="AN58" i="114"/>
  <c r="AR20" i="114"/>
  <c r="AR24" i="114" s="1"/>
  <c r="AR15" i="114" s="1"/>
  <c r="BB10" i="114"/>
  <c r="AS60" i="114"/>
  <c r="BE32" i="56" s="1"/>
  <c r="AS69" i="114"/>
  <c r="AO60" i="114"/>
  <c r="AO62" i="114"/>
  <c r="BD10" i="114"/>
  <c r="AS61" i="114"/>
  <c r="X32" i="56" s="1"/>
  <c r="AS55" i="113"/>
  <c r="AR64" i="113"/>
  <c r="AT64" i="113" s="1"/>
  <c r="AP58" i="113"/>
  <c r="AQ58" i="113"/>
  <c r="AS63" i="113"/>
  <c r="AX20" i="113"/>
  <c r="AS54" i="113"/>
  <c r="AS60" i="113"/>
  <c r="AT24" i="113"/>
  <c r="AX15" i="113" s="1"/>
  <c r="AS72" i="113"/>
  <c r="AP73" i="113"/>
  <c r="BR31" i="56" s="1"/>
  <c r="AS62" i="113"/>
  <c r="AN73" i="113"/>
  <c r="BQ31" i="56" s="1"/>
  <c r="AN20" i="113"/>
  <c r="AO60" i="113"/>
  <c r="AS53" i="113"/>
  <c r="AR20" i="113"/>
  <c r="AR24" i="113" s="1"/>
  <c r="AR15" i="113" s="1"/>
  <c r="AQ73" i="113"/>
  <c r="BB10" i="113"/>
  <c r="AS56" i="113"/>
  <c r="AS69" i="113"/>
  <c r="AS70" i="113"/>
  <c r="AN21" i="113"/>
  <c r="AZ21" i="113" s="1"/>
  <c r="H3" i="113" s="1"/>
  <c r="AO61" i="113"/>
  <c r="AT61" i="113" s="1"/>
  <c r="AS66" i="113"/>
  <c r="AS67" i="113"/>
  <c r="AS68" i="113"/>
  <c r="BN31" i="56" s="1"/>
  <c r="AL24" i="113"/>
  <c r="BD10" i="113"/>
  <c r="AR65" i="113"/>
  <c r="AT65" i="113" s="1"/>
  <c r="AO62" i="113"/>
  <c r="AQ73" i="112"/>
  <c r="AR60" i="112"/>
  <c r="AS62" i="112"/>
  <c r="AS72" i="112"/>
  <c r="AX20" i="112"/>
  <c r="AP58" i="112"/>
  <c r="AT24" i="112"/>
  <c r="AX15" i="112" s="1"/>
  <c r="AQ58" i="112"/>
  <c r="AS61" i="112"/>
  <c r="X30" i="56" s="1"/>
  <c r="AS70" i="112"/>
  <c r="AV24" i="112"/>
  <c r="AZ15" i="112" s="1"/>
  <c r="AN20" i="112"/>
  <c r="AO70" i="112"/>
  <c r="AS65" i="112"/>
  <c r="AR67" i="112"/>
  <c r="AT67" i="112" s="1"/>
  <c r="AR20" i="112"/>
  <c r="AR24" i="112" s="1"/>
  <c r="AR15" i="112" s="1"/>
  <c r="AO62" i="112"/>
  <c r="AS66" i="112"/>
  <c r="AS68" i="112"/>
  <c r="BN30" i="56" s="1"/>
  <c r="AS53" i="112"/>
  <c r="AN58" i="112"/>
  <c r="AZ68" i="112" s="1"/>
  <c r="AO61" i="112"/>
  <c r="AT61" i="112" s="1"/>
  <c r="AL24" i="112"/>
  <c r="AN21" i="112"/>
  <c r="AZ21" i="112" s="1"/>
  <c r="H3" i="112" s="1"/>
  <c r="AO60" i="112"/>
  <c r="AO69" i="112"/>
  <c r="BB10" i="112"/>
  <c r="AS60" i="112"/>
  <c r="BE30" i="56" s="1"/>
  <c r="BD10" i="112"/>
  <c r="AT24" i="111"/>
  <c r="AX15" i="111" s="1"/>
  <c r="AS72" i="111"/>
  <c r="AX20" i="111"/>
  <c r="AP73" i="111"/>
  <c r="BR29" i="56" s="1"/>
  <c r="AR68" i="111"/>
  <c r="AT68" i="111" s="1"/>
  <c r="AR20" i="111"/>
  <c r="AR24" i="111" s="1"/>
  <c r="AR15" i="111" s="1"/>
  <c r="AS66" i="111"/>
  <c r="AS67" i="111"/>
  <c r="AQ73" i="111"/>
  <c r="AN20" i="111"/>
  <c r="AN21" i="111"/>
  <c r="AZ21" i="111" s="1"/>
  <c r="H3" i="111" s="1"/>
  <c r="AO60" i="111"/>
  <c r="AS65" i="111"/>
  <c r="AO62" i="111"/>
  <c r="AL24" i="111"/>
  <c r="AQ58" i="111"/>
  <c r="AS69" i="111"/>
  <c r="AS70" i="111"/>
  <c r="AN73" i="111"/>
  <c r="BQ29" i="56" s="1"/>
  <c r="AN58" i="111"/>
  <c r="AO61" i="111"/>
  <c r="AT61" i="111" s="1"/>
  <c r="BD10" i="111"/>
  <c r="BB10" i="111"/>
  <c r="AS60" i="110"/>
  <c r="BE28" i="56" s="1"/>
  <c r="AS54" i="110"/>
  <c r="AS56" i="110"/>
  <c r="AR64" i="110"/>
  <c r="AT64" i="110" s="1"/>
  <c r="AR65" i="110"/>
  <c r="AT65" i="110" s="1"/>
  <c r="AP58" i="110"/>
  <c r="AP73" i="110"/>
  <c r="BR28" i="56" s="1"/>
  <c r="AQ73" i="110"/>
  <c r="AS62" i="110"/>
  <c r="AS55" i="110"/>
  <c r="AS61" i="110"/>
  <c r="X28" i="56" s="1"/>
  <c r="AS70" i="110"/>
  <c r="AV24" i="110"/>
  <c r="AZ15" i="110" s="1"/>
  <c r="AN58" i="110"/>
  <c r="AR20" i="110"/>
  <c r="AR21" i="110"/>
  <c r="AZ21" i="110" s="1"/>
  <c r="H3" i="110" s="1"/>
  <c r="AS68" i="110"/>
  <c r="BN28" i="56" s="1"/>
  <c r="AQ58" i="110"/>
  <c r="AR60" i="110"/>
  <c r="AT24" i="110"/>
  <c r="AX15" i="110" s="1"/>
  <c r="AS63" i="110"/>
  <c r="AN73" i="110"/>
  <c r="BQ28" i="56" s="1"/>
  <c r="AS66" i="110"/>
  <c r="AS67" i="110"/>
  <c r="BB10" i="110"/>
  <c r="AN24" i="110"/>
  <c r="AN15" i="110" s="1"/>
  <c r="AO61" i="110"/>
  <c r="AT61" i="110" s="1"/>
  <c r="BD10" i="110"/>
  <c r="AX20" i="110"/>
  <c r="AO62" i="110"/>
  <c r="AP73" i="109"/>
  <c r="BR27" i="56" s="1"/>
  <c r="AS55" i="109"/>
  <c r="AS64" i="109"/>
  <c r="BO27" i="56" s="1"/>
  <c r="AS72" i="109"/>
  <c r="AP58" i="109"/>
  <c r="AS63" i="109"/>
  <c r="AS61" i="109"/>
  <c r="X27" i="56" s="1"/>
  <c r="AV14" i="109"/>
  <c r="AQ73" i="109"/>
  <c r="AR60" i="109"/>
  <c r="AT60" i="109" s="1"/>
  <c r="AT24" i="109"/>
  <c r="AX15" i="109" s="1"/>
  <c r="AV24" i="109"/>
  <c r="AZ15" i="109" s="1"/>
  <c r="AN73" i="109"/>
  <c r="BQ27" i="56" s="1"/>
  <c r="AO69" i="109"/>
  <c r="AN58" i="109"/>
  <c r="AO61" i="109"/>
  <c r="AT61" i="109" s="1"/>
  <c r="AS65" i="109"/>
  <c r="AR67" i="109"/>
  <c r="AT67" i="109" s="1"/>
  <c r="AR68" i="109"/>
  <c r="AT68" i="109" s="1"/>
  <c r="AR20" i="109"/>
  <c r="AR24" i="109" s="1"/>
  <c r="AR15" i="109" s="1"/>
  <c r="AO62" i="109"/>
  <c r="AS66" i="109"/>
  <c r="BB10" i="109"/>
  <c r="AS60" i="109"/>
  <c r="BE27" i="56" s="1"/>
  <c r="AS70" i="109"/>
  <c r="AN20" i="109"/>
  <c r="AN21" i="109"/>
  <c r="AZ21" i="109" s="1"/>
  <c r="H3" i="109" s="1"/>
  <c r="AQ58" i="109"/>
  <c r="BD10" i="109"/>
  <c r="AX20" i="109"/>
  <c r="AP73" i="108"/>
  <c r="BR26" i="56" s="1"/>
  <c r="AN20" i="108"/>
  <c r="AS64" i="108"/>
  <c r="BO26" i="56" s="1"/>
  <c r="AR65" i="108"/>
  <c r="AT65" i="108" s="1"/>
  <c r="AS55" i="108"/>
  <c r="AQ73" i="108"/>
  <c r="AS72" i="108"/>
  <c r="AP58" i="108"/>
  <c r="AS54" i="108"/>
  <c r="AS56" i="108"/>
  <c r="AS60" i="108"/>
  <c r="BE26" i="56" s="1"/>
  <c r="AS70" i="108"/>
  <c r="AR20" i="108"/>
  <c r="AR24" i="108" s="1"/>
  <c r="AR15" i="108" s="1"/>
  <c r="AS63" i="108"/>
  <c r="AN73" i="108"/>
  <c r="BQ26" i="56" s="1"/>
  <c r="AO61" i="108"/>
  <c r="AT61" i="108" s="1"/>
  <c r="AL24" i="108"/>
  <c r="AQ58" i="108"/>
  <c r="AR60" i="108"/>
  <c r="AN58" i="108"/>
  <c r="BB10" i="108"/>
  <c r="AR66" i="108"/>
  <c r="AT66" i="108" s="1"/>
  <c r="AR67" i="108"/>
  <c r="AT67" i="108" s="1"/>
  <c r="AR68" i="108"/>
  <c r="AT68" i="108" s="1"/>
  <c r="BD10" i="108"/>
  <c r="AO62" i="108"/>
  <c r="AT24" i="107"/>
  <c r="AX15" i="107" s="1"/>
  <c r="AS54" i="107"/>
  <c r="AS60" i="107"/>
  <c r="AP73" i="107"/>
  <c r="BR25" i="56" s="1"/>
  <c r="AS62" i="107"/>
  <c r="AR64" i="107"/>
  <c r="AT64" i="107" s="1"/>
  <c r="AS72" i="107"/>
  <c r="AS63" i="107"/>
  <c r="AX20" i="107"/>
  <c r="AS61" i="107"/>
  <c r="X25" i="56" s="1"/>
  <c r="AQ58" i="107"/>
  <c r="AS70" i="107"/>
  <c r="AN73" i="107"/>
  <c r="AN20" i="107"/>
  <c r="AN21" i="107"/>
  <c r="AZ21" i="107" s="1"/>
  <c r="H3" i="107" s="1"/>
  <c r="AO60" i="107"/>
  <c r="AS65" i="107"/>
  <c r="AR67" i="107"/>
  <c r="AT67" i="107" s="1"/>
  <c r="AR68" i="107"/>
  <c r="AT68" i="107" s="1"/>
  <c r="AR20" i="107"/>
  <c r="AR24" i="107" s="1"/>
  <c r="AR15" i="107" s="1"/>
  <c r="AO62" i="107"/>
  <c r="AS66" i="107"/>
  <c r="AQ73" i="107"/>
  <c r="AS53" i="107"/>
  <c r="AO61" i="107"/>
  <c r="AT61" i="107" s="1"/>
  <c r="AL24" i="107"/>
  <c r="BB10" i="107"/>
  <c r="AS56" i="107"/>
  <c r="BD10" i="107"/>
  <c r="AS54" i="106"/>
  <c r="AS56" i="106"/>
  <c r="AS64" i="106"/>
  <c r="BO24" i="56" s="1"/>
  <c r="AP58" i="106"/>
  <c r="AT24" i="106"/>
  <c r="AX15" i="106" s="1"/>
  <c r="AQ58" i="106"/>
  <c r="AS61" i="106"/>
  <c r="X24" i="56" s="1"/>
  <c r="AS70" i="106"/>
  <c r="AZ21" i="106"/>
  <c r="H3" i="106" s="1"/>
  <c r="AN24" i="106"/>
  <c r="AN15" i="106" s="1"/>
  <c r="AV24" i="106"/>
  <c r="AZ15" i="106" s="1"/>
  <c r="AO70" i="106"/>
  <c r="AN58" i="106"/>
  <c r="AS65" i="106"/>
  <c r="AR67" i="106"/>
  <c r="AR68" i="106"/>
  <c r="AT68" i="106" s="1"/>
  <c r="AR20" i="106"/>
  <c r="AR24" i="106" s="1"/>
  <c r="AR15" i="106" s="1"/>
  <c r="AO62" i="106"/>
  <c r="AS66" i="106"/>
  <c r="AN73" i="106"/>
  <c r="BQ24" i="56" s="1"/>
  <c r="AS53" i="106"/>
  <c r="AL24" i="106"/>
  <c r="AS69" i="106"/>
  <c r="AO61" i="106"/>
  <c r="AT61" i="106" s="1"/>
  <c r="AX20" i="106"/>
  <c r="AX21" i="106"/>
  <c r="AP73" i="105"/>
  <c r="BR23" i="56" s="1"/>
  <c r="AR64" i="105"/>
  <c r="AT64" i="105" s="1"/>
  <c r="AT24" i="105"/>
  <c r="AX15" i="105" s="1"/>
  <c r="AS72" i="105"/>
  <c r="AS62" i="105"/>
  <c r="AN73" i="105"/>
  <c r="BQ23" i="56" s="1"/>
  <c r="AS53" i="105"/>
  <c r="AN58" i="105"/>
  <c r="AO61" i="105"/>
  <c r="AT61" i="105" s="1"/>
  <c r="AL24" i="105"/>
  <c r="AQ73" i="105"/>
  <c r="BB10" i="105"/>
  <c r="AS60" i="105"/>
  <c r="BE23" i="56" s="1"/>
  <c r="AS69" i="105"/>
  <c r="AS70" i="105"/>
  <c r="AN20" i="105"/>
  <c r="AN21" i="105"/>
  <c r="AZ21" i="105" s="1"/>
  <c r="H3" i="105" s="1"/>
  <c r="AS65" i="105"/>
  <c r="AR66" i="105"/>
  <c r="AT66" i="105" s="1"/>
  <c r="AR67" i="105"/>
  <c r="AT67" i="105" s="1"/>
  <c r="BD10" i="105"/>
  <c r="AP24" i="105"/>
  <c r="AP15" i="105" s="1"/>
  <c r="AR68" i="105"/>
  <c r="AT68" i="105" s="1"/>
  <c r="AO62" i="105"/>
  <c r="AR64" i="104"/>
  <c r="AT64" i="104" s="1"/>
  <c r="AT24" i="104"/>
  <c r="AX15" i="104" s="1"/>
  <c r="AP73" i="104"/>
  <c r="BR22" i="56" s="1"/>
  <c r="AS55" i="104"/>
  <c r="AS70" i="104"/>
  <c r="AN73" i="104"/>
  <c r="AR20" i="104"/>
  <c r="AR24" i="104" s="1"/>
  <c r="AR15" i="104" s="1"/>
  <c r="AO62" i="104"/>
  <c r="AS66" i="104"/>
  <c r="AS67" i="104"/>
  <c r="AS68" i="104"/>
  <c r="BN22" i="56" s="1"/>
  <c r="AQ73" i="104"/>
  <c r="AL24" i="104"/>
  <c r="AQ58" i="104"/>
  <c r="AN20" i="104"/>
  <c r="AN21" i="104"/>
  <c r="AZ21" i="104" s="1"/>
  <c r="H3" i="104" s="1"/>
  <c r="AO60" i="104"/>
  <c r="AS65" i="104"/>
  <c r="BB10" i="104"/>
  <c r="AS56" i="104"/>
  <c r="BD10" i="104"/>
  <c r="AS61" i="104"/>
  <c r="X22" i="56" s="1"/>
  <c r="AT24" i="103"/>
  <c r="AX15" i="103" s="1"/>
  <c r="AP58" i="103"/>
  <c r="AS61" i="103"/>
  <c r="X21" i="56" s="1"/>
  <c r="AS70" i="103"/>
  <c r="AP73" i="103"/>
  <c r="BR21" i="56" s="1"/>
  <c r="AS55" i="103"/>
  <c r="AS63" i="103"/>
  <c r="AN73" i="103"/>
  <c r="BQ21" i="56" s="1"/>
  <c r="AO69" i="103"/>
  <c r="AO70" i="103"/>
  <c r="AR20" i="103"/>
  <c r="AR24" i="103" s="1"/>
  <c r="AR15" i="103" s="1"/>
  <c r="AO62" i="103"/>
  <c r="AQ73" i="103"/>
  <c r="AL24" i="103"/>
  <c r="AQ58" i="103"/>
  <c r="AN58" i="103"/>
  <c r="AS67" i="103"/>
  <c r="BB10" i="103"/>
  <c r="AS60" i="103"/>
  <c r="BE21" i="56" s="1"/>
  <c r="AN20" i="103"/>
  <c r="AN21" i="103"/>
  <c r="AZ21" i="103" s="1"/>
  <c r="H3" i="103" s="1"/>
  <c r="AO61" i="103"/>
  <c r="AT61" i="103" s="1"/>
  <c r="AS68" i="103"/>
  <c r="BN21" i="56" s="1"/>
  <c r="BD10" i="103"/>
  <c r="AR65" i="103"/>
  <c r="AT65" i="103" s="1"/>
  <c r="AR66" i="103"/>
  <c r="AT66" i="103" s="1"/>
  <c r="AT24" i="102"/>
  <c r="AX15" i="102" s="1"/>
  <c r="AS54" i="102"/>
  <c r="AP73" i="102"/>
  <c r="BR20" i="56" s="1"/>
  <c r="AQ73" i="102"/>
  <c r="AS62" i="102"/>
  <c r="AO60" i="102"/>
  <c r="AO61" i="102"/>
  <c r="AT61" i="102" s="1"/>
  <c r="AR66" i="102"/>
  <c r="AT66" i="102" s="1"/>
  <c r="AR68" i="102"/>
  <c r="AT68" i="102" s="1"/>
  <c r="AO62" i="102"/>
  <c r="AS67" i="102"/>
  <c r="AQ58" i="102"/>
  <c r="AR60" i="102"/>
  <c r="BB10" i="102"/>
  <c r="AS56" i="102"/>
  <c r="AS60" i="102"/>
  <c r="BE20" i="56" s="1"/>
  <c r="AS69" i="102"/>
  <c r="AS70" i="102"/>
  <c r="AN20" i="102"/>
  <c r="AN21" i="102"/>
  <c r="AZ21" i="102" s="1"/>
  <c r="H3" i="102" s="1"/>
  <c r="AS65" i="102"/>
  <c r="BD10" i="102"/>
  <c r="AX20" i="102"/>
  <c r="AP24" i="102"/>
  <c r="AP15" i="102" s="1"/>
  <c r="AP73" i="101"/>
  <c r="BR19" i="56" s="1"/>
  <c r="AS62" i="101"/>
  <c r="AS55" i="101"/>
  <c r="AV24" i="101"/>
  <c r="AZ15" i="101" s="1"/>
  <c r="AN20" i="101"/>
  <c r="AN21" i="101"/>
  <c r="AZ21" i="101" s="1"/>
  <c r="H3" i="101" s="1"/>
  <c r="AO69" i="101"/>
  <c r="AO70" i="101"/>
  <c r="AS53" i="101"/>
  <c r="AO61" i="101"/>
  <c r="AT61" i="101" s="1"/>
  <c r="AR66" i="101"/>
  <c r="AR67" i="101"/>
  <c r="AT67" i="101" s="1"/>
  <c r="AR68" i="101"/>
  <c r="AT68" i="101" s="1"/>
  <c r="AQ73" i="101"/>
  <c r="AL24" i="101"/>
  <c r="AN73" i="101"/>
  <c r="BB10" i="101"/>
  <c r="AS60" i="101"/>
  <c r="BD10" i="101"/>
  <c r="BB11" i="100"/>
  <c r="AS64" i="100"/>
  <c r="BO18" i="56" s="1"/>
  <c r="AS53" i="100"/>
  <c r="AM58" i="100"/>
  <c r="AO69" i="100"/>
  <c r="AM73" i="100"/>
  <c r="BP18" i="56" s="1"/>
  <c r="AN20" i="100"/>
  <c r="AS65" i="100"/>
  <c r="AT24" i="100"/>
  <c r="AX15" i="100" s="1"/>
  <c r="AT61" i="100"/>
  <c r="AS72" i="100"/>
  <c r="AR64" i="100"/>
  <c r="AT64" i="100" s="1"/>
  <c r="AS54" i="100"/>
  <c r="AS56" i="100"/>
  <c r="AS60" i="100"/>
  <c r="AP58" i="100"/>
  <c r="AS70" i="100"/>
  <c r="AO62" i="100"/>
  <c r="AS66" i="100"/>
  <c r="AS67" i="100"/>
  <c r="AQ73" i="100"/>
  <c r="AS63" i="100"/>
  <c r="AN73" i="100"/>
  <c r="BQ18" i="56" s="1"/>
  <c r="AL24" i="100"/>
  <c r="AQ58" i="100"/>
  <c r="AN58" i="100"/>
  <c r="AS68" i="100"/>
  <c r="BN18" i="56" s="1"/>
  <c r="BB10" i="100"/>
  <c r="AR20" i="100"/>
  <c r="AR24" i="100" s="1"/>
  <c r="AR15" i="100" s="1"/>
  <c r="BD10" i="100"/>
  <c r="AS61" i="100"/>
  <c r="X18" i="56" s="1"/>
  <c r="AP58" i="99"/>
  <c r="AT24" i="99"/>
  <c r="AX15" i="99" s="1"/>
  <c r="AS72" i="99"/>
  <c r="AP73" i="99"/>
  <c r="BR17" i="56" s="1"/>
  <c r="AS62" i="99"/>
  <c r="AN73" i="99"/>
  <c r="BQ17" i="56" s="1"/>
  <c r="AO60" i="99"/>
  <c r="AN58" i="99"/>
  <c r="AR20" i="99"/>
  <c r="AR24" i="99" s="1"/>
  <c r="AR15" i="99" s="1"/>
  <c r="BB10" i="99"/>
  <c r="AS69" i="99"/>
  <c r="AS70" i="99"/>
  <c r="AR65" i="99"/>
  <c r="AT65" i="99" s="1"/>
  <c r="AR66" i="99"/>
  <c r="AT66" i="99" s="1"/>
  <c r="AR67" i="99"/>
  <c r="AT67" i="99" s="1"/>
  <c r="AR68" i="99"/>
  <c r="AT68" i="99" s="1"/>
  <c r="AO62" i="99"/>
  <c r="AQ73" i="99"/>
  <c r="AL24" i="99"/>
  <c r="AQ58" i="99"/>
  <c r="BD10" i="99"/>
  <c r="BD14" i="99" s="1"/>
  <c r="AS61" i="99"/>
  <c r="X17" i="56" s="1"/>
  <c r="AN20" i="99"/>
  <c r="AN21" i="99"/>
  <c r="AZ21" i="99" s="1"/>
  <c r="H3" i="99" s="1"/>
  <c r="BB10" i="98"/>
  <c r="AX20" i="98"/>
  <c r="AS63" i="98"/>
  <c r="AP58" i="98"/>
  <c r="AT24" i="98"/>
  <c r="AX15" i="98" s="1"/>
  <c r="AS54" i="98"/>
  <c r="AR24" i="98"/>
  <c r="AR15" i="98" s="1"/>
  <c r="AV24" i="98"/>
  <c r="AZ15" i="98" s="1"/>
  <c r="S6" i="98" s="1"/>
  <c r="AO60" i="98"/>
  <c r="AS65" i="98"/>
  <c r="AR66" i="98"/>
  <c r="AT66" i="98" s="1"/>
  <c r="AR67" i="98"/>
  <c r="AT67" i="98" s="1"/>
  <c r="AR68" i="98"/>
  <c r="AT68" i="98" s="1"/>
  <c r="AO62" i="98"/>
  <c r="AQ73" i="98"/>
  <c r="AQ58" i="98"/>
  <c r="AS56" i="98"/>
  <c r="AS60" i="98"/>
  <c r="BE16" i="56" s="1"/>
  <c r="AS69" i="98"/>
  <c r="AS70" i="98"/>
  <c r="AN20" i="98"/>
  <c r="AN21" i="98"/>
  <c r="AZ21" i="98" s="1"/>
  <c r="H3" i="98" s="1"/>
  <c r="AL24" i="98"/>
  <c r="AL14" i="98"/>
  <c r="BD10" i="98"/>
  <c r="AP24" i="98"/>
  <c r="AP15" i="98" s="1"/>
  <c r="AS61" i="98"/>
  <c r="X16" i="56" s="1"/>
  <c r="AS54" i="97"/>
  <c r="AT24" i="97"/>
  <c r="AX15" i="97" s="1"/>
  <c r="AP73" i="97"/>
  <c r="BR15" i="56" s="1"/>
  <c r="AQ73" i="97"/>
  <c r="AS62" i="97"/>
  <c r="AN24" i="97"/>
  <c r="AN15" i="97" s="1"/>
  <c r="AR65" i="97"/>
  <c r="AT65" i="97" s="1"/>
  <c r="AS53" i="97"/>
  <c r="AO61" i="97"/>
  <c r="AT61" i="97" s="1"/>
  <c r="AR66" i="97"/>
  <c r="AT66" i="97" s="1"/>
  <c r="AR67" i="97"/>
  <c r="AT67" i="97" s="1"/>
  <c r="AR68" i="97"/>
  <c r="AT68" i="97" s="1"/>
  <c r="AR60" i="97"/>
  <c r="BB10" i="97"/>
  <c r="AS56" i="97"/>
  <c r="AS60" i="97"/>
  <c r="BE15" i="56" s="1"/>
  <c r="AS69" i="97"/>
  <c r="AS70" i="97"/>
  <c r="AO60" i="97"/>
  <c r="AR20" i="97"/>
  <c r="AR24" i="97" s="1"/>
  <c r="AR15" i="97" s="1"/>
  <c r="AL24" i="97"/>
  <c r="BD10" i="97"/>
  <c r="AX20" i="97"/>
  <c r="AX21" i="97"/>
  <c r="AO62" i="97"/>
  <c r="AR64" i="95"/>
  <c r="AT64" i="95" s="1"/>
  <c r="AS72" i="95"/>
  <c r="AX20" i="95"/>
  <c r="AQ73" i="95"/>
  <c r="AP73" i="95"/>
  <c r="BR14" i="56" s="1"/>
  <c r="AR60" i="95"/>
  <c r="AP58" i="95"/>
  <c r="AT24" i="95"/>
  <c r="AX15" i="95" s="1"/>
  <c r="AQ58" i="95"/>
  <c r="AS61" i="95"/>
  <c r="X14" i="56" s="1"/>
  <c r="AV24" i="95"/>
  <c r="AZ15" i="95" s="1"/>
  <c r="AO61" i="95"/>
  <c r="AT61" i="95" s="1"/>
  <c r="AS65" i="95"/>
  <c r="AR20" i="95"/>
  <c r="AR24" i="95" s="1"/>
  <c r="AR15" i="95" s="1"/>
  <c r="AO62" i="95"/>
  <c r="AS66" i="95"/>
  <c r="AS67" i="95"/>
  <c r="AS68" i="95"/>
  <c r="BN14" i="56" s="1"/>
  <c r="AN73" i="95"/>
  <c r="AN20" i="95"/>
  <c r="AN21" i="95"/>
  <c r="AZ21" i="95" s="1"/>
  <c r="H3" i="95" s="1"/>
  <c r="AO60" i="95"/>
  <c r="AS53" i="95"/>
  <c r="BB10" i="95"/>
  <c r="AS56" i="95"/>
  <c r="AS69" i="95"/>
  <c r="AS70" i="95"/>
  <c r="AL24" i="95"/>
  <c r="BD10" i="95"/>
  <c r="AP73" i="94"/>
  <c r="BR13" i="56" s="1"/>
  <c r="AS64" i="94"/>
  <c r="BO13" i="56" s="1"/>
  <c r="AS65" i="94"/>
  <c r="AN20" i="94"/>
  <c r="AT24" i="94"/>
  <c r="AX15" i="94" s="1"/>
  <c r="AQ58" i="94"/>
  <c r="AS61" i="94"/>
  <c r="X13" i="56" s="1"/>
  <c r="AS70" i="94"/>
  <c r="AV24" i="94"/>
  <c r="AZ15" i="94" s="1"/>
  <c r="AS53" i="94"/>
  <c r="AO61" i="94"/>
  <c r="AT61" i="94" s="1"/>
  <c r="AR66" i="94"/>
  <c r="AT66" i="94" s="1"/>
  <c r="AR67" i="94"/>
  <c r="AT67" i="94" s="1"/>
  <c r="AR68" i="94"/>
  <c r="AT68" i="94" s="1"/>
  <c r="AR20" i="94"/>
  <c r="AR24" i="94" s="1"/>
  <c r="AR15" i="94" s="1"/>
  <c r="AO62" i="94"/>
  <c r="AS63" i="94"/>
  <c r="AN73" i="94"/>
  <c r="AQ73" i="94"/>
  <c r="BS13" i="56" s="1"/>
  <c r="BB10" i="94"/>
  <c r="AS56" i="94"/>
  <c r="BD10" i="94"/>
  <c r="AX20" i="94"/>
  <c r="AT24" i="93"/>
  <c r="AX15" i="93" s="1"/>
  <c r="AS69" i="93"/>
  <c r="AS72" i="93"/>
  <c r="AS54" i="93"/>
  <c r="AS56" i="93"/>
  <c r="AP73" i="93"/>
  <c r="BR12" i="56" s="1"/>
  <c r="AS62" i="93"/>
  <c r="AN58" i="93"/>
  <c r="AO69" i="93"/>
  <c r="AO70" i="93"/>
  <c r="AS65" i="93"/>
  <c r="AR66" i="93"/>
  <c r="AR67" i="93"/>
  <c r="AT67" i="93" s="1"/>
  <c r="AR68" i="93"/>
  <c r="AT68" i="93" s="1"/>
  <c r="AR20" i="93"/>
  <c r="AR24" i="93" s="1"/>
  <c r="AR15" i="93" s="1"/>
  <c r="AQ73" i="93"/>
  <c r="BS12" i="56" s="1"/>
  <c r="BB10" i="93"/>
  <c r="AS60" i="93"/>
  <c r="BE12" i="56" s="1"/>
  <c r="AN73" i="93"/>
  <c r="BQ12" i="56" s="1"/>
  <c r="AN20" i="93"/>
  <c r="AN21" i="93"/>
  <c r="AZ21" i="93" s="1"/>
  <c r="H3" i="93" s="1"/>
  <c r="AO61" i="93"/>
  <c r="AT61" i="93" s="1"/>
  <c r="AO62" i="93"/>
  <c r="AL24" i="93"/>
  <c r="BD10" i="93"/>
  <c r="AS53" i="93"/>
  <c r="AP73" i="92"/>
  <c r="BR11" i="56" s="1"/>
  <c r="AR64" i="92"/>
  <c r="AT64" i="92" s="1"/>
  <c r="AS63" i="92"/>
  <c r="AP58" i="92"/>
  <c r="AS61" i="92"/>
  <c r="X11" i="56" s="1"/>
  <c r="AT24" i="92"/>
  <c r="AX15" i="92" s="1"/>
  <c r="AQ58" i="92"/>
  <c r="AR24" i="92"/>
  <c r="AR15" i="92" s="1"/>
  <c r="AV24" i="92"/>
  <c r="AZ15" i="92" s="1"/>
  <c r="AS68" i="92"/>
  <c r="BN11" i="56" s="1"/>
  <c r="AN73" i="92"/>
  <c r="BQ11" i="56" s="1"/>
  <c r="AO60" i="92"/>
  <c r="AR65" i="92"/>
  <c r="AT65" i="92" s="1"/>
  <c r="AS53" i="92"/>
  <c r="AN58" i="92"/>
  <c r="AO61" i="92"/>
  <c r="AT61" i="92" s="1"/>
  <c r="AO62" i="92"/>
  <c r="AQ73" i="92"/>
  <c r="BS11" i="56" s="1"/>
  <c r="AL24" i="92"/>
  <c r="BB10" i="92"/>
  <c r="AS69" i="92"/>
  <c r="AS70" i="92"/>
  <c r="AN20" i="92"/>
  <c r="AN21" i="92"/>
  <c r="AZ21" i="92" s="1"/>
  <c r="H3" i="92" s="1"/>
  <c r="AR66" i="92"/>
  <c r="AT66" i="92" s="1"/>
  <c r="AR67" i="92"/>
  <c r="AT67" i="92" s="1"/>
  <c r="BD10" i="92"/>
  <c r="BD14" i="92" s="1"/>
  <c r="AP24" i="92"/>
  <c r="AP15" i="92" s="1"/>
  <c r="AS54" i="91"/>
  <c r="AS56" i="91"/>
  <c r="BD10" i="91"/>
  <c r="AT24" i="91"/>
  <c r="AX15" i="91" s="1"/>
  <c r="AP73" i="91"/>
  <c r="BR10" i="56" s="1"/>
  <c r="AQ73" i="91"/>
  <c r="BS10" i="56" s="1"/>
  <c r="AS62" i="91"/>
  <c r="AZ20" i="91"/>
  <c r="AN24" i="91"/>
  <c r="AN15" i="91" s="1"/>
  <c r="AO60" i="91"/>
  <c r="AO69" i="91"/>
  <c r="AO70" i="91"/>
  <c r="AN58" i="91"/>
  <c r="AZ68" i="91" s="1"/>
  <c r="AO61" i="91"/>
  <c r="AT61" i="91" s="1"/>
  <c r="AL24" i="91"/>
  <c r="AQ58" i="91"/>
  <c r="AR60" i="91"/>
  <c r="BB10" i="91"/>
  <c r="AS60" i="91"/>
  <c r="BE10" i="56" s="1"/>
  <c r="AN14" i="91"/>
  <c r="AX20" i="91"/>
  <c r="AX21" i="91"/>
  <c r="AP24" i="91"/>
  <c r="AP15" i="91" s="1"/>
  <c r="AR65" i="91"/>
  <c r="AT65" i="91" s="1"/>
  <c r="AR66" i="91"/>
  <c r="AT66" i="91" s="1"/>
  <c r="AR67" i="91"/>
  <c r="AT67" i="91" s="1"/>
  <c r="AR68" i="91"/>
  <c r="AT68" i="91" s="1"/>
  <c r="AO62" i="91"/>
  <c r="AN73" i="62"/>
  <c r="AR65" i="62"/>
  <c r="AT65" i="62" s="1"/>
  <c r="AO69" i="62"/>
  <c r="AO70" i="62"/>
  <c r="AR66" i="62"/>
  <c r="AT66" i="62" s="1"/>
  <c r="AR67" i="62"/>
  <c r="AT67" i="62" s="1"/>
  <c r="AR68" i="62"/>
  <c r="AT68" i="62" s="1"/>
  <c r="AO62" i="62"/>
  <c r="AQ73" i="62"/>
  <c r="BS9" i="56" s="1"/>
  <c r="BB10" i="62"/>
  <c r="AS56" i="62"/>
  <c r="AS60" i="62"/>
  <c r="BE9" i="56" s="1"/>
  <c r="AN20" i="62"/>
  <c r="AN21" i="62"/>
  <c r="AZ21" i="62" s="1"/>
  <c r="H3" i="62" s="1"/>
  <c r="AS53" i="62"/>
  <c r="AO61" i="62"/>
  <c r="AT61" i="62" s="1"/>
  <c r="AR20" i="62"/>
  <c r="AR24" i="62" s="1"/>
  <c r="AR15" i="62" s="1"/>
  <c r="BD10" i="62"/>
  <c r="AX20" i="62"/>
  <c r="AN24" i="61"/>
  <c r="AN15" i="61" s="1"/>
  <c r="AN73" i="61"/>
  <c r="AQ73" i="61"/>
  <c r="BS8" i="56" s="1"/>
  <c r="AL24" i="61"/>
  <c r="AQ58" i="61"/>
  <c r="AO61" i="61"/>
  <c r="AT61" i="61" s="1"/>
  <c r="AS65" i="61"/>
  <c r="AR66" i="61"/>
  <c r="AT66" i="61" s="1"/>
  <c r="AR67" i="61"/>
  <c r="AT67" i="61" s="1"/>
  <c r="AR68" i="61"/>
  <c r="AT68" i="61" s="1"/>
  <c r="AO62" i="61"/>
  <c r="BB10" i="61"/>
  <c r="AS56" i="61"/>
  <c r="AS60" i="61"/>
  <c r="BE8" i="56" s="1"/>
  <c r="AS69" i="61"/>
  <c r="AS70" i="61"/>
  <c r="BD10" i="61"/>
  <c r="AX20" i="61"/>
  <c r="AX21" i="61"/>
  <c r="AP24" i="61"/>
  <c r="AP15" i="61" s="1"/>
  <c r="AD6" i="52"/>
  <c r="AZ21" i="108" l="1"/>
  <c r="H3" i="108" s="1"/>
  <c r="AE6" i="101"/>
  <c r="BN19" i="56"/>
  <c r="BO19" i="56"/>
  <c r="BE19" i="56"/>
  <c r="X19" i="56"/>
  <c r="AZ68" i="108"/>
  <c r="AN24" i="108"/>
  <c r="AN15" i="108" s="1"/>
  <c r="R6" i="108" s="1"/>
  <c r="AA6" i="105"/>
  <c r="AG6" i="118"/>
  <c r="N6" i="98"/>
  <c r="BD14" i="94"/>
  <c r="BD14" i="93"/>
  <c r="T6" i="93"/>
  <c r="S6" i="111"/>
  <c r="AT62" i="110"/>
  <c r="AT62" i="106"/>
  <c r="BD14" i="103"/>
  <c r="S6" i="100"/>
  <c r="BH34" i="56"/>
  <c r="AT69" i="100"/>
  <c r="S6" i="97"/>
  <c r="BD22" i="56"/>
  <c r="BD25" i="56"/>
  <c r="AC6" i="107"/>
  <c r="AA6" i="95"/>
  <c r="T6" i="107"/>
  <c r="BC68" i="105"/>
  <c r="AT62" i="99"/>
  <c r="S6" i="94"/>
  <c r="T6" i="118"/>
  <c r="T6" i="108"/>
  <c r="S6" i="106"/>
  <c r="AT70" i="91"/>
  <c r="AT70" i="62"/>
  <c r="S6" i="62"/>
  <c r="BD14" i="61"/>
  <c r="R6" i="97"/>
  <c r="S6" i="103"/>
  <c r="AT62" i="95"/>
  <c r="BH12" i="56"/>
  <c r="AT62" i="97"/>
  <c r="BJ8" i="56"/>
  <c r="BJ17" i="56"/>
  <c r="T6" i="91"/>
  <c r="AS58" i="61"/>
  <c r="BJ20" i="56"/>
  <c r="AT62" i="91"/>
  <c r="AT62" i="61"/>
  <c r="AT73" i="61" s="1"/>
  <c r="BI9" i="56"/>
  <c r="AT69" i="62"/>
  <c r="BB14" i="62"/>
  <c r="AT62" i="62"/>
  <c r="T6" i="62"/>
  <c r="AT70" i="93"/>
  <c r="AT62" i="103"/>
  <c r="AT62" i="102"/>
  <c r="BM19" i="56"/>
  <c r="BM9" i="56"/>
  <c r="AZ68" i="94"/>
  <c r="BQ13" i="56"/>
  <c r="AR24" i="110"/>
  <c r="AR15" i="110" s="1"/>
  <c r="T6" i="110" s="1"/>
  <c r="AZ68" i="62"/>
  <c r="BQ9" i="56"/>
  <c r="BD14" i="95"/>
  <c r="BD14" i="101"/>
  <c r="BD14" i="105"/>
  <c r="AZ68" i="107"/>
  <c r="BQ25" i="56"/>
  <c r="BD14" i="117"/>
  <c r="T6" i="102"/>
  <c r="BL10" i="56"/>
  <c r="N6" i="62"/>
  <c r="BB14" i="100"/>
  <c r="BD14" i="62"/>
  <c r="BB10" i="56"/>
  <c r="U6" i="92"/>
  <c r="BC29" i="56"/>
  <c r="BC13" i="56"/>
  <c r="BM15" i="56"/>
  <c r="AZ68" i="61"/>
  <c r="BQ8" i="56"/>
  <c r="AN24" i="94"/>
  <c r="AN15" i="94" s="1"/>
  <c r="BD15" i="94" s="1"/>
  <c r="BD16" i="94" s="1"/>
  <c r="AZ72" i="94" s="1"/>
  <c r="C2" i="94" s="1"/>
  <c r="P6" i="94" s="1"/>
  <c r="AZ68" i="99"/>
  <c r="T6" i="112"/>
  <c r="AT70" i="118"/>
  <c r="BC27" i="56"/>
  <c r="S6" i="91"/>
  <c r="S6" i="102"/>
  <c r="AT69" i="110"/>
  <c r="BD9" i="56"/>
  <c r="AZ68" i="95"/>
  <c r="BQ14" i="56"/>
  <c r="AN24" i="100"/>
  <c r="AN15" i="100" s="1"/>
  <c r="BD15" i="100" s="1"/>
  <c r="BB14" i="110"/>
  <c r="AX24" i="62"/>
  <c r="BB15" i="62" s="1"/>
  <c r="T6" i="95"/>
  <c r="BD14" i="97"/>
  <c r="BC68" i="97"/>
  <c r="BD14" i="98"/>
  <c r="AZ68" i="101"/>
  <c r="BQ19" i="56"/>
  <c r="AZ68" i="104"/>
  <c r="BQ22" i="56"/>
  <c r="BD14" i="108"/>
  <c r="BB14" i="95"/>
  <c r="BB14" i="103"/>
  <c r="AT63" i="106"/>
  <c r="BC17" i="56"/>
  <c r="BB14" i="97"/>
  <c r="N6" i="97"/>
  <c r="BB14" i="107"/>
  <c r="AS58" i="99"/>
  <c r="AT65" i="101"/>
  <c r="S6" i="105"/>
  <c r="AT62" i="104"/>
  <c r="AT69" i="94"/>
  <c r="AB6" i="93"/>
  <c r="AT62" i="92"/>
  <c r="BD30" i="56"/>
  <c r="BC23" i="56"/>
  <c r="T6" i="104"/>
  <c r="N6" i="103"/>
  <c r="AT70" i="103"/>
  <c r="AT69" i="103"/>
  <c r="AS58" i="102"/>
  <c r="AT69" i="101"/>
  <c r="AT70" i="101"/>
  <c r="BB14" i="101"/>
  <c r="BD18" i="56"/>
  <c r="N6" i="100"/>
  <c r="BD17" i="56"/>
  <c r="BB14" i="99"/>
  <c r="N6" i="95"/>
  <c r="BD14" i="56"/>
  <c r="N6" i="94"/>
  <c r="U6" i="94"/>
  <c r="AT62" i="94"/>
  <c r="BB14" i="94"/>
  <c r="BB14" i="93"/>
  <c r="BD12" i="56"/>
  <c r="N6" i="93"/>
  <c r="AT62" i="93"/>
  <c r="BB14" i="92"/>
  <c r="BD15" i="91"/>
  <c r="BB14" i="91"/>
  <c r="BC10" i="56"/>
  <c r="AB6" i="62"/>
  <c r="AF6" i="62"/>
  <c r="BG9" i="56"/>
  <c r="AG6" i="62"/>
  <c r="BH9" i="56"/>
  <c r="BC9" i="56"/>
  <c r="AZ20" i="61"/>
  <c r="AZ24" i="61" s="1"/>
  <c r="BC54" i="61" s="1"/>
  <c r="BC55" i="61" s="1"/>
  <c r="AZ71" i="61" s="1"/>
  <c r="BD15" i="61"/>
  <c r="BB14" i="61"/>
  <c r="BD8" i="56"/>
  <c r="BC8" i="56"/>
  <c r="AF6" i="61"/>
  <c r="BG8" i="56"/>
  <c r="AG6" i="61"/>
  <c r="BH8" i="56"/>
  <c r="T6" i="61"/>
  <c r="BB8" i="56"/>
  <c r="N6" i="61"/>
  <c r="AS58" i="91"/>
  <c r="AT69" i="91"/>
  <c r="AT62" i="100"/>
  <c r="N6" i="104"/>
  <c r="BB14" i="104"/>
  <c r="BC19" i="56"/>
  <c r="BD19" i="56"/>
  <c r="BC68" i="101"/>
  <c r="T6" i="92"/>
  <c r="N6" i="92"/>
  <c r="S6" i="92"/>
  <c r="BD36" i="56"/>
  <c r="BB36" i="56"/>
  <c r="BF36" i="56"/>
  <c r="S6" i="118"/>
  <c r="BC36" i="56"/>
  <c r="AZ20" i="118"/>
  <c r="N3" i="118" s="1"/>
  <c r="AT62" i="118"/>
  <c r="AR73" i="118"/>
  <c r="BD35" i="56"/>
  <c r="BC35" i="56"/>
  <c r="BD14" i="112"/>
  <c r="AF6" i="112"/>
  <c r="BG30" i="56"/>
  <c r="AG6" i="112"/>
  <c r="BH30" i="56"/>
  <c r="BC30" i="56"/>
  <c r="AG6" i="111"/>
  <c r="BH29" i="56"/>
  <c r="BD29" i="56"/>
  <c r="AF6" i="111"/>
  <c r="BG29" i="56"/>
  <c r="T6" i="111"/>
  <c r="BB28" i="56"/>
  <c r="BD28" i="56"/>
  <c r="AF6" i="110"/>
  <c r="BG28" i="56"/>
  <c r="AG6" i="110"/>
  <c r="BH28" i="56"/>
  <c r="BD14" i="109"/>
  <c r="S6" i="109"/>
  <c r="BD27" i="56"/>
  <c r="AF6" i="109"/>
  <c r="BG27" i="56"/>
  <c r="AG6" i="109"/>
  <c r="BH27" i="56"/>
  <c r="AT62" i="108"/>
  <c r="N6" i="108"/>
  <c r="BD26" i="56"/>
  <c r="BC26" i="56"/>
  <c r="S6" i="108"/>
  <c r="AF6" i="108"/>
  <c r="BG26" i="56"/>
  <c r="AG6" i="108"/>
  <c r="BH26" i="56"/>
  <c r="AG6" i="107"/>
  <c r="BH25" i="56"/>
  <c r="AF6" i="107"/>
  <c r="BG25" i="56"/>
  <c r="AT62" i="107"/>
  <c r="BC25" i="56"/>
  <c r="S6" i="107"/>
  <c r="N6" i="107"/>
  <c r="AT70" i="106"/>
  <c r="BC24" i="56"/>
  <c r="AG6" i="106"/>
  <c r="BH24" i="56"/>
  <c r="BD24" i="56"/>
  <c r="BK24" i="56"/>
  <c r="N6" i="106"/>
  <c r="AF6" i="106"/>
  <c r="BG24" i="56"/>
  <c r="T6" i="106"/>
  <c r="BB24" i="56"/>
  <c r="AT62" i="105"/>
  <c r="AT73" i="105" s="1"/>
  <c r="T6" i="105"/>
  <c r="AF6" i="105"/>
  <c r="BG23" i="56"/>
  <c r="N6" i="105"/>
  <c r="BD23" i="56"/>
  <c r="AG6" i="105"/>
  <c r="BH23" i="56"/>
  <c r="AF6" i="104"/>
  <c r="BG22" i="56"/>
  <c r="U6" i="104"/>
  <c r="BC22" i="56"/>
  <c r="AG6" i="104"/>
  <c r="BH22" i="56"/>
  <c r="AT69" i="104"/>
  <c r="BC21" i="56"/>
  <c r="AS58" i="103"/>
  <c r="AG6" i="103"/>
  <c r="BH21" i="56"/>
  <c r="AF6" i="103"/>
  <c r="BG21" i="56"/>
  <c r="BD21" i="56"/>
  <c r="AG6" i="102"/>
  <c r="BH20" i="56"/>
  <c r="N6" i="102"/>
  <c r="AF6" i="102"/>
  <c r="BG20" i="56"/>
  <c r="BB14" i="102"/>
  <c r="BD20" i="56"/>
  <c r="BC20" i="56"/>
  <c r="AG6" i="101"/>
  <c r="BH19" i="56"/>
  <c r="N6" i="101"/>
  <c r="S6" i="101"/>
  <c r="AF6" i="101"/>
  <c r="BG19" i="56"/>
  <c r="T6" i="101"/>
  <c r="AG6" i="100"/>
  <c r="BH18" i="56"/>
  <c r="BC18" i="56"/>
  <c r="AF6" i="100"/>
  <c r="BG18" i="56"/>
  <c r="AF6" i="99"/>
  <c r="BG17" i="56"/>
  <c r="AG6" i="99"/>
  <c r="BH17" i="56"/>
  <c r="BM17" i="56"/>
  <c r="T6" i="99"/>
  <c r="N6" i="99"/>
  <c r="AG6" i="98"/>
  <c r="BH16" i="56"/>
  <c r="AF6" i="98"/>
  <c r="BG16" i="56"/>
  <c r="BC16" i="56"/>
  <c r="BD16" i="56"/>
  <c r="AG6" i="97"/>
  <c r="BH15" i="56"/>
  <c r="AF6" i="97"/>
  <c r="BG15" i="56"/>
  <c r="BD15" i="56"/>
  <c r="BB15" i="56"/>
  <c r="BJ15" i="56"/>
  <c r="BC15" i="56"/>
  <c r="BC14" i="56"/>
  <c r="U6" i="95"/>
  <c r="AG6" i="95"/>
  <c r="BH14" i="56"/>
  <c r="AF6" i="95"/>
  <c r="BG14" i="56"/>
  <c r="S6" i="95"/>
  <c r="T6" i="94"/>
  <c r="BD13" i="56"/>
  <c r="AF6" i="94"/>
  <c r="BG13" i="56"/>
  <c r="AG6" i="94"/>
  <c r="BH13" i="56"/>
  <c r="AT69" i="93"/>
  <c r="AF6" i="93"/>
  <c r="BG12" i="56"/>
  <c r="S6" i="93"/>
  <c r="BC12" i="56"/>
  <c r="BD11" i="56"/>
  <c r="AF6" i="92"/>
  <c r="BG11" i="56"/>
  <c r="BC11" i="56"/>
  <c r="AG6" i="92"/>
  <c r="BH11" i="56"/>
  <c r="AF6" i="91"/>
  <c r="BG10" i="56"/>
  <c r="AG6" i="91"/>
  <c r="BH10" i="56"/>
  <c r="N6" i="91"/>
  <c r="BD10" i="56"/>
  <c r="BD34" i="56"/>
  <c r="BB14" i="116"/>
  <c r="AZ68" i="114"/>
  <c r="U6" i="118"/>
  <c r="AT64" i="118"/>
  <c r="W6" i="118"/>
  <c r="AF6" i="118"/>
  <c r="BG36" i="56"/>
  <c r="BE31" i="56"/>
  <c r="U6" i="113"/>
  <c r="BD32" i="56"/>
  <c r="BC32" i="56"/>
  <c r="BD31" i="56"/>
  <c r="BB14" i="115"/>
  <c r="BC33" i="56"/>
  <c r="BC31" i="56"/>
  <c r="BD33" i="56"/>
  <c r="T6" i="115"/>
  <c r="AF6" i="117"/>
  <c r="BG35" i="56"/>
  <c r="AG6" i="117"/>
  <c r="BH35" i="56"/>
  <c r="AF6" i="114"/>
  <c r="BG32" i="56"/>
  <c r="AG6" i="114"/>
  <c r="BH32" i="56"/>
  <c r="AG6" i="113"/>
  <c r="BH31" i="56"/>
  <c r="AF6" i="113"/>
  <c r="BG31" i="56"/>
  <c r="AF6" i="116"/>
  <c r="BG34" i="56"/>
  <c r="AF6" i="115"/>
  <c r="BG33" i="56"/>
  <c r="AG6" i="115"/>
  <c r="BH33" i="56"/>
  <c r="BB14" i="111"/>
  <c r="S6" i="110"/>
  <c r="AX24" i="109"/>
  <c r="BB15" i="109" s="1"/>
  <c r="BK27" i="56"/>
  <c r="N6" i="109"/>
  <c r="BB14" i="109"/>
  <c r="AT62" i="109"/>
  <c r="T6" i="109"/>
  <c r="AT69" i="109"/>
  <c r="AS58" i="108"/>
  <c r="U6" i="108"/>
  <c r="BI18" i="56"/>
  <c r="T6" i="100"/>
  <c r="BB14" i="98"/>
  <c r="AT62" i="98"/>
  <c r="N6" i="116"/>
  <c r="AT62" i="113"/>
  <c r="S6" i="113"/>
  <c r="N6" i="118"/>
  <c r="BF31" i="56"/>
  <c r="W6" i="113"/>
  <c r="AT62" i="116"/>
  <c r="AT70" i="116"/>
  <c r="BM31" i="56"/>
  <c r="AT70" i="115"/>
  <c r="AT70" i="117"/>
  <c r="N6" i="117"/>
  <c r="S6" i="114"/>
  <c r="N6" i="115"/>
  <c r="AR73" i="115"/>
  <c r="AT62" i="115"/>
  <c r="S6" i="112"/>
  <c r="BB14" i="114"/>
  <c r="AT70" i="114"/>
  <c r="BB14" i="112"/>
  <c r="N6" i="112"/>
  <c r="BL32" i="56"/>
  <c r="N6" i="111"/>
  <c r="O25" i="57"/>
  <c r="N25" i="57" s="1"/>
  <c r="N6" i="110"/>
  <c r="BB14" i="117"/>
  <c r="S6" i="117"/>
  <c r="U6" i="111"/>
  <c r="AT62" i="111"/>
  <c r="AT69" i="112"/>
  <c r="AT70" i="112"/>
  <c r="AT62" i="112"/>
  <c r="N6" i="114"/>
  <c r="AT62" i="114"/>
  <c r="AS58" i="114"/>
  <c r="AT62" i="117"/>
  <c r="AT69" i="117"/>
  <c r="BB14" i="113"/>
  <c r="N6" i="113"/>
  <c r="Y6" i="99"/>
  <c r="BI17" i="56"/>
  <c r="AA6" i="100"/>
  <c r="BL18" i="56"/>
  <c r="Y6" i="102"/>
  <c r="BI20" i="56"/>
  <c r="W6" i="104"/>
  <c r="BF22" i="56"/>
  <c r="AC6" i="104"/>
  <c r="BK22" i="56"/>
  <c r="AA6" i="108"/>
  <c r="BL26" i="56"/>
  <c r="AB6" i="115"/>
  <c r="BJ33" i="56"/>
  <c r="Y6" i="116"/>
  <c r="BI34" i="56"/>
  <c r="Y6" i="118"/>
  <c r="BI36" i="56"/>
  <c r="W6" i="105"/>
  <c r="BF23" i="56"/>
  <c r="AA6" i="99"/>
  <c r="BL17" i="56"/>
  <c r="AB6" i="114"/>
  <c r="BJ32" i="56"/>
  <c r="AS58" i="62"/>
  <c r="Y6" i="97"/>
  <c r="BI15" i="56"/>
  <c r="W6" i="98"/>
  <c r="BF16" i="56"/>
  <c r="W6" i="100"/>
  <c r="BF18" i="56"/>
  <c r="AC6" i="102"/>
  <c r="BK20" i="56"/>
  <c r="BD14" i="104"/>
  <c r="AB6" i="104"/>
  <c r="BJ22" i="56"/>
  <c r="Y6" i="107"/>
  <c r="BI25" i="56"/>
  <c r="W6" i="109"/>
  <c r="BF27" i="56"/>
  <c r="U6" i="110"/>
  <c r="Y6" i="110"/>
  <c r="BI28" i="56"/>
  <c r="AB6" i="112"/>
  <c r="BJ30" i="56"/>
  <c r="T6" i="113"/>
  <c r="W6" i="116"/>
  <c r="BF34" i="56"/>
  <c r="BC68" i="116"/>
  <c r="AZ68" i="117"/>
  <c r="AX24" i="117"/>
  <c r="BB15" i="117" s="1"/>
  <c r="AB6" i="118"/>
  <c r="BJ36" i="56"/>
  <c r="AA6" i="117"/>
  <c r="BL35" i="56"/>
  <c r="AE6" i="116"/>
  <c r="BM34" i="56"/>
  <c r="AC6" i="112"/>
  <c r="BK30" i="56"/>
  <c r="S6" i="115"/>
  <c r="AA6" i="97"/>
  <c r="BL15" i="56"/>
  <c r="AZ68" i="98"/>
  <c r="Y6" i="95"/>
  <c r="BI14" i="56"/>
  <c r="Y6" i="103"/>
  <c r="BI21" i="56"/>
  <c r="AC6" i="97"/>
  <c r="BK15" i="56"/>
  <c r="AB6" i="92"/>
  <c r="BJ11" i="56"/>
  <c r="BB14" i="105"/>
  <c r="AC6" i="98"/>
  <c r="BK16" i="56"/>
  <c r="AC6" i="91"/>
  <c r="BK10" i="56"/>
  <c r="O23" i="57"/>
  <c r="N23" i="57" s="1"/>
  <c r="Y6" i="108"/>
  <c r="BI26" i="56"/>
  <c r="Y6" i="114"/>
  <c r="BI32" i="56"/>
  <c r="AC6" i="118"/>
  <c r="BK36" i="56"/>
  <c r="AE6" i="117"/>
  <c r="BM35" i="56"/>
  <c r="AA6" i="112"/>
  <c r="BL30" i="56"/>
  <c r="Y6" i="106"/>
  <c r="BI24" i="56"/>
  <c r="AE6" i="61"/>
  <c r="BM8" i="56"/>
  <c r="BC68" i="62"/>
  <c r="BC68" i="93"/>
  <c r="AS58" i="92"/>
  <c r="AC6" i="95"/>
  <c r="BK14" i="56"/>
  <c r="W6" i="95"/>
  <c r="BF14" i="56"/>
  <c r="AC6" i="100"/>
  <c r="BK18" i="56"/>
  <c r="BD14" i="102"/>
  <c r="AC6" i="103"/>
  <c r="BK21" i="56"/>
  <c r="T6" i="103"/>
  <c r="AS58" i="104"/>
  <c r="BC68" i="104"/>
  <c r="S6" i="104"/>
  <c r="BD14" i="107"/>
  <c r="AE6" i="107"/>
  <c r="BM25" i="56"/>
  <c r="W6" i="107"/>
  <c r="BF25" i="56"/>
  <c r="BD14" i="111"/>
  <c r="W6" i="112"/>
  <c r="BF30" i="56"/>
  <c r="Y6" i="112"/>
  <c r="BI30" i="56"/>
  <c r="AA6" i="113"/>
  <c r="BL31" i="56"/>
  <c r="BD14" i="115"/>
  <c r="BC68" i="118"/>
  <c r="AA6" i="116"/>
  <c r="BL34" i="56"/>
  <c r="AE6" i="108"/>
  <c r="BM26" i="56"/>
  <c r="AA6" i="118"/>
  <c r="BL36" i="56"/>
  <c r="AA6" i="104"/>
  <c r="BL22" i="56"/>
  <c r="AA6" i="102"/>
  <c r="BL20" i="56"/>
  <c r="AE6" i="92"/>
  <c r="BM11" i="56"/>
  <c r="AC6" i="92"/>
  <c r="BK11" i="56"/>
  <c r="O33" i="57"/>
  <c r="N33" i="57" s="1"/>
  <c r="AB6" i="94"/>
  <c r="BJ13" i="56"/>
  <c r="O15" i="57"/>
  <c r="N15" i="57" s="1"/>
  <c r="O29" i="57"/>
  <c r="N29" i="57" s="1"/>
  <c r="O10" i="57"/>
  <c r="N10" i="57" s="1"/>
  <c r="O7" i="57"/>
  <c r="N7" i="57" s="1"/>
  <c r="O11" i="57"/>
  <c r="N11" i="57" s="1"/>
  <c r="O6" i="57"/>
  <c r="N6" i="57" s="1"/>
  <c r="AE6" i="93"/>
  <c r="BM12" i="56"/>
  <c r="AE6" i="95"/>
  <c r="BM14" i="56"/>
  <c r="AE6" i="98"/>
  <c r="BM16" i="56"/>
  <c r="AA6" i="110"/>
  <c r="BL28" i="56"/>
  <c r="Y6" i="115"/>
  <c r="BI33" i="56"/>
  <c r="W6" i="61"/>
  <c r="BF8" i="56"/>
  <c r="AC6" i="93"/>
  <c r="BK12" i="56"/>
  <c r="AC6" i="99"/>
  <c r="BK17" i="56"/>
  <c r="Y6" i="61"/>
  <c r="BI8" i="56"/>
  <c r="AE6" i="103"/>
  <c r="BM21" i="56"/>
  <c r="AB6" i="91"/>
  <c r="BJ10" i="56"/>
  <c r="AZ68" i="92"/>
  <c r="Y6" i="93"/>
  <c r="BI12" i="56"/>
  <c r="W6" i="92"/>
  <c r="BF11" i="56"/>
  <c r="BC68" i="91"/>
  <c r="BD14" i="91"/>
  <c r="AS58" i="93"/>
  <c r="AB6" i="95"/>
  <c r="BJ14" i="56"/>
  <c r="AA6" i="98"/>
  <c r="BL16" i="56"/>
  <c r="W6" i="99"/>
  <c r="BF17" i="56"/>
  <c r="U6" i="99"/>
  <c r="BD14" i="100"/>
  <c r="BC68" i="100"/>
  <c r="AB6" i="100"/>
  <c r="BJ18" i="56"/>
  <c r="U6" i="100"/>
  <c r="BE18" i="56"/>
  <c r="AR73" i="101"/>
  <c r="AE6" i="102"/>
  <c r="BM20" i="56"/>
  <c r="W6" i="103"/>
  <c r="BF21" i="56"/>
  <c r="AR73" i="104"/>
  <c r="Y6" i="105"/>
  <c r="BI23" i="56"/>
  <c r="AE6" i="106"/>
  <c r="BM24" i="56"/>
  <c r="W6" i="106"/>
  <c r="BF24" i="56"/>
  <c r="AB6" i="107"/>
  <c r="BJ25" i="56"/>
  <c r="U6" i="107"/>
  <c r="BE25" i="56"/>
  <c r="AE6" i="109"/>
  <c r="BM27" i="56"/>
  <c r="AA6" i="109"/>
  <c r="BL27" i="56"/>
  <c r="AC6" i="110"/>
  <c r="BK28" i="56"/>
  <c r="BD14" i="116"/>
  <c r="AC6" i="116"/>
  <c r="BK34" i="56"/>
  <c r="Y6" i="117"/>
  <c r="BI35" i="56"/>
  <c r="Y6" i="109"/>
  <c r="BI27" i="56"/>
  <c r="AA6" i="115"/>
  <c r="BL33" i="56"/>
  <c r="Y6" i="104"/>
  <c r="BI22" i="56"/>
  <c r="AC6" i="101"/>
  <c r="BK19" i="56"/>
  <c r="W6" i="97"/>
  <c r="BF15" i="56"/>
  <c r="AB6" i="105"/>
  <c r="BJ23" i="56"/>
  <c r="AC6" i="62"/>
  <c r="BK9" i="56"/>
  <c r="S6" i="61"/>
  <c r="O21" i="57"/>
  <c r="N21" i="57" s="1"/>
  <c r="O16" i="57"/>
  <c r="N16" i="57" s="1"/>
  <c r="W6" i="115"/>
  <c r="BF33" i="56"/>
  <c r="O27" i="57"/>
  <c r="N27" i="57" s="1"/>
  <c r="O9" i="57"/>
  <c r="N9" i="57" s="1"/>
  <c r="O31" i="57"/>
  <c r="N31" i="57" s="1"/>
  <c r="AC6" i="108"/>
  <c r="BK26" i="56"/>
  <c r="AB6" i="101"/>
  <c r="BJ19" i="56"/>
  <c r="D37" i="56"/>
  <c r="O8" i="57"/>
  <c r="N8" i="57" s="1"/>
  <c r="W6" i="94"/>
  <c r="BF13" i="56"/>
  <c r="AA6" i="94"/>
  <c r="BL13" i="56"/>
  <c r="AE6" i="94"/>
  <c r="BM13" i="56"/>
  <c r="T6" i="98"/>
  <c r="AE6" i="100"/>
  <c r="BM18" i="56"/>
  <c r="Y6" i="101"/>
  <c r="BI19" i="56"/>
  <c r="AE6" i="104"/>
  <c r="BM22" i="56"/>
  <c r="AS58" i="105"/>
  <c r="AB6" i="106"/>
  <c r="BJ24" i="56"/>
  <c r="AZ20" i="106"/>
  <c r="AA6" i="107"/>
  <c r="BL25" i="56"/>
  <c r="AB6" i="109"/>
  <c r="BJ27" i="56"/>
  <c r="AB6" i="110"/>
  <c r="BJ28" i="56"/>
  <c r="AC6" i="113"/>
  <c r="BK31" i="56"/>
  <c r="W6" i="114"/>
  <c r="BF32" i="56"/>
  <c r="AE6" i="114"/>
  <c r="BM32" i="56"/>
  <c r="AE6" i="115"/>
  <c r="BM33" i="56"/>
  <c r="AS58" i="115"/>
  <c r="AB6" i="116"/>
  <c r="BJ34" i="56"/>
  <c r="T6" i="116"/>
  <c r="W6" i="117"/>
  <c r="BF35" i="56"/>
  <c r="AE6" i="118"/>
  <c r="BM36" i="56"/>
  <c r="BB14" i="118"/>
  <c r="AE6" i="110"/>
  <c r="BM28" i="56"/>
  <c r="AC6" i="117"/>
  <c r="BK35" i="56"/>
  <c r="AB6" i="108"/>
  <c r="BJ26" i="56"/>
  <c r="AC6" i="105"/>
  <c r="BK23" i="56"/>
  <c r="AA6" i="93"/>
  <c r="BL12" i="56"/>
  <c r="W6" i="93"/>
  <c r="BF12" i="56"/>
  <c r="W6" i="91"/>
  <c r="BF10" i="56"/>
  <c r="Y6" i="92"/>
  <c r="BI11" i="56"/>
  <c r="AC6" i="61"/>
  <c r="BK8" i="56"/>
  <c r="W6" i="62"/>
  <c r="BF9" i="56"/>
  <c r="O19" i="57"/>
  <c r="N19" i="57" s="1"/>
  <c r="Y6" i="98"/>
  <c r="BI16" i="56"/>
  <c r="O14" i="57"/>
  <c r="N14" i="57" s="1"/>
  <c r="O12" i="57"/>
  <c r="N12" i="57" s="1"/>
  <c r="W6" i="101"/>
  <c r="BF19" i="56"/>
  <c r="AC6" i="114"/>
  <c r="BK32" i="56"/>
  <c r="O18" i="57"/>
  <c r="N18" i="57" s="1"/>
  <c r="O13" i="57"/>
  <c r="N13" i="57" s="1"/>
  <c r="O26" i="57"/>
  <c r="N26" i="57" s="1"/>
  <c r="R6" i="61"/>
  <c r="Y6" i="91"/>
  <c r="BI10" i="56"/>
  <c r="AA6" i="92"/>
  <c r="BL11" i="56"/>
  <c r="AA6" i="103"/>
  <c r="BL21" i="56"/>
  <c r="AE6" i="105"/>
  <c r="BM23" i="56"/>
  <c r="BD14" i="110"/>
  <c r="W6" i="110"/>
  <c r="BF28" i="56"/>
  <c r="AS58" i="110"/>
  <c r="AS58" i="112"/>
  <c r="AE6" i="112"/>
  <c r="BM30" i="56"/>
  <c r="AB6" i="113"/>
  <c r="BJ31" i="56"/>
  <c r="Y6" i="113"/>
  <c r="BI31" i="56"/>
  <c r="AC6" i="115"/>
  <c r="BK33" i="56"/>
  <c r="AB6" i="117"/>
  <c r="BJ35" i="56"/>
  <c r="W6" i="108"/>
  <c r="BF26" i="56"/>
  <c r="S6" i="99"/>
  <c r="AA6" i="62"/>
  <c r="BL9" i="56"/>
  <c r="AA6" i="101"/>
  <c r="BL19" i="56"/>
  <c r="AA6" i="106"/>
  <c r="BL24" i="56"/>
  <c r="W6" i="102"/>
  <c r="BF20" i="56"/>
  <c r="Y6" i="94"/>
  <c r="BI13" i="56"/>
  <c r="O32" i="57"/>
  <c r="N32" i="57" s="1"/>
  <c r="O30" i="57"/>
  <c r="N30" i="57" s="1"/>
  <c r="O5" i="57"/>
  <c r="N5" i="57" s="1"/>
  <c r="AB6" i="98"/>
  <c r="BJ16" i="56"/>
  <c r="AB6" i="103"/>
  <c r="BJ21" i="56"/>
  <c r="O17" i="57"/>
  <c r="N17" i="57" s="1"/>
  <c r="O28" i="57"/>
  <c r="N28" i="57" s="1"/>
  <c r="O22" i="57"/>
  <c r="N22" i="57" s="1"/>
  <c r="O24" i="57"/>
  <c r="N24" i="57" s="1"/>
  <c r="O20" i="57"/>
  <c r="N20" i="57" s="1"/>
  <c r="AC6" i="94"/>
  <c r="BK13" i="56"/>
  <c r="AE6" i="91"/>
  <c r="BM10" i="56"/>
  <c r="AA6" i="61"/>
  <c r="BL8" i="56"/>
  <c r="AC6" i="111"/>
  <c r="BK29" i="56"/>
  <c r="AA6" i="111"/>
  <c r="BL29" i="56"/>
  <c r="W6" i="111"/>
  <c r="BF29" i="56"/>
  <c r="Y6" i="111"/>
  <c r="BI29" i="56"/>
  <c r="AE6" i="111"/>
  <c r="BM29" i="56"/>
  <c r="AB6" i="111"/>
  <c r="BJ29" i="56"/>
  <c r="BC68" i="117"/>
  <c r="BC68" i="92"/>
  <c r="BC68" i="95"/>
  <c r="AZ68" i="113"/>
  <c r="T6" i="117"/>
  <c r="AZ68" i="102"/>
  <c r="BD14" i="114"/>
  <c r="T6" i="114"/>
  <c r="BC68" i="114"/>
  <c r="BD15" i="118"/>
  <c r="AS58" i="111"/>
  <c r="AZ68" i="97"/>
  <c r="AS58" i="97"/>
  <c r="AS58" i="98"/>
  <c r="AS73" i="92"/>
  <c r="BD14" i="113"/>
  <c r="AS58" i="116"/>
  <c r="BB14" i="108"/>
  <c r="AZ68" i="103"/>
  <c r="AZ68" i="105"/>
  <c r="AR73" i="95"/>
  <c r="BC68" i="98"/>
  <c r="AS58" i="101"/>
  <c r="BC68" i="103"/>
  <c r="AZ68" i="106"/>
  <c r="AS58" i="109"/>
  <c r="AZ68" i="111"/>
  <c r="BC68" i="112"/>
  <c r="AZ68" i="115"/>
  <c r="AO73" i="116"/>
  <c r="BD14" i="118"/>
  <c r="AS58" i="118"/>
  <c r="S6" i="116"/>
  <c r="AL15" i="118"/>
  <c r="AX24" i="118"/>
  <c r="AS73" i="118"/>
  <c r="AO73" i="118"/>
  <c r="AT60" i="118"/>
  <c r="AZ68" i="118"/>
  <c r="R6" i="118"/>
  <c r="AZ20" i="117"/>
  <c r="AN24" i="117"/>
  <c r="AN15" i="117" s="1"/>
  <c r="BB35" i="56" s="1"/>
  <c r="AR73" i="117"/>
  <c r="AO73" i="117"/>
  <c r="U6" i="117"/>
  <c r="AS73" i="117"/>
  <c r="AS58" i="117"/>
  <c r="AL15" i="116"/>
  <c r="AX24" i="116"/>
  <c r="AR73" i="116"/>
  <c r="AZ20" i="116"/>
  <c r="AN24" i="116"/>
  <c r="AN15" i="116" s="1"/>
  <c r="BB34" i="56" s="1"/>
  <c r="BT34" i="56" s="1"/>
  <c r="AZ68" i="116"/>
  <c r="AS73" i="116"/>
  <c r="U6" i="116"/>
  <c r="BC68" i="115"/>
  <c r="AZ20" i="115"/>
  <c r="AN24" i="115"/>
  <c r="AN15" i="115" s="1"/>
  <c r="BB33" i="56" s="1"/>
  <c r="U6" i="115"/>
  <c r="AS73" i="115"/>
  <c r="AL15" i="115"/>
  <c r="AX24" i="115"/>
  <c r="AT60" i="115"/>
  <c r="AO73" i="115"/>
  <c r="AL15" i="114"/>
  <c r="AX24" i="114"/>
  <c r="AO73" i="114"/>
  <c r="AT60" i="114"/>
  <c r="AZ20" i="114"/>
  <c r="AN24" i="114"/>
  <c r="AN15" i="114" s="1"/>
  <c r="BB32" i="56" s="1"/>
  <c r="AR73" i="114"/>
  <c r="AS73" i="114"/>
  <c r="U6" i="114"/>
  <c r="BC68" i="113"/>
  <c r="AS58" i="113"/>
  <c r="AZ20" i="113"/>
  <c r="AN24" i="113"/>
  <c r="AN15" i="113" s="1"/>
  <c r="BB31" i="56" s="1"/>
  <c r="BT31" i="56" s="1"/>
  <c r="AL15" i="113"/>
  <c r="AX24" i="113"/>
  <c r="AR73" i="113"/>
  <c r="AS73" i="113"/>
  <c r="AT60" i="113"/>
  <c r="AO73" i="113"/>
  <c r="AR73" i="112"/>
  <c r="AS73" i="112"/>
  <c r="U6" i="112"/>
  <c r="AZ20" i="112"/>
  <c r="AN24" i="112"/>
  <c r="AN15" i="112" s="1"/>
  <c r="BB30" i="56" s="1"/>
  <c r="BT30" i="56" s="1"/>
  <c r="AL15" i="112"/>
  <c r="AX24" i="112"/>
  <c r="AT60" i="112"/>
  <c r="AO73" i="112"/>
  <c r="AS73" i="111"/>
  <c r="AL15" i="111"/>
  <c r="AX24" i="111"/>
  <c r="AR73" i="111"/>
  <c r="AZ20" i="111"/>
  <c r="AN24" i="111"/>
  <c r="AN15" i="111" s="1"/>
  <c r="BB29" i="56" s="1"/>
  <c r="AT60" i="111"/>
  <c r="AO73" i="111"/>
  <c r="BC68" i="111"/>
  <c r="AS73" i="110"/>
  <c r="AR73" i="110"/>
  <c r="BC68" i="110"/>
  <c r="AX24" i="110"/>
  <c r="AZ20" i="110"/>
  <c r="AO73" i="110"/>
  <c r="AZ68" i="110"/>
  <c r="R6" i="110"/>
  <c r="AT60" i="110"/>
  <c r="BC68" i="109"/>
  <c r="AR73" i="109"/>
  <c r="AZ20" i="109"/>
  <c r="AN24" i="109"/>
  <c r="AN15" i="109" s="1"/>
  <c r="BB27" i="56" s="1"/>
  <c r="AS73" i="109"/>
  <c r="U6" i="109"/>
  <c r="AO73" i="109"/>
  <c r="AZ68" i="109"/>
  <c r="BC68" i="108"/>
  <c r="AR73" i="108"/>
  <c r="AS73" i="108"/>
  <c r="AO73" i="108"/>
  <c r="AL15" i="108"/>
  <c r="AX24" i="108"/>
  <c r="AZ20" i="108"/>
  <c r="AT60" i="108"/>
  <c r="BC68" i="107"/>
  <c r="AR73" i="107"/>
  <c r="AZ20" i="107"/>
  <c r="AN24" i="107"/>
  <c r="AN15" i="107" s="1"/>
  <c r="BB25" i="56" s="1"/>
  <c r="AS73" i="107"/>
  <c r="AL15" i="107"/>
  <c r="AX24" i="107"/>
  <c r="AS58" i="107"/>
  <c r="AT60" i="107"/>
  <c r="AO73" i="107"/>
  <c r="AT67" i="106"/>
  <c r="AS58" i="106"/>
  <c r="BD15" i="106"/>
  <c r="R6" i="106"/>
  <c r="AL15" i="106"/>
  <c r="AX24" i="106"/>
  <c r="AO73" i="106"/>
  <c r="AZ20" i="105"/>
  <c r="AN24" i="105"/>
  <c r="AN15" i="105" s="1"/>
  <c r="BB23" i="56" s="1"/>
  <c r="BT23" i="56" s="1"/>
  <c r="AL15" i="105"/>
  <c r="AX24" i="105"/>
  <c r="U6" i="105"/>
  <c r="AS73" i="105"/>
  <c r="AR73" i="105"/>
  <c r="AO73" i="105"/>
  <c r="AS73" i="104"/>
  <c r="AL15" i="104"/>
  <c r="AX24" i="104"/>
  <c r="AT60" i="104"/>
  <c r="AO73" i="104"/>
  <c r="AZ20" i="104"/>
  <c r="AN24" i="104"/>
  <c r="AN15" i="104" s="1"/>
  <c r="BB22" i="56" s="1"/>
  <c r="BT22" i="56" s="1"/>
  <c r="AO73" i="103"/>
  <c r="AL15" i="103"/>
  <c r="AX24" i="103"/>
  <c r="AR73" i="103"/>
  <c r="AZ20" i="103"/>
  <c r="AN24" i="103"/>
  <c r="AN15" i="103" s="1"/>
  <c r="BB21" i="56" s="1"/>
  <c r="BT21" i="56" s="1"/>
  <c r="AS73" i="103"/>
  <c r="U6" i="103"/>
  <c r="BC68" i="102"/>
  <c r="AR73" i="102"/>
  <c r="AX24" i="102"/>
  <c r="AZ20" i="102"/>
  <c r="AN24" i="102"/>
  <c r="AN15" i="102" s="1"/>
  <c r="BB20" i="56" s="1"/>
  <c r="U6" i="102"/>
  <c r="AS73" i="102"/>
  <c r="AO73" i="102"/>
  <c r="AT60" i="102"/>
  <c r="AZ20" i="101"/>
  <c r="AN24" i="101"/>
  <c r="AN15" i="101" s="1"/>
  <c r="BB19" i="56" s="1"/>
  <c r="BT19" i="56" s="1"/>
  <c r="AL15" i="101"/>
  <c r="AX24" i="101"/>
  <c r="AO73" i="101"/>
  <c r="AS73" i="101"/>
  <c r="U6" i="101"/>
  <c r="AT66" i="101"/>
  <c r="AS58" i="100"/>
  <c r="AZ68" i="100"/>
  <c r="AZ20" i="100"/>
  <c r="AZ24" i="100" s="1"/>
  <c r="BC54" i="100" s="1"/>
  <c r="BC55" i="100" s="1"/>
  <c r="AZ71" i="100" s="1"/>
  <c r="AR73" i="100"/>
  <c r="AO73" i="100"/>
  <c r="AL15" i="100"/>
  <c r="AX24" i="100"/>
  <c r="AS73" i="100"/>
  <c r="AS73" i="99"/>
  <c r="AZ20" i="99"/>
  <c r="AN24" i="99"/>
  <c r="AN15" i="99" s="1"/>
  <c r="BB17" i="56" s="1"/>
  <c r="BT17" i="56" s="1"/>
  <c r="AT60" i="99"/>
  <c r="AO73" i="99"/>
  <c r="AR73" i="99"/>
  <c r="BC68" i="99"/>
  <c r="AL15" i="99"/>
  <c r="AX24" i="99"/>
  <c r="U6" i="98"/>
  <c r="AS73" i="98"/>
  <c r="AO73" i="98"/>
  <c r="AT60" i="98"/>
  <c r="AR73" i="98"/>
  <c r="AL15" i="98"/>
  <c r="AX24" i="98"/>
  <c r="AZ20" i="98"/>
  <c r="N3" i="98" s="1"/>
  <c r="AN24" i="98"/>
  <c r="AN15" i="98" s="1"/>
  <c r="BB16" i="56" s="1"/>
  <c r="BT16" i="56" s="1"/>
  <c r="AR73" i="97"/>
  <c r="AL15" i="97"/>
  <c r="AX24" i="97"/>
  <c r="AO73" i="97"/>
  <c r="AT60" i="97"/>
  <c r="U6" i="97"/>
  <c r="AS73" i="97"/>
  <c r="BD15" i="97"/>
  <c r="AZ20" i="97"/>
  <c r="AS58" i="95"/>
  <c r="AT60" i="95"/>
  <c r="AO73" i="95"/>
  <c r="AZ20" i="95"/>
  <c r="AN24" i="95"/>
  <c r="AN15" i="95" s="1"/>
  <c r="BB14" i="56" s="1"/>
  <c r="AL15" i="95"/>
  <c r="AX24" i="95"/>
  <c r="AS73" i="95"/>
  <c r="AS73" i="94"/>
  <c r="AX24" i="94"/>
  <c r="BB15" i="94" s="1"/>
  <c r="BC68" i="94"/>
  <c r="AR73" i="94"/>
  <c r="AO73" i="94"/>
  <c r="AS58" i="94"/>
  <c r="AZ20" i="94"/>
  <c r="AR73" i="93"/>
  <c r="AT66" i="93"/>
  <c r="AS73" i="93"/>
  <c r="U6" i="93"/>
  <c r="AL15" i="93"/>
  <c r="AX24" i="93"/>
  <c r="AZ68" i="93"/>
  <c r="AO73" i="93"/>
  <c r="AZ20" i="93"/>
  <c r="AN24" i="93"/>
  <c r="AN15" i="93" s="1"/>
  <c r="BB12" i="56" s="1"/>
  <c r="BT12" i="56" s="1"/>
  <c r="AR73" i="92"/>
  <c r="AT60" i="92"/>
  <c r="AO73" i="92"/>
  <c r="AL15" i="92"/>
  <c r="AX24" i="92"/>
  <c r="AZ20" i="92"/>
  <c r="AN24" i="92"/>
  <c r="AN15" i="92" s="1"/>
  <c r="BB11" i="56" s="1"/>
  <c r="R6" i="91"/>
  <c r="AL15" i="91"/>
  <c r="AX24" i="91"/>
  <c r="U6" i="91"/>
  <c r="AS73" i="91"/>
  <c r="AT60" i="91"/>
  <c r="AO73" i="91"/>
  <c r="AR73" i="91"/>
  <c r="AZ24" i="91"/>
  <c r="BC54" i="91" s="1"/>
  <c r="BC55" i="91" s="1"/>
  <c r="AZ71" i="91" s="1"/>
  <c r="N3" i="91"/>
  <c r="AZ20" i="62"/>
  <c r="AN24" i="62"/>
  <c r="AN15" i="62" s="1"/>
  <c r="BB9" i="56" s="1"/>
  <c r="AR73" i="62"/>
  <c r="AO73" i="62"/>
  <c r="U6" i="62"/>
  <c r="AS73" i="62"/>
  <c r="U6" i="61"/>
  <c r="AS73" i="61"/>
  <c r="BC68" i="61"/>
  <c r="AO73" i="61"/>
  <c r="AR73" i="61"/>
  <c r="AL15" i="61"/>
  <c r="AX24" i="61"/>
  <c r="BT15" i="56" l="1"/>
  <c r="BT36" i="56"/>
  <c r="BT29" i="56"/>
  <c r="BT9" i="56"/>
  <c r="BT11" i="56"/>
  <c r="BT25" i="56"/>
  <c r="BT32" i="56"/>
  <c r="BT33" i="56"/>
  <c r="BT8" i="56"/>
  <c r="BT14" i="56"/>
  <c r="BT27" i="56"/>
  <c r="BT35" i="56"/>
  <c r="BT10" i="56"/>
  <c r="BT20" i="56"/>
  <c r="BB26" i="56"/>
  <c r="BT26" i="56" s="1"/>
  <c r="BD15" i="108"/>
  <c r="BD16" i="108" s="1"/>
  <c r="AZ72" i="108" s="1"/>
  <c r="C2" i="108" s="1"/>
  <c r="P6" i="108" s="1"/>
  <c r="BB18" i="56"/>
  <c r="BT18" i="56" s="1"/>
  <c r="BD16" i="61"/>
  <c r="AZ72" i="61" s="1"/>
  <c r="C2" i="61" s="1"/>
  <c r="P6" i="61" s="1"/>
  <c r="AZ24" i="118"/>
  <c r="BC54" i="118" s="1"/>
  <c r="BC55" i="118" s="1"/>
  <c r="AZ71" i="118" s="1"/>
  <c r="AT73" i="97"/>
  <c r="AZ73" i="97" s="1"/>
  <c r="BA54" i="117"/>
  <c r="BA55" i="117" s="1"/>
  <c r="AT73" i="100"/>
  <c r="AZ73" i="100" s="1"/>
  <c r="AT73" i="99"/>
  <c r="AZ73" i="99" s="1"/>
  <c r="AT73" i="92"/>
  <c r="AZ73" i="92" s="1"/>
  <c r="AT73" i="95"/>
  <c r="AZ73" i="95" s="1"/>
  <c r="BD16" i="97"/>
  <c r="AZ72" i="97" s="1"/>
  <c r="C2" i="97" s="1"/>
  <c r="P6" i="97" s="1"/>
  <c r="BB13" i="56"/>
  <c r="BT13" i="56" s="1"/>
  <c r="AT73" i="118"/>
  <c r="AZ73" i="118" s="1"/>
  <c r="AT73" i="94"/>
  <c r="AZ73" i="94" s="1"/>
  <c r="N3" i="61"/>
  <c r="AZ73" i="61"/>
  <c r="AT73" i="110"/>
  <c r="AZ73" i="110" s="1"/>
  <c r="AT73" i="102"/>
  <c r="AZ73" i="102" s="1"/>
  <c r="BD16" i="91"/>
  <c r="AZ72" i="91" s="1"/>
  <c r="C2" i="91" s="1"/>
  <c r="P6" i="91" s="1"/>
  <c r="AT73" i="62"/>
  <c r="AZ73" i="62" s="1"/>
  <c r="BA54" i="62"/>
  <c r="BA55" i="62" s="1"/>
  <c r="AT73" i="103"/>
  <c r="AZ73" i="103" s="1"/>
  <c r="R6" i="100"/>
  <c r="R6" i="94"/>
  <c r="BC28" i="56"/>
  <c r="BT28" i="56" s="1"/>
  <c r="AT73" i="101"/>
  <c r="AZ73" i="101" s="1"/>
  <c r="AT73" i="108"/>
  <c r="AZ73" i="108" s="1"/>
  <c r="BD15" i="110"/>
  <c r="BD16" i="110" s="1"/>
  <c r="AZ72" i="110" s="1"/>
  <c r="C2" i="110" s="1"/>
  <c r="P6" i="110" s="1"/>
  <c r="AT73" i="93"/>
  <c r="AZ73" i="93" s="1"/>
  <c r="AZ73" i="105"/>
  <c r="AT73" i="91"/>
  <c r="AZ73" i="91" s="1"/>
  <c r="BD16" i="118"/>
  <c r="AZ72" i="118" s="1"/>
  <c r="C2" i="118" s="1"/>
  <c r="P6" i="118" s="1"/>
  <c r="BS30" i="56"/>
  <c r="BS29" i="56"/>
  <c r="BS28" i="56"/>
  <c r="AT73" i="109"/>
  <c r="AZ73" i="109" s="1"/>
  <c r="BS27" i="56"/>
  <c r="BS26" i="56"/>
  <c r="AT73" i="107"/>
  <c r="AZ73" i="107" s="1"/>
  <c r="BS25" i="56"/>
  <c r="BS23" i="56"/>
  <c r="AT73" i="104"/>
  <c r="AZ73" i="104" s="1"/>
  <c r="BS22" i="56"/>
  <c r="BS21" i="56"/>
  <c r="BS20" i="56"/>
  <c r="BS19" i="56"/>
  <c r="BS18" i="56"/>
  <c r="BS17" i="56"/>
  <c r="BS16" i="56"/>
  <c r="BS15" i="56"/>
  <c r="BS14" i="56"/>
  <c r="BS36" i="56"/>
  <c r="AT73" i="115"/>
  <c r="AZ73" i="115" s="1"/>
  <c r="BS35" i="56"/>
  <c r="BH37" i="56"/>
  <c r="BH39" i="56" s="1"/>
  <c r="BS32" i="56"/>
  <c r="BS31" i="56"/>
  <c r="BS34" i="56"/>
  <c r="BS33" i="56"/>
  <c r="BA54" i="109"/>
  <c r="BA55" i="109" s="1"/>
  <c r="BD16" i="100"/>
  <c r="AZ72" i="100" s="1"/>
  <c r="C2" i="100" s="1"/>
  <c r="P6" i="100" s="1"/>
  <c r="AT73" i="98"/>
  <c r="AZ73" i="98" s="1"/>
  <c r="AT73" i="113"/>
  <c r="AZ73" i="113" s="1"/>
  <c r="AT73" i="116"/>
  <c r="AZ73" i="116" s="1"/>
  <c r="AT73" i="114"/>
  <c r="AZ73" i="114" s="1"/>
  <c r="AT73" i="117"/>
  <c r="AZ73" i="117" s="1"/>
  <c r="AT73" i="111"/>
  <c r="AZ73" i="111" s="1"/>
  <c r="AT73" i="112"/>
  <c r="AZ73" i="112" s="1"/>
  <c r="AZ24" i="106"/>
  <c r="BC54" i="106" s="1"/>
  <c r="BC55" i="106" s="1"/>
  <c r="AZ71" i="106" s="1"/>
  <c r="BA54" i="94"/>
  <c r="BA55" i="94" s="1"/>
  <c r="N3" i="100"/>
  <c r="BB15" i="118"/>
  <c r="BA54" i="118"/>
  <c r="BA55" i="118" s="1"/>
  <c r="BD15" i="117"/>
  <c r="BD16" i="117" s="1"/>
  <c r="AZ72" i="117" s="1"/>
  <c r="C2" i="117" s="1"/>
  <c r="P6" i="117" s="1"/>
  <c r="R6" i="117"/>
  <c r="AZ24" i="117"/>
  <c r="BC54" i="117" s="1"/>
  <c r="BC55" i="117" s="1"/>
  <c r="AZ71" i="117" s="1"/>
  <c r="N3" i="117"/>
  <c r="BD15" i="116"/>
  <c r="BD16" i="116" s="1"/>
  <c r="AZ72" i="116" s="1"/>
  <c r="C2" i="116" s="1"/>
  <c r="P6" i="116" s="1"/>
  <c r="R6" i="116"/>
  <c r="AZ24" i="116"/>
  <c r="BC54" i="116" s="1"/>
  <c r="BC55" i="116" s="1"/>
  <c r="AZ71" i="116" s="1"/>
  <c r="N3" i="116"/>
  <c r="BA54" i="116"/>
  <c r="BA55" i="116" s="1"/>
  <c r="BB15" i="116"/>
  <c r="BD15" i="115"/>
  <c r="BD16" i="115" s="1"/>
  <c r="AZ72" i="115" s="1"/>
  <c r="C2" i="115" s="1"/>
  <c r="P6" i="115" s="1"/>
  <c r="R6" i="115"/>
  <c r="BB15" i="115"/>
  <c r="BA54" i="115"/>
  <c r="BA55" i="115" s="1"/>
  <c r="AZ24" i="115"/>
  <c r="BC54" i="115" s="1"/>
  <c r="BC55" i="115" s="1"/>
  <c r="AZ71" i="115" s="1"/>
  <c r="N3" i="115"/>
  <c r="BD15" i="114"/>
  <c r="BD16" i="114" s="1"/>
  <c r="AZ72" i="114" s="1"/>
  <c r="C2" i="114" s="1"/>
  <c r="P6" i="114" s="1"/>
  <c r="R6" i="114"/>
  <c r="AZ24" i="114"/>
  <c r="BC54" i="114" s="1"/>
  <c r="BC55" i="114" s="1"/>
  <c r="AZ71" i="114" s="1"/>
  <c r="N3" i="114"/>
  <c r="BA54" i="114"/>
  <c r="BA55" i="114" s="1"/>
  <c r="BB15" i="114"/>
  <c r="BB15" i="113"/>
  <c r="BA54" i="113"/>
  <c r="BA55" i="113" s="1"/>
  <c r="BD15" i="113"/>
  <c r="BD16" i="113" s="1"/>
  <c r="AZ72" i="113" s="1"/>
  <c r="C2" i="113" s="1"/>
  <c r="P6" i="113" s="1"/>
  <c r="R6" i="113"/>
  <c r="AZ24" i="113"/>
  <c r="BC54" i="113" s="1"/>
  <c r="BC55" i="113" s="1"/>
  <c r="AZ71" i="113" s="1"/>
  <c r="N3" i="113"/>
  <c r="N3" i="112"/>
  <c r="AZ24" i="112"/>
  <c r="BC54" i="112" s="1"/>
  <c r="BC55" i="112" s="1"/>
  <c r="AZ71" i="112" s="1"/>
  <c r="BD15" i="112"/>
  <c r="BD16" i="112" s="1"/>
  <c r="AZ72" i="112" s="1"/>
  <c r="C2" i="112" s="1"/>
  <c r="P6" i="112" s="1"/>
  <c r="R6" i="112"/>
  <c r="BB15" i="112"/>
  <c r="BA54" i="112"/>
  <c r="BA55" i="112" s="1"/>
  <c r="BD15" i="111"/>
  <c r="BD16" i="111" s="1"/>
  <c r="AZ72" i="111" s="1"/>
  <c r="C2" i="111" s="1"/>
  <c r="P6" i="111" s="1"/>
  <c r="R6" i="111"/>
  <c r="N3" i="111"/>
  <c r="AZ24" i="111"/>
  <c r="BC54" i="111" s="1"/>
  <c r="BC55" i="111" s="1"/>
  <c r="AZ71" i="111" s="1"/>
  <c r="BB15" i="111"/>
  <c r="BA54" i="111"/>
  <c r="BA55" i="111" s="1"/>
  <c r="N3" i="110"/>
  <c r="AZ24" i="110"/>
  <c r="BC54" i="110" s="1"/>
  <c r="BC55" i="110" s="1"/>
  <c r="AZ71" i="110" s="1"/>
  <c r="BB15" i="110"/>
  <c r="BA54" i="110"/>
  <c r="BA55" i="110" s="1"/>
  <c r="BD15" i="109"/>
  <c r="BD16" i="109" s="1"/>
  <c r="AZ72" i="109" s="1"/>
  <c r="C2" i="109" s="1"/>
  <c r="P6" i="109" s="1"/>
  <c r="R6" i="109"/>
  <c r="N3" i="109"/>
  <c r="AZ24" i="109"/>
  <c r="BC54" i="109" s="1"/>
  <c r="BC55" i="109" s="1"/>
  <c r="AZ71" i="109" s="1"/>
  <c r="AZ24" i="108"/>
  <c r="BC54" i="108" s="1"/>
  <c r="BC55" i="108" s="1"/>
  <c r="AZ71" i="108" s="1"/>
  <c r="N3" i="108"/>
  <c r="BB15" i="108"/>
  <c r="BA54" i="108"/>
  <c r="BA55" i="108" s="1"/>
  <c r="BB15" i="107"/>
  <c r="BA54" i="107"/>
  <c r="BA55" i="107" s="1"/>
  <c r="BD15" i="107"/>
  <c r="BD16" i="107" s="1"/>
  <c r="AZ72" i="107" s="1"/>
  <c r="C2" i="107" s="1"/>
  <c r="P6" i="107" s="1"/>
  <c r="R6" i="107"/>
  <c r="AZ24" i="107"/>
  <c r="BC54" i="107" s="1"/>
  <c r="BC55" i="107" s="1"/>
  <c r="AZ71" i="107" s="1"/>
  <c r="N3" i="107"/>
  <c r="BA54" i="106"/>
  <c r="BA55" i="106" s="1"/>
  <c r="BB15" i="106"/>
  <c r="BB15" i="105"/>
  <c r="BA54" i="105"/>
  <c r="BA55" i="105" s="1"/>
  <c r="BD15" i="105"/>
  <c r="BD16" i="105" s="1"/>
  <c r="AZ72" i="105" s="1"/>
  <c r="C2" i="105" s="1"/>
  <c r="P6" i="105" s="1"/>
  <c r="R6" i="105"/>
  <c r="AZ24" i="105"/>
  <c r="BC54" i="105" s="1"/>
  <c r="BC55" i="105" s="1"/>
  <c r="AZ71" i="105" s="1"/>
  <c r="N3" i="105"/>
  <c r="AZ24" i="104"/>
  <c r="BC54" i="104" s="1"/>
  <c r="BC55" i="104" s="1"/>
  <c r="AZ71" i="104" s="1"/>
  <c r="N3" i="104"/>
  <c r="BB15" i="104"/>
  <c r="BA54" i="104"/>
  <c r="BA55" i="104" s="1"/>
  <c r="BD15" i="104"/>
  <c r="BD16" i="104" s="1"/>
  <c r="AZ72" i="104" s="1"/>
  <c r="C2" i="104" s="1"/>
  <c r="P6" i="104" s="1"/>
  <c r="R6" i="104"/>
  <c r="AZ24" i="103"/>
  <c r="BC54" i="103" s="1"/>
  <c r="BC55" i="103" s="1"/>
  <c r="AZ71" i="103" s="1"/>
  <c r="N3" i="103"/>
  <c r="BD15" i="103"/>
  <c r="BD16" i="103" s="1"/>
  <c r="AZ72" i="103" s="1"/>
  <c r="C2" i="103" s="1"/>
  <c r="P6" i="103" s="1"/>
  <c r="R6" i="103"/>
  <c r="BB15" i="103"/>
  <c r="BA54" i="103"/>
  <c r="BA55" i="103" s="1"/>
  <c r="AZ24" i="102"/>
  <c r="BC54" i="102" s="1"/>
  <c r="BC55" i="102" s="1"/>
  <c r="AZ71" i="102" s="1"/>
  <c r="N3" i="102"/>
  <c r="BD15" i="102"/>
  <c r="BD16" i="102" s="1"/>
  <c r="AZ72" i="102" s="1"/>
  <c r="C2" i="102" s="1"/>
  <c r="P6" i="102" s="1"/>
  <c r="R6" i="102"/>
  <c r="BA54" i="102"/>
  <c r="BA55" i="102" s="1"/>
  <c r="BB15" i="102"/>
  <c r="BD15" i="101"/>
  <c r="BD16" i="101" s="1"/>
  <c r="AZ72" i="101" s="1"/>
  <c r="C2" i="101" s="1"/>
  <c r="P6" i="101" s="1"/>
  <c r="R6" i="101"/>
  <c r="BA54" i="101"/>
  <c r="BA55" i="101" s="1"/>
  <c r="BB15" i="101"/>
  <c r="AZ24" i="101"/>
  <c r="BC54" i="101" s="1"/>
  <c r="BC55" i="101" s="1"/>
  <c r="AZ71" i="101" s="1"/>
  <c r="N3" i="101"/>
  <c r="BB15" i="100"/>
  <c r="BA54" i="100"/>
  <c r="BA55" i="100" s="1"/>
  <c r="BD15" i="99"/>
  <c r="BD16" i="99" s="1"/>
  <c r="AZ72" i="99" s="1"/>
  <c r="C2" i="99" s="1"/>
  <c r="P6" i="99" s="1"/>
  <c r="R6" i="99"/>
  <c r="BA54" i="99"/>
  <c r="BA55" i="99" s="1"/>
  <c r="BB15" i="99"/>
  <c r="AZ24" i="99"/>
  <c r="BC54" i="99" s="1"/>
  <c r="BC55" i="99" s="1"/>
  <c r="AZ71" i="99" s="1"/>
  <c r="N3" i="99"/>
  <c r="BD15" i="98"/>
  <c r="BD16" i="98" s="1"/>
  <c r="AZ72" i="98" s="1"/>
  <c r="R6" i="98"/>
  <c r="AZ24" i="98"/>
  <c r="BC54" i="98" s="1"/>
  <c r="BC55" i="98" s="1"/>
  <c r="AZ71" i="98" s="1"/>
  <c r="BA54" i="98"/>
  <c r="BA55" i="98" s="1"/>
  <c r="BB15" i="98"/>
  <c r="BA54" i="97"/>
  <c r="BA55" i="97" s="1"/>
  <c r="BB15" i="97"/>
  <c r="AZ24" i="97"/>
  <c r="BC54" i="97" s="1"/>
  <c r="BC55" i="97" s="1"/>
  <c r="AZ71" i="97" s="1"/>
  <c r="N3" i="97"/>
  <c r="BD15" i="95"/>
  <c r="BD16" i="95" s="1"/>
  <c r="AZ72" i="95" s="1"/>
  <c r="C2" i="95" s="1"/>
  <c r="P6" i="95" s="1"/>
  <c r="R6" i="95"/>
  <c r="BB15" i="95"/>
  <c r="BA54" i="95"/>
  <c r="BA55" i="95" s="1"/>
  <c r="N3" i="95"/>
  <c r="AZ24" i="95"/>
  <c r="BC54" i="95" s="1"/>
  <c r="BC55" i="95" s="1"/>
  <c r="AZ71" i="95" s="1"/>
  <c r="N3" i="94"/>
  <c r="AZ24" i="94"/>
  <c r="BC54" i="94" s="1"/>
  <c r="BC55" i="94" s="1"/>
  <c r="AZ71" i="94" s="1"/>
  <c r="BB15" i="93"/>
  <c r="BA54" i="93"/>
  <c r="BA55" i="93" s="1"/>
  <c r="BD15" i="93"/>
  <c r="BD16" i="93" s="1"/>
  <c r="AZ72" i="93" s="1"/>
  <c r="C2" i="93" s="1"/>
  <c r="P6" i="93" s="1"/>
  <c r="R6" i="93"/>
  <c r="N3" i="93"/>
  <c r="AZ24" i="93"/>
  <c r="BC54" i="93" s="1"/>
  <c r="BC55" i="93" s="1"/>
  <c r="AZ71" i="93" s="1"/>
  <c r="BD15" i="92"/>
  <c r="BD16" i="92" s="1"/>
  <c r="AZ72" i="92" s="1"/>
  <c r="C2" i="92" s="1"/>
  <c r="P6" i="92" s="1"/>
  <c r="R6" i="92"/>
  <c r="BA54" i="92"/>
  <c r="BA55" i="92" s="1"/>
  <c r="BB15" i="92"/>
  <c r="AZ24" i="92"/>
  <c r="BC54" i="92" s="1"/>
  <c r="BC55" i="92" s="1"/>
  <c r="AZ71" i="92" s="1"/>
  <c r="N3" i="92"/>
  <c r="BB15" i="91"/>
  <c r="BA54" i="91"/>
  <c r="BA55" i="91" s="1"/>
  <c r="BD15" i="62"/>
  <c r="BD16" i="62" s="1"/>
  <c r="AZ72" i="62" s="1"/>
  <c r="C2" i="62" s="1"/>
  <c r="P6" i="62" s="1"/>
  <c r="R6" i="62"/>
  <c r="AZ24" i="62"/>
  <c r="BC54" i="62" s="1"/>
  <c r="BC55" i="62" s="1"/>
  <c r="AZ71" i="62" s="1"/>
  <c r="N3" i="62"/>
  <c r="BA54" i="61"/>
  <c r="BA55" i="61" s="1"/>
  <c r="BB15" i="61"/>
  <c r="AQ61" i="52"/>
  <c r="AQ62" i="52"/>
  <c r="AQ63" i="52"/>
  <c r="AQ64" i="52"/>
  <c r="AQ65" i="52"/>
  <c r="AQ66" i="52"/>
  <c r="AQ67" i="52"/>
  <c r="AQ68" i="52"/>
  <c r="AQ69" i="52"/>
  <c r="AQ70" i="52"/>
  <c r="AP61" i="52"/>
  <c r="AP62" i="52"/>
  <c r="AP63" i="52"/>
  <c r="AP64" i="52"/>
  <c r="AL7" i="56" s="1"/>
  <c r="AP65" i="52"/>
  <c r="AH7" i="56" s="1"/>
  <c r="AP66" i="52"/>
  <c r="AF7" i="56" s="1"/>
  <c r="AP67" i="52"/>
  <c r="AP68" i="52"/>
  <c r="AP69" i="52"/>
  <c r="AP70" i="52"/>
  <c r="AO62" i="52"/>
  <c r="AN61" i="52"/>
  <c r="AO61" i="52" s="1"/>
  <c r="AN62" i="52"/>
  <c r="AN63" i="52"/>
  <c r="AO63" i="52" s="1"/>
  <c r="AN64" i="52"/>
  <c r="AO64" i="52" s="1"/>
  <c r="AN65" i="52"/>
  <c r="AO65" i="52" s="1"/>
  <c r="AN66" i="52"/>
  <c r="AO66" i="52" s="1"/>
  <c r="AN67" i="52"/>
  <c r="AO67" i="52" s="1"/>
  <c r="AN68" i="52"/>
  <c r="AO68" i="52" s="1"/>
  <c r="AN69" i="52"/>
  <c r="AO69" i="52" s="1"/>
  <c r="AN70" i="52"/>
  <c r="AO70" i="52" s="1"/>
  <c r="AM61" i="52"/>
  <c r="AM62" i="52"/>
  <c r="AM63" i="52"/>
  <c r="AM64" i="52"/>
  <c r="AM65" i="52"/>
  <c r="AM66" i="52"/>
  <c r="AM67" i="52"/>
  <c r="AM68" i="52"/>
  <c r="AM69" i="52"/>
  <c r="AM70" i="52"/>
  <c r="AG4" i="52"/>
  <c r="AF4" i="52"/>
  <c r="C2" i="98" l="1"/>
  <c r="P6" i="98" s="1"/>
  <c r="AS70" i="52"/>
  <c r="AB7" i="56"/>
  <c r="AM7" i="56"/>
  <c r="AS69" i="52"/>
  <c r="Z7" i="56"/>
  <c r="AS63" i="52"/>
  <c r="AK7" i="56"/>
  <c r="AA7" i="56"/>
  <c r="AR68" i="52"/>
  <c r="AT68" i="52" s="1"/>
  <c r="AQ7" i="56"/>
  <c r="AR62" i="52"/>
  <c r="AT62" i="52" s="1"/>
  <c r="AE7" i="56"/>
  <c r="Y7" i="56"/>
  <c r="AJ7" i="56"/>
  <c r="AR67" i="52"/>
  <c r="AT67" i="52" s="1"/>
  <c r="AO7" i="56"/>
  <c r="AR61" i="52"/>
  <c r="AT61" i="52" s="1"/>
  <c r="X7" i="56"/>
  <c r="AR66" i="52"/>
  <c r="AT66" i="52" s="1"/>
  <c r="AG7" i="56"/>
  <c r="AP7" i="56"/>
  <c r="AD7" i="56"/>
  <c r="AN7" i="56"/>
  <c r="W7" i="56"/>
  <c r="AR65" i="52"/>
  <c r="AT65" i="52" s="1"/>
  <c r="AI7" i="56"/>
  <c r="AS64" i="52"/>
  <c r="AS65" i="52"/>
  <c r="AR70" i="52"/>
  <c r="AT70" i="52" s="1"/>
  <c r="AR64" i="52"/>
  <c r="AT64" i="52" s="1"/>
  <c r="AS68" i="52"/>
  <c r="BN7" i="56" s="1"/>
  <c r="BN37" i="56" s="1"/>
  <c r="BN39" i="56" s="1"/>
  <c r="AS62" i="52"/>
  <c r="AR69" i="52"/>
  <c r="AT69" i="52" s="1"/>
  <c r="AR63" i="52"/>
  <c r="AT63" i="52" s="1"/>
  <c r="AS67" i="52"/>
  <c r="AS61" i="52"/>
  <c r="AS66" i="52"/>
  <c r="AF6" i="52" l="1"/>
  <c r="BG7" i="56"/>
  <c r="BG37" i="56" s="1"/>
  <c r="BG39" i="56" s="1"/>
  <c r="AG6" i="52"/>
  <c r="BH7" i="56"/>
  <c r="AG37" i="56"/>
  <c r="AG39" i="56" s="1"/>
  <c r="CG10" i="56"/>
  <c r="CG16" i="56"/>
  <c r="CG22" i="56"/>
  <c r="CG28" i="56"/>
  <c r="CG34" i="56"/>
  <c r="CG11" i="56"/>
  <c r="CG17" i="56"/>
  <c r="CG23" i="56"/>
  <c r="CG29" i="56"/>
  <c r="CG35" i="56"/>
  <c r="CG12" i="56"/>
  <c r="CG18" i="56"/>
  <c r="CG24" i="56"/>
  <c r="CG30" i="56"/>
  <c r="CG36" i="56"/>
  <c r="CG13" i="56"/>
  <c r="CG19" i="56"/>
  <c r="CG25" i="56"/>
  <c r="CG31" i="56"/>
  <c r="CG8" i="56"/>
  <c r="CG14" i="56"/>
  <c r="CG20" i="56"/>
  <c r="CG26" i="56"/>
  <c r="CG32" i="56"/>
  <c r="BF7" i="56"/>
  <c r="CG9" i="56"/>
  <c r="CG15" i="56"/>
  <c r="CG27" i="56"/>
  <c r="CG33" i="56"/>
  <c r="CG21" i="56"/>
  <c r="AD37" i="56"/>
  <c r="AD39" i="56" s="1"/>
  <c r="Y37" i="56"/>
  <c r="Y39" i="56" s="1"/>
  <c r="DA9" i="56"/>
  <c r="DA15" i="56"/>
  <c r="DA21" i="56"/>
  <c r="DA27" i="56"/>
  <c r="DA33" i="56"/>
  <c r="DA10" i="56"/>
  <c r="DA16" i="56"/>
  <c r="DA22" i="56"/>
  <c r="DA28" i="56"/>
  <c r="DA34" i="56"/>
  <c r="DA11" i="56"/>
  <c r="DA17" i="56"/>
  <c r="DA23" i="56"/>
  <c r="DA29" i="56"/>
  <c r="DA35" i="56"/>
  <c r="DA12" i="56"/>
  <c r="DA18" i="56"/>
  <c r="DA24" i="56"/>
  <c r="DA30" i="56"/>
  <c r="DA36" i="56"/>
  <c r="DA13" i="56"/>
  <c r="DA19" i="56"/>
  <c r="DA25" i="56"/>
  <c r="DA31" i="56"/>
  <c r="DA14" i="56"/>
  <c r="DA20" i="56"/>
  <c r="DA32" i="56"/>
  <c r="DA8" i="56"/>
  <c r="DA26" i="56"/>
  <c r="BM7" i="56"/>
  <c r="AN37" i="56"/>
  <c r="AN39" i="56" s="1"/>
  <c r="AP37" i="56"/>
  <c r="AP39" i="56" s="1"/>
  <c r="DE10" i="56"/>
  <c r="DE16" i="56"/>
  <c r="DE22" i="56"/>
  <c r="DE28" i="56"/>
  <c r="DE34" i="56"/>
  <c r="DE11" i="56"/>
  <c r="DE17" i="56"/>
  <c r="DE23" i="56"/>
  <c r="DE29" i="56"/>
  <c r="DE35" i="56"/>
  <c r="DE12" i="56"/>
  <c r="DE18" i="56"/>
  <c r="DE24" i="56"/>
  <c r="DE30" i="56"/>
  <c r="DE36" i="56"/>
  <c r="DE13" i="56"/>
  <c r="DE19" i="56"/>
  <c r="DE25" i="56"/>
  <c r="DE31" i="56"/>
  <c r="DE8" i="56"/>
  <c r="DE14" i="56"/>
  <c r="DE20" i="56"/>
  <c r="DE26" i="56"/>
  <c r="DE32" i="56"/>
  <c r="BO7" i="56"/>
  <c r="DE9" i="56"/>
  <c r="DE15" i="56"/>
  <c r="DE27" i="56"/>
  <c r="DE33" i="56"/>
  <c r="DE21" i="56"/>
  <c r="AI37" i="56"/>
  <c r="AI39" i="56" s="1"/>
  <c r="AM37" i="56"/>
  <c r="AM39" i="56" s="1"/>
  <c r="CK11" i="56"/>
  <c r="CK17" i="56"/>
  <c r="CK23" i="56"/>
  <c r="CK29" i="56"/>
  <c r="CK35" i="56"/>
  <c r="CK12" i="56"/>
  <c r="CK18" i="56"/>
  <c r="CK24" i="56"/>
  <c r="CK30" i="56"/>
  <c r="CK36" i="56"/>
  <c r="CK13" i="56"/>
  <c r="CK19" i="56"/>
  <c r="CK25" i="56"/>
  <c r="CK31" i="56"/>
  <c r="CK8" i="56"/>
  <c r="CK14" i="56"/>
  <c r="CK20" i="56"/>
  <c r="CK26" i="56"/>
  <c r="CK32" i="56"/>
  <c r="BI7" i="56"/>
  <c r="CK9" i="56"/>
  <c r="CK15" i="56"/>
  <c r="CK21" i="56"/>
  <c r="CK27" i="56"/>
  <c r="CK33" i="56"/>
  <c r="CK34" i="56"/>
  <c r="CK28" i="56"/>
  <c r="CK16" i="56"/>
  <c r="CK22" i="56"/>
  <c r="CK10" i="56"/>
  <c r="AO37" i="56"/>
  <c r="AO39" i="56" s="1"/>
  <c r="AJ37" i="56"/>
  <c r="AJ39" i="56" s="1"/>
  <c r="AQ37" i="56"/>
  <c r="AQ39" i="56" s="1"/>
  <c r="Z37" i="56"/>
  <c r="Z39" i="56" s="1"/>
  <c r="AK37" i="56"/>
  <c r="AK39" i="56" s="1"/>
  <c r="AH37" i="56"/>
  <c r="AH39" i="56" s="1"/>
  <c r="AF37" i="56"/>
  <c r="AF39" i="56" s="1"/>
  <c r="CO12" i="56"/>
  <c r="CO18" i="56"/>
  <c r="CO24" i="56"/>
  <c r="CO30" i="56"/>
  <c r="CO36" i="56"/>
  <c r="CO13" i="56"/>
  <c r="CO19" i="56"/>
  <c r="CO25" i="56"/>
  <c r="CO31" i="56"/>
  <c r="CO8" i="56"/>
  <c r="CO14" i="56"/>
  <c r="CO20" i="56"/>
  <c r="CO26" i="56"/>
  <c r="CO32" i="56"/>
  <c r="BJ7" i="56"/>
  <c r="BJ37" i="56" s="1"/>
  <c r="BJ39" i="56" s="1"/>
  <c r="CO9" i="56"/>
  <c r="CO15" i="56"/>
  <c r="CO21" i="56"/>
  <c r="CO27" i="56"/>
  <c r="CO33" i="56"/>
  <c r="CO10" i="56"/>
  <c r="CO16" i="56"/>
  <c r="CO22" i="56"/>
  <c r="CO28" i="56"/>
  <c r="CO34" i="56"/>
  <c r="CO29" i="56"/>
  <c r="CO35" i="56"/>
  <c r="CO11" i="56"/>
  <c r="CO17" i="56"/>
  <c r="CO23" i="56"/>
  <c r="CS13" i="56"/>
  <c r="CS19" i="56"/>
  <c r="CS25" i="56"/>
  <c r="CS31" i="56"/>
  <c r="CS8" i="56"/>
  <c r="CS14" i="56"/>
  <c r="CS20" i="56"/>
  <c r="CS26" i="56"/>
  <c r="CS32" i="56"/>
  <c r="BK7" i="56"/>
  <c r="CS9" i="56"/>
  <c r="CS15" i="56"/>
  <c r="CS21" i="56"/>
  <c r="CS27" i="56"/>
  <c r="CS33" i="56"/>
  <c r="CS10" i="56"/>
  <c r="CS16" i="56"/>
  <c r="CS22" i="56"/>
  <c r="CS28" i="56"/>
  <c r="CS34" i="56"/>
  <c r="CS11" i="56"/>
  <c r="CS17" i="56"/>
  <c r="CS23" i="56"/>
  <c r="CS29" i="56"/>
  <c r="CS35" i="56"/>
  <c r="CS24" i="56"/>
  <c r="CS30" i="56"/>
  <c r="CS36" i="56"/>
  <c r="CS12" i="56"/>
  <c r="CS18" i="56"/>
  <c r="AC6" i="52"/>
  <c r="W37" i="56"/>
  <c r="W39" i="56" s="1"/>
  <c r="AL37" i="56"/>
  <c r="AL39" i="56" s="1"/>
  <c r="AA37" i="56"/>
  <c r="AA39" i="56" s="1"/>
  <c r="AE37" i="56"/>
  <c r="AE39" i="56" s="1"/>
  <c r="CW8" i="56"/>
  <c r="CW14" i="56"/>
  <c r="CW20" i="56"/>
  <c r="CW26" i="56"/>
  <c r="CW32" i="56"/>
  <c r="BL7" i="56"/>
  <c r="CW9" i="56"/>
  <c r="CW15" i="56"/>
  <c r="CW21" i="56"/>
  <c r="CW27" i="56"/>
  <c r="CW33" i="56"/>
  <c r="CW10" i="56"/>
  <c r="CW16" i="56"/>
  <c r="CW22" i="56"/>
  <c r="CW28" i="56"/>
  <c r="CW34" i="56"/>
  <c r="CW11" i="56"/>
  <c r="CW17" i="56"/>
  <c r="CW23" i="56"/>
  <c r="CW29" i="56"/>
  <c r="CW35" i="56"/>
  <c r="CW12" i="56"/>
  <c r="CW18" i="56"/>
  <c r="CW24" i="56"/>
  <c r="CW30" i="56"/>
  <c r="CW36" i="56"/>
  <c r="CW19" i="56"/>
  <c r="CW25" i="56"/>
  <c r="CW13" i="56"/>
  <c r="CW31" i="56"/>
  <c r="AB37" i="56"/>
  <c r="AB39" i="56" s="1"/>
  <c r="AX30" i="52"/>
  <c r="AX31" i="52" s="1"/>
  <c r="AW30" i="52"/>
  <c r="AU30" i="52"/>
  <c r="AS30" i="52"/>
  <c r="AZ30" i="52"/>
  <c r="AZ31" i="52" s="1"/>
  <c r="AR30" i="52"/>
  <c r="AP30" i="52"/>
  <c r="AN30" i="52"/>
  <c r="D4" i="57" s="1"/>
  <c r="D34" i="57" s="1"/>
  <c r="AL30" i="52"/>
  <c r="AN31" i="52" l="1"/>
  <c r="X37" i="56"/>
  <c r="X39" i="56" s="1"/>
  <c r="AL31" i="52"/>
  <c r="C4" i="57"/>
  <c r="AU31" i="52"/>
  <c r="H4" i="57"/>
  <c r="H34" i="57" s="1"/>
  <c r="AP31" i="52"/>
  <c r="E4" i="57"/>
  <c r="E34" i="57" s="1"/>
  <c r="AW31" i="52"/>
  <c r="I4" i="57"/>
  <c r="I34" i="57" s="1"/>
  <c r="AR31" i="52"/>
  <c r="F4" i="57"/>
  <c r="F34" i="57" s="1"/>
  <c r="AS31" i="52"/>
  <c r="G4" i="57"/>
  <c r="G34" i="57" s="1"/>
  <c r="BO37" i="56"/>
  <c r="BO39" i="56" s="1"/>
  <c r="DE7" i="56"/>
  <c r="DE37" i="56" s="1"/>
  <c r="DE39" i="56" s="1"/>
  <c r="BF37" i="56"/>
  <c r="BF39" i="56" s="1"/>
  <c r="CG7" i="56"/>
  <c r="CG37" i="56" s="1"/>
  <c r="CG39" i="56" s="1"/>
  <c r="CS7" i="56"/>
  <c r="CS37" i="56" s="1"/>
  <c r="CS39" i="56" s="1"/>
  <c r="BK37" i="56"/>
  <c r="BK39" i="56" s="1"/>
  <c r="CK7" i="56"/>
  <c r="CK37" i="56" s="1"/>
  <c r="CK39" i="56" s="1"/>
  <c r="BI37" i="56"/>
  <c r="BI39" i="56" s="1"/>
  <c r="DA7" i="56"/>
  <c r="DA37" i="56" s="1"/>
  <c r="DA39" i="56" s="1"/>
  <c r="BM37" i="56"/>
  <c r="BM39" i="56" s="1"/>
  <c r="CO7" i="56"/>
  <c r="CO37" i="56" s="1"/>
  <c r="CO39" i="56" s="1"/>
  <c r="BL37" i="56"/>
  <c r="BL39" i="56" s="1"/>
  <c r="CW7" i="56"/>
  <c r="CW37" i="56" s="1"/>
  <c r="CW39" i="56" s="1"/>
  <c r="BA2" i="52"/>
  <c r="C34" i="57" l="1"/>
  <c r="O4" i="57"/>
  <c r="O4" i="52"/>
  <c r="N4" i="52"/>
  <c r="O34" i="57" l="1"/>
  <c r="N4" i="57"/>
  <c r="H2" i="52"/>
  <c r="N2" i="52"/>
  <c r="AN13" i="52" l="1"/>
  <c r="H6" i="52" l="1"/>
  <c r="I6" i="52"/>
  <c r="C6" i="52"/>
  <c r="D6" i="52"/>
  <c r="E6" i="52"/>
  <c r="F6" i="52"/>
  <c r="G6" i="52"/>
  <c r="J6" i="52"/>
  <c r="N6" i="52" l="1"/>
  <c r="AZ13" i="52" l="1"/>
  <c r="AZ12" i="52"/>
  <c r="S7" i="56" s="1"/>
  <c r="AR13" i="52"/>
  <c r="AR12" i="52"/>
  <c r="AL13" i="52"/>
  <c r="AL12" i="52"/>
  <c r="J7" i="56" l="1"/>
  <c r="J37" i="56" s="1"/>
  <c r="O7" i="56"/>
  <c r="E7" i="56"/>
  <c r="AV10" i="52"/>
  <c r="AZ10" i="52"/>
  <c r="O37" i="56" l="1"/>
  <c r="S37" i="56"/>
  <c r="E37" i="56"/>
  <c r="Q7" i="56"/>
  <c r="AX13" i="52"/>
  <c r="N7" i="56" s="1"/>
  <c r="N37" i="56" s="1"/>
  <c r="AV13" i="52"/>
  <c r="AT13" i="52"/>
  <c r="AP13" i="52"/>
  <c r="AX12" i="52"/>
  <c r="R7" i="56" s="1"/>
  <c r="R37" i="56" s="1"/>
  <c r="AV12" i="52"/>
  <c r="AT12" i="52"/>
  <c r="AP12" i="52"/>
  <c r="I7" i="56" s="1"/>
  <c r="I37" i="56" s="1"/>
  <c r="AZ11" i="52"/>
  <c r="AX11" i="52"/>
  <c r="L7" i="56" s="1"/>
  <c r="L37" i="56" s="1"/>
  <c r="AV11" i="52"/>
  <c r="AT11" i="52"/>
  <c r="AR11" i="52"/>
  <c r="AP11" i="52"/>
  <c r="AN11" i="52"/>
  <c r="AL11" i="52"/>
  <c r="AX10" i="52"/>
  <c r="P7" i="56" s="1"/>
  <c r="P37" i="56" s="1"/>
  <c r="AT10" i="52"/>
  <c r="AR10" i="52"/>
  <c r="AP10" i="52"/>
  <c r="G7" i="56" s="1"/>
  <c r="G37" i="56" s="1"/>
  <c r="AN10" i="52"/>
  <c r="AL10" i="52"/>
  <c r="R39" i="56" l="1"/>
  <c r="C7" i="56"/>
  <c r="C37" i="56" s="1"/>
  <c r="N39" i="56"/>
  <c r="I39" i="56"/>
  <c r="Q37" i="56"/>
  <c r="S39" i="56" s="1"/>
  <c r="H8" i="56"/>
  <c r="H7" i="56"/>
  <c r="B7" i="56"/>
  <c r="B16" i="56"/>
  <c r="M7" i="56"/>
  <c r="AN14" i="52"/>
  <c r="AV14" i="52"/>
  <c r="AL14" i="52"/>
  <c r="AX14" i="52"/>
  <c r="AP14" i="52"/>
  <c r="BB13" i="52"/>
  <c r="BD11" i="52"/>
  <c r="AT14" i="52"/>
  <c r="BB11" i="52"/>
  <c r="BB12" i="52"/>
  <c r="BB10" i="52"/>
  <c r="BD10" i="52"/>
  <c r="AT72" i="52"/>
  <c r="AQ72" i="52"/>
  <c r="AP72" i="52"/>
  <c r="AN72" i="52"/>
  <c r="AM72" i="52"/>
  <c r="H37" i="56" l="1"/>
  <c r="J39" i="56" s="1"/>
  <c r="B37" i="56"/>
  <c r="D39" i="56" s="1"/>
  <c r="M37" i="56"/>
  <c r="O39" i="56" s="1"/>
  <c r="AB6" i="52"/>
  <c r="BB14" i="52"/>
  <c r="Y6" i="52"/>
  <c r="AE6" i="52"/>
  <c r="AS72" i="52"/>
  <c r="AA6" i="52"/>
  <c r="AZ23" i="52"/>
  <c r="AX23" i="52"/>
  <c r="AZ22" i="52"/>
  <c r="AX22" i="52"/>
  <c r="AT21" i="52"/>
  <c r="AP21" i="52"/>
  <c r="AL21" i="52"/>
  <c r="AT20" i="52"/>
  <c r="AP20" i="52"/>
  <c r="AL20" i="52"/>
  <c r="AR21" i="52" l="1"/>
  <c r="AV21" i="52"/>
  <c r="AV20" i="52"/>
  <c r="AR20" i="52"/>
  <c r="AL24" i="52"/>
  <c r="AL15" i="52" s="1"/>
  <c r="AR14" i="52"/>
  <c r="AZ14" i="52"/>
  <c r="AX21" i="52"/>
  <c r="AN21" i="52"/>
  <c r="AP24" i="52"/>
  <c r="AP15" i="52" s="1"/>
  <c r="AT24" i="52"/>
  <c r="AX15" i="52" s="1"/>
  <c r="AN20" i="52"/>
  <c r="AX20" i="52"/>
  <c r="DI11" i="56" l="1"/>
  <c r="DI17" i="56"/>
  <c r="DI23" i="56"/>
  <c r="DI29" i="56"/>
  <c r="DI35" i="56"/>
  <c r="DI12" i="56"/>
  <c r="DI18" i="56"/>
  <c r="DI24" i="56"/>
  <c r="DI30" i="56"/>
  <c r="DI36" i="56"/>
  <c r="DI10" i="56"/>
  <c r="DI20" i="56"/>
  <c r="DI28" i="56"/>
  <c r="DI13" i="56"/>
  <c r="DI21" i="56"/>
  <c r="DI31" i="56"/>
  <c r="DI16" i="56"/>
  <c r="DI8" i="56"/>
  <c r="DI22" i="56"/>
  <c r="DI34" i="56"/>
  <c r="DI26" i="56"/>
  <c r="DI27" i="56"/>
  <c r="DI33" i="56"/>
  <c r="DI9" i="56"/>
  <c r="DI25" i="56"/>
  <c r="DI14" i="56"/>
  <c r="DI15" i="56"/>
  <c r="DI32" i="56"/>
  <c r="DI19" i="56"/>
  <c r="AV24" i="52"/>
  <c r="AZ15" i="52" s="1"/>
  <c r="S6" i="52" s="1"/>
  <c r="AR24" i="52"/>
  <c r="AR15" i="52" s="1"/>
  <c r="T6" i="52" s="1"/>
  <c r="BD13" i="52"/>
  <c r="AZ21" i="52"/>
  <c r="H3" i="52" s="1"/>
  <c r="BD12" i="52"/>
  <c r="AX24" i="52"/>
  <c r="AZ20" i="52"/>
  <c r="N3" i="52" s="1"/>
  <c r="AN24" i="52"/>
  <c r="AN15" i="52" s="1"/>
  <c r="R6" i="52" l="1"/>
  <c r="BB7" i="56"/>
  <c r="BD7" i="56"/>
  <c r="BD37" i="56" s="1"/>
  <c r="BC7" i="56"/>
  <c r="BC37" i="56" s="1"/>
  <c r="BC39" i="56" s="1"/>
  <c r="DN15" i="56"/>
  <c r="DR15" i="56" s="1"/>
  <c r="DM15" i="56"/>
  <c r="DM26" i="56"/>
  <c r="DN26" i="56"/>
  <c r="DR26" i="56" s="1"/>
  <c r="DM11" i="56"/>
  <c r="DN11" i="56"/>
  <c r="DR11" i="56" s="1"/>
  <c r="DM29" i="56"/>
  <c r="DN29" i="56"/>
  <c r="DR29" i="56" s="1"/>
  <c r="DM36" i="56"/>
  <c r="DN36" i="56"/>
  <c r="DR36" i="56" s="1"/>
  <c r="DM28" i="56"/>
  <c r="DN28" i="56"/>
  <c r="DR28" i="56" s="1"/>
  <c r="DN30" i="56"/>
  <c r="DR30" i="56" s="1"/>
  <c r="DM30" i="56"/>
  <c r="DM16" i="56"/>
  <c r="DN16" i="56"/>
  <c r="DR16" i="56" s="1"/>
  <c r="DN25" i="56"/>
  <c r="DR25" i="56" s="1"/>
  <c r="DM25" i="56"/>
  <c r="DN34" i="56"/>
  <c r="DR34" i="56" s="1"/>
  <c r="DM34" i="56"/>
  <c r="DM22" i="56"/>
  <c r="DN22" i="56"/>
  <c r="DR22" i="56" s="1"/>
  <c r="DM21" i="56"/>
  <c r="DN21" i="56"/>
  <c r="DR21" i="56" s="1"/>
  <c r="DM9" i="56"/>
  <c r="DN9" i="56"/>
  <c r="DR9" i="56" s="1"/>
  <c r="DM33" i="56"/>
  <c r="DN33" i="56"/>
  <c r="DR33" i="56" s="1"/>
  <c r="DN19" i="56"/>
  <c r="DR19" i="56" s="1"/>
  <c r="DM19" i="56"/>
  <c r="DM12" i="56"/>
  <c r="DN12" i="56"/>
  <c r="DR12" i="56" s="1"/>
  <c r="DN17" i="56"/>
  <c r="DR17" i="56" s="1"/>
  <c r="DM17" i="56"/>
  <c r="DM27" i="56"/>
  <c r="DN27" i="56"/>
  <c r="DR27" i="56" s="1"/>
  <c r="DN14" i="56"/>
  <c r="DR14" i="56" s="1"/>
  <c r="DM14" i="56"/>
  <c r="DM31" i="56"/>
  <c r="DN31" i="56"/>
  <c r="DR31" i="56" s="1"/>
  <c r="DN24" i="56"/>
  <c r="DR24" i="56" s="1"/>
  <c r="DM24" i="56"/>
  <c r="DN10" i="56"/>
  <c r="DR10" i="56" s="1"/>
  <c r="DM10" i="56"/>
  <c r="DN8" i="56"/>
  <c r="DR8" i="56" s="1"/>
  <c r="DM8" i="56"/>
  <c r="DN18" i="56"/>
  <c r="DR18" i="56" s="1"/>
  <c r="DM18" i="56"/>
  <c r="DM35" i="56"/>
  <c r="DN35" i="56"/>
  <c r="DR35" i="56" s="1"/>
  <c r="DN20" i="56"/>
  <c r="DR20" i="56" s="1"/>
  <c r="DM20" i="56"/>
  <c r="DN32" i="56"/>
  <c r="DR32" i="56" s="1"/>
  <c r="DM32" i="56"/>
  <c r="DM23" i="56"/>
  <c r="DN23" i="56"/>
  <c r="DR23" i="56" s="1"/>
  <c r="DM13" i="56"/>
  <c r="DN13" i="56"/>
  <c r="DR13" i="56" s="1"/>
  <c r="BD14" i="52"/>
  <c r="BD15" i="52"/>
  <c r="BB15" i="52"/>
  <c r="AZ24" i="52"/>
  <c r="AS2" i="52"/>
  <c r="AL2" i="52"/>
  <c r="BB37" i="56" l="1"/>
  <c r="BB39" i="56" s="1"/>
  <c r="DM7" i="56"/>
  <c r="DN7" i="56"/>
  <c r="DR7" i="56" s="1"/>
  <c r="DR37" i="56" s="1"/>
  <c r="DR39" i="56" s="1"/>
  <c r="DI7" i="56"/>
  <c r="DI37" i="56" s="1"/>
  <c r="DI39" i="56" s="1"/>
  <c r="DM37" i="56"/>
  <c r="DM39" i="56" s="1"/>
  <c r="BD39" i="56"/>
  <c r="BD16" i="52"/>
  <c r="BB65" i="52"/>
  <c r="BB64" i="52"/>
  <c r="BB63" i="52"/>
  <c r="BB62" i="52"/>
  <c r="BB61" i="52"/>
  <c r="BB60" i="52"/>
  <c r="AQ60" i="52"/>
  <c r="AP60" i="52"/>
  <c r="U7" i="56" s="1"/>
  <c r="AN60" i="52"/>
  <c r="AM60" i="52"/>
  <c r="BB59" i="52"/>
  <c r="AQ57" i="52"/>
  <c r="AN57" i="52"/>
  <c r="AQ56" i="52"/>
  <c r="AP56" i="52"/>
  <c r="AN56" i="52"/>
  <c r="AM56" i="52"/>
  <c r="AQ55" i="52"/>
  <c r="AP55" i="52"/>
  <c r="AN55" i="52"/>
  <c r="AM55" i="52"/>
  <c r="AQ54" i="52"/>
  <c r="AP54" i="52"/>
  <c r="AN54" i="52"/>
  <c r="AM54" i="52"/>
  <c r="AQ53" i="52"/>
  <c r="AP53" i="52"/>
  <c r="AN53" i="52"/>
  <c r="AM53" i="52"/>
  <c r="DN37" i="56" l="1"/>
  <c r="DN39" i="56" s="1"/>
  <c r="V7" i="56"/>
  <c r="AZ72" i="52"/>
  <c r="C2" i="52" s="1"/>
  <c r="P6" i="52" s="1"/>
  <c r="AR60" i="52"/>
  <c r="AN58" i="52"/>
  <c r="AM73" i="52"/>
  <c r="BP7" i="56" s="1"/>
  <c r="BP37" i="56" s="1"/>
  <c r="BP39" i="56" s="1"/>
  <c r="AN73" i="52"/>
  <c r="BQ7" i="56" s="1"/>
  <c r="BQ37" i="56" s="1"/>
  <c r="BQ39" i="56" s="1"/>
  <c r="AS57" i="52"/>
  <c r="AP73" i="52"/>
  <c r="BR7" i="56" s="1"/>
  <c r="AS55" i="52"/>
  <c r="AS56" i="52"/>
  <c r="AM58" i="52"/>
  <c r="AP58" i="52"/>
  <c r="AS54" i="52"/>
  <c r="AQ58" i="52"/>
  <c r="AO60" i="52"/>
  <c r="AQ73" i="52"/>
  <c r="BS7" i="56" s="1"/>
  <c r="W6" i="52"/>
  <c r="AS60" i="52"/>
  <c r="AS53" i="52"/>
  <c r="U6" i="52" l="1"/>
  <c r="CC9" i="56"/>
  <c r="DQ9" i="56" s="1"/>
  <c r="DS9" i="56" s="1"/>
  <c r="CC15" i="56"/>
  <c r="DQ15" i="56" s="1"/>
  <c r="DS15" i="56" s="1"/>
  <c r="CC21" i="56"/>
  <c r="DQ21" i="56" s="1"/>
  <c r="DS21" i="56" s="1"/>
  <c r="CC27" i="56"/>
  <c r="DQ27" i="56" s="1"/>
  <c r="DS27" i="56" s="1"/>
  <c r="CC33" i="56"/>
  <c r="DQ33" i="56" s="1"/>
  <c r="DS33" i="56" s="1"/>
  <c r="CC10" i="56"/>
  <c r="DQ10" i="56" s="1"/>
  <c r="DS10" i="56" s="1"/>
  <c r="CC16" i="56"/>
  <c r="DQ16" i="56" s="1"/>
  <c r="DS16" i="56" s="1"/>
  <c r="CC22" i="56"/>
  <c r="DQ22" i="56" s="1"/>
  <c r="DS22" i="56" s="1"/>
  <c r="CC28" i="56"/>
  <c r="DQ28" i="56" s="1"/>
  <c r="DS28" i="56" s="1"/>
  <c r="CC34" i="56"/>
  <c r="DQ34" i="56" s="1"/>
  <c r="DS34" i="56" s="1"/>
  <c r="CC11" i="56"/>
  <c r="DQ11" i="56" s="1"/>
  <c r="DS11" i="56" s="1"/>
  <c r="CC17" i="56"/>
  <c r="DQ17" i="56" s="1"/>
  <c r="DS17" i="56" s="1"/>
  <c r="CC23" i="56"/>
  <c r="DQ23" i="56" s="1"/>
  <c r="DS23" i="56" s="1"/>
  <c r="CC29" i="56"/>
  <c r="DQ29" i="56" s="1"/>
  <c r="DS29" i="56" s="1"/>
  <c r="CC35" i="56"/>
  <c r="DQ35" i="56" s="1"/>
  <c r="DS35" i="56" s="1"/>
  <c r="CC12" i="56"/>
  <c r="DQ12" i="56" s="1"/>
  <c r="DS12" i="56" s="1"/>
  <c r="CC18" i="56"/>
  <c r="DQ18" i="56" s="1"/>
  <c r="DS18" i="56" s="1"/>
  <c r="CC30" i="56"/>
  <c r="DQ30" i="56" s="1"/>
  <c r="DS30" i="56" s="1"/>
  <c r="CC36" i="56"/>
  <c r="DQ36" i="56" s="1"/>
  <c r="DS36" i="56" s="1"/>
  <c r="CC13" i="56"/>
  <c r="DQ13" i="56" s="1"/>
  <c r="DS13" i="56" s="1"/>
  <c r="CC19" i="56"/>
  <c r="DQ19" i="56" s="1"/>
  <c r="DS19" i="56" s="1"/>
  <c r="CC25" i="56"/>
  <c r="DQ25" i="56" s="1"/>
  <c r="DS25" i="56" s="1"/>
  <c r="CC31" i="56"/>
  <c r="DQ31" i="56" s="1"/>
  <c r="DS31" i="56" s="1"/>
  <c r="CC8" i="56"/>
  <c r="DQ8" i="56" s="1"/>
  <c r="DS8" i="56" s="1"/>
  <c r="BE7" i="56"/>
  <c r="BT7" i="56" s="1"/>
  <c r="CC14" i="56"/>
  <c r="DQ14" i="56" s="1"/>
  <c r="DS14" i="56" s="1"/>
  <c r="CC26" i="56"/>
  <c r="DQ26" i="56" s="1"/>
  <c r="DS26" i="56" s="1"/>
  <c r="CC32" i="56"/>
  <c r="DQ32" i="56" s="1"/>
  <c r="DS32" i="56" s="1"/>
  <c r="CC20" i="56"/>
  <c r="DQ20" i="56" s="1"/>
  <c r="DS20" i="56" s="1"/>
  <c r="BW37" i="56"/>
  <c r="BW39" i="56" s="1"/>
  <c r="U37" i="56"/>
  <c r="U39" i="56" s="1"/>
  <c r="AR73" i="52"/>
  <c r="AZ68" i="52"/>
  <c r="BC68" i="52"/>
  <c r="AS58" i="52"/>
  <c r="BA54" i="52"/>
  <c r="BA55" i="52" s="1"/>
  <c r="AS73" i="52"/>
  <c r="AO73" i="52"/>
  <c r="AT60" i="52"/>
  <c r="BY12" i="56" l="1"/>
  <c r="BZ12" i="56" s="1"/>
  <c r="BR37" i="56"/>
  <c r="BR39" i="56" s="1"/>
  <c r="CC7" i="56"/>
  <c r="DQ7" i="56" s="1"/>
  <c r="AT73" i="52"/>
  <c r="AZ73" i="52" s="1"/>
  <c r="BC54" i="52"/>
  <c r="BC55" i="52" s="1"/>
  <c r="AZ71" i="52" s="1"/>
  <c r="BY13" i="56" l="1"/>
  <c r="BZ13" i="56" s="1"/>
  <c r="DS7" i="56" l="1"/>
  <c r="BY14" i="56"/>
  <c r="BZ14" i="56" s="1"/>
  <c r="BY15" i="56" l="1"/>
  <c r="BZ15" i="56" s="1"/>
  <c r="BY16" i="56" l="1"/>
  <c r="BZ16" i="56" s="1"/>
  <c r="BY17" i="56" l="1"/>
  <c r="BZ17" i="56" s="1"/>
  <c r="BY18" i="56" l="1"/>
  <c r="BZ18" i="56" s="1"/>
  <c r="BY19" i="56" l="1"/>
  <c r="BZ19" i="56" s="1"/>
  <c r="BY20" i="56" l="1"/>
  <c r="BZ20" i="56" s="1"/>
  <c r="BY21" i="56" l="1"/>
  <c r="BZ21" i="56" s="1"/>
  <c r="BY22" i="56" l="1"/>
  <c r="BZ22" i="56" s="1"/>
  <c r="BY23" i="56" l="1"/>
  <c r="BZ23" i="56" s="1"/>
  <c r="BY24" i="56" l="1"/>
  <c r="BZ24" i="56" s="1"/>
  <c r="BY25" i="56" l="1"/>
  <c r="BZ25" i="56" s="1"/>
  <c r="BY26" i="56" l="1"/>
  <c r="BZ26" i="56" s="1"/>
  <c r="BY27" i="56" l="1"/>
  <c r="BZ27" i="56" s="1"/>
  <c r="BY28" i="56" l="1"/>
  <c r="BZ28" i="56" s="1"/>
  <c r="BY29" i="56" l="1"/>
  <c r="BZ29" i="56" s="1"/>
  <c r="BY30" i="56" l="1"/>
  <c r="BZ30" i="56" s="1"/>
  <c r="BY31" i="56" l="1"/>
  <c r="BZ31" i="56" s="1"/>
  <c r="BY32" i="56" l="1"/>
  <c r="BZ32" i="56" s="1"/>
  <c r="BY33" i="56" l="1"/>
  <c r="BZ33" i="56" s="1"/>
  <c r="BY34" i="56" l="1"/>
  <c r="BZ34" i="56" s="1"/>
  <c r="BY35" i="56" l="1"/>
  <c r="BZ35" i="56" s="1"/>
  <c r="BY36" i="56" l="1"/>
  <c r="BZ36" i="56" s="1"/>
  <c r="BX37" i="56" l="1"/>
  <c r="BX39" i="56" s="1"/>
  <c r="N2" i="106"/>
  <c r="N3" i="106"/>
  <c r="AT10" i="106"/>
  <c r="BB10" i="106" s="1"/>
  <c r="AV10" i="106"/>
  <c r="AV14" i="106" s="1"/>
  <c r="AQ60" i="106"/>
  <c r="V24" i="56" s="1"/>
  <c r="V37" i="56" s="1"/>
  <c r="V39" i="56" s="1"/>
  <c r="BD10" i="106" l="1"/>
  <c r="BD14" i="106" s="1"/>
  <c r="BD16" i="106" s="1"/>
  <c r="AZ72" i="106" s="1"/>
  <c r="C2" i="106" s="1"/>
  <c r="P6" i="106" s="1"/>
  <c r="AT14" i="106"/>
  <c r="BB14" i="106" s="1"/>
  <c r="AR60" i="106"/>
  <c r="AQ73" i="106"/>
  <c r="BC68" i="106" s="1"/>
  <c r="AS60" i="106"/>
  <c r="BE24" i="56" l="1"/>
  <c r="BT24" i="56" s="1"/>
  <c r="BT37" i="56" s="1"/>
  <c r="U6" i="106"/>
  <c r="AS73" i="106"/>
  <c r="AR73" i="106"/>
  <c r="AT60" i="106"/>
  <c r="AT73" i="106" s="1"/>
  <c r="AZ73" i="106" s="1"/>
  <c r="BS24" i="56" l="1"/>
  <c r="BS37" i="56" s="1"/>
  <c r="BE37" i="56"/>
  <c r="BE39" i="56" s="1"/>
  <c r="CC24" i="56"/>
  <c r="DQ24" i="56" l="1"/>
  <c r="CC37" i="56"/>
  <c r="CC39" i="56" s="1"/>
  <c r="BS39" i="56"/>
  <c r="BT39" i="56"/>
  <c r="DS24" i="56" l="1"/>
  <c r="DS37" i="56" s="1"/>
  <c r="DQ37" i="56"/>
  <c r="DQ39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C68" authorId="0" shapeId="0" xr:uid="{67513D66-57FE-4416-A7CD-F90F577C2A15}">
      <text>
        <r>
          <rPr>
            <b/>
            <sz val="45"/>
            <color indexed="81"/>
            <rFont val="돋움"/>
            <family val="3"/>
            <charset val="129"/>
          </rPr>
          <t>결제 8월3일 새벽3시 경에 되었으나. 매출은 8월 3일 일요일로 올라감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69" authorId="0" shapeId="0" xr:uid="{16F8DCB2-6DCF-4634-8211-BC45D7D1C53A}">
      <text>
        <r>
          <rPr>
            <b/>
            <sz val="48"/>
            <color indexed="81"/>
            <rFont val="Tahoma"/>
            <family val="2"/>
          </rPr>
          <t>8</t>
        </r>
        <r>
          <rPr>
            <b/>
            <sz val="48"/>
            <color indexed="81"/>
            <rFont val="돋움"/>
            <family val="3"/>
            <charset val="129"/>
          </rPr>
          <t>월</t>
        </r>
        <r>
          <rPr>
            <b/>
            <sz val="48"/>
            <color indexed="81"/>
            <rFont val="Tahoma"/>
            <family val="2"/>
          </rPr>
          <t xml:space="preserve"> 2</t>
        </r>
        <r>
          <rPr>
            <b/>
            <sz val="48"/>
            <color indexed="81"/>
            <rFont val="돋움"/>
            <family val="3"/>
            <charset val="129"/>
          </rPr>
          <t>일</t>
        </r>
        <r>
          <rPr>
            <b/>
            <sz val="48"/>
            <color indexed="81"/>
            <rFont val="Tahoma"/>
            <family val="2"/>
          </rPr>
          <t xml:space="preserve"> 1214</t>
        </r>
        <r>
          <rPr>
            <b/>
            <sz val="48"/>
            <color indexed="81"/>
            <rFont val="돋움"/>
            <family val="3"/>
            <charset val="129"/>
          </rPr>
          <t>호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다운그레이드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차액</t>
        </r>
        <r>
          <rPr>
            <b/>
            <sz val="48"/>
            <color indexed="81"/>
            <rFont val="Tahoma"/>
            <family val="2"/>
          </rPr>
          <t xml:space="preserve"> 5000</t>
        </r>
        <r>
          <rPr>
            <b/>
            <sz val="48"/>
            <color indexed="81"/>
            <rFont val="돋움"/>
            <family val="3"/>
            <charset val="129"/>
          </rPr>
          <t xml:space="preserve">원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C68" authorId="0" shapeId="0" xr:uid="{4EBE54CC-DCD1-413B-B59E-E96E4F199B48}">
      <text>
        <r>
          <rPr>
            <b/>
            <sz val="9"/>
            <color indexed="81"/>
            <rFont val="Tahoma"/>
            <family val="2"/>
          </rPr>
          <t>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72"/>
            <color indexed="81"/>
            <rFont val="Tahoma"/>
            <family val="2"/>
          </rPr>
          <t>8</t>
        </r>
        <r>
          <rPr>
            <sz val="72"/>
            <color indexed="81"/>
            <rFont val="돋움"/>
            <family val="3"/>
            <charset val="129"/>
          </rPr>
          <t>월</t>
        </r>
        <r>
          <rPr>
            <sz val="72"/>
            <color indexed="81"/>
            <rFont val="Tahoma"/>
            <family val="2"/>
          </rPr>
          <t>9</t>
        </r>
        <r>
          <rPr>
            <sz val="72"/>
            <color indexed="81"/>
            <rFont val="돋움"/>
            <family val="3"/>
            <charset val="129"/>
          </rPr>
          <t>일</t>
        </r>
        <r>
          <rPr>
            <sz val="72"/>
            <color indexed="81"/>
            <rFont val="Tahoma"/>
            <family val="2"/>
          </rPr>
          <t xml:space="preserve"> </t>
        </r>
        <r>
          <rPr>
            <sz val="72"/>
            <color indexed="81"/>
            <rFont val="돋움"/>
            <family val="3"/>
            <charset val="129"/>
          </rPr>
          <t>체크인예정</t>
        </r>
        <r>
          <rPr>
            <sz val="72"/>
            <color indexed="81"/>
            <rFont val="Tahoma"/>
            <family val="2"/>
          </rPr>
          <t xml:space="preserve"> </t>
        </r>
        <r>
          <rPr>
            <sz val="72"/>
            <color indexed="81"/>
            <rFont val="돋움"/>
            <family val="3"/>
            <charset val="129"/>
          </rPr>
          <t xml:space="preserve">고객님
</t>
        </r>
        <r>
          <rPr>
            <sz val="72"/>
            <color indexed="81"/>
            <rFont val="Tahoma"/>
            <family val="2"/>
          </rPr>
          <t>1</t>
        </r>
        <r>
          <rPr>
            <sz val="72"/>
            <color indexed="81"/>
            <rFont val="돋움"/>
            <family val="3"/>
            <charset val="129"/>
          </rPr>
          <t>시간연장</t>
        </r>
        <r>
          <rPr>
            <sz val="72"/>
            <color indexed="81"/>
            <rFont val="Tahoma"/>
            <family val="2"/>
          </rPr>
          <t xml:space="preserve"> 2</t>
        </r>
        <r>
          <rPr>
            <sz val="72"/>
            <color indexed="81"/>
            <rFont val="돋움"/>
            <family val="3"/>
            <charset val="129"/>
          </rPr>
          <t>만원</t>
        </r>
        <r>
          <rPr>
            <sz val="72"/>
            <color indexed="81"/>
            <rFont val="Tahoma"/>
            <family val="2"/>
          </rPr>
          <t xml:space="preserve"> </t>
        </r>
        <r>
          <rPr>
            <sz val="72"/>
            <color indexed="81"/>
            <rFont val="돋움"/>
            <family val="3"/>
            <charset val="129"/>
          </rPr>
          <t xml:space="preserve">입금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11" authorId="0" shapeId="0" xr:uid="{783099A2-F1D0-47A0-A645-FCBC8BA4FE14}">
      <text>
        <r>
          <rPr>
            <b/>
            <sz val="36"/>
            <color indexed="81"/>
            <rFont val="돋움"/>
            <family val="3"/>
            <charset val="129"/>
          </rPr>
          <t xml:space="preserve">고층 또는 조용한 객실 요청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24" authorId="0" shapeId="0" xr:uid="{703CAA8E-A99C-4F08-9D42-E9DE72C51189}">
      <text>
        <r>
          <rPr>
            <b/>
            <sz val="48"/>
            <color indexed="81"/>
            <rFont val="돋움"/>
            <family val="3"/>
            <charset val="129"/>
          </rPr>
          <t>아고다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예약건</t>
        </r>
        <r>
          <rPr>
            <b/>
            <sz val="48"/>
            <color indexed="81"/>
            <rFont val="Tahoma"/>
            <family val="2"/>
          </rPr>
          <t xml:space="preserve">
9</t>
        </r>
        <r>
          <rPr>
            <b/>
            <sz val="48"/>
            <color indexed="81"/>
            <rFont val="돋움"/>
            <family val="3"/>
            <charset val="129"/>
          </rPr>
          <t>월</t>
        </r>
        <r>
          <rPr>
            <b/>
            <sz val="48"/>
            <color indexed="81"/>
            <rFont val="Tahoma"/>
            <family val="2"/>
          </rPr>
          <t>10</t>
        </r>
        <r>
          <rPr>
            <b/>
            <sz val="48"/>
            <color indexed="81"/>
            <rFont val="돋움"/>
            <family val="3"/>
            <charset val="129"/>
          </rPr>
          <t>일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예약건에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대해서</t>
        </r>
        <r>
          <rPr>
            <b/>
            <sz val="48"/>
            <color indexed="81"/>
            <rFont val="Tahoma"/>
            <family val="2"/>
          </rPr>
          <t xml:space="preserve"> 9</t>
        </r>
        <r>
          <rPr>
            <b/>
            <sz val="48"/>
            <color indexed="81"/>
            <rFont val="돋움"/>
            <family val="3"/>
            <charset val="129"/>
          </rPr>
          <t>월</t>
        </r>
        <r>
          <rPr>
            <b/>
            <sz val="48"/>
            <color indexed="81"/>
            <rFont val="Tahoma"/>
            <family val="2"/>
          </rPr>
          <t>9</t>
        </r>
        <r>
          <rPr>
            <b/>
            <sz val="48"/>
            <color indexed="81"/>
            <rFont val="돋움"/>
            <family val="3"/>
            <charset val="129"/>
          </rPr>
          <t>일에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하루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앞당겨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체크인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 xml:space="preserve">진행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L22" authorId="0" shapeId="0" xr:uid="{7E3C583D-B41D-4A24-9476-8D2ED5315E73}">
      <text>
        <r>
          <rPr>
            <b/>
            <sz val="45"/>
            <color indexed="81"/>
            <rFont val="돋움"/>
            <family val="3"/>
            <charset val="129"/>
          </rPr>
          <t>여기까지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정전안내문자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 xml:space="preserve">보냄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13" authorId="0" shapeId="0" xr:uid="{3C8F8DB0-CCA0-423D-9B50-40608E6B009B}">
      <text>
        <r>
          <rPr>
            <b/>
            <sz val="36"/>
            <color indexed="81"/>
            <rFont val="돋움"/>
            <family val="3"/>
            <charset val="129"/>
          </rPr>
          <t>내일이랑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연박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요청</t>
        </r>
      </text>
    </comment>
    <comment ref="D31" authorId="0" shapeId="0" xr:uid="{1ADC6C62-DC07-40E2-B335-1DB4C775C001}">
      <text>
        <r>
          <rPr>
            <b/>
            <sz val="36"/>
            <color indexed="81"/>
            <rFont val="돋움"/>
            <family val="3"/>
            <charset val="129"/>
          </rPr>
          <t>연박 요청
(익일)</t>
        </r>
      </text>
    </comment>
    <comment ref="D42" authorId="0" shapeId="0" xr:uid="{4885CEE6-FBC0-43A6-824A-FDB852FB54D9}">
      <text>
        <r>
          <rPr>
            <b/>
            <sz val="48"/>
            <color indexed="81"/>
            <rFont val="Tahoma"/>
            <family val="2"/>
          </rPr>
          <t xml:space="preserve">010-5597-3257
</t>
        </r>
        <r>
          <rPr>
            <b/>
            <sz val="48"/>
            <color indexed="81"/>
            <rFont val="돋움"/>
            <family val="3"/>
            <charset val="129"/>
          </rPr>
          <t>오석호님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 xml:space="preserve">택배
</t>
        </r>
        <r>
          <rPr>
            <b/>
            <sz val="48"/>
            <color indexed="81"/>
            <rFont val="Tahoma"/>
            <family val="2"/>
          </rPr>
          <t xml:space="preserve">8.13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31" authorId="0" shapeId="0" xr:uid="{E2EA3325-5A10-4730-8893-876662E22D48}">
      <text>
        <r>
          <rPr>
            <b/>
            <sz val="36"/>
            <color indexed="81"/>
            <rFont val="돋움"/>
            <family val="3"/>
            <charset val="129"/>
          </rPr>
          <t>어제랑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 xml:space="preserve">연박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22" authorId="0" shapeId="0" xr:uid="{4D49F9D2-31F9-4EBD-93DA-310B9F7DCF41}">
      <text>
        <r>
          <rPr>
            <b/>
            <sz val="36"/>
            <color indexed="81"/>
            <rFont val="돋움"/>
            <family val="3"/>
            <charset val="129"/>
          </rPr>
          <t>전화로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취소요청
현장에서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거절함</t>
        </r>
        <r>
          <rPr>
            <b/>
            <sz val="36"/>
            <color indexed="81"/>
            <rFont val="Tahoma"/>
            <family val="2"/>
          </rPr>
          <t xml:space="preserve">  </t>
        </r>
        <r>
          <rPr>
            <b/>
            <sz val="36"/>
            <color indexed="81"/>
            <rFont val="돋움"/>
            <family val="3"/>
            <charset val="129"/>
          </rPr>
          <t>노쇼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가능성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있음
취소는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안되고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일정변경만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가능하다고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아고다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직원한테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전달함</t>
        </r>
        <r>
          <rPr>
            <b/>
            <sz val="36"/>
            <color indexed="81"/>
            <rFont val="Tahoma"/>
            <family val="2"/>
          </rPr>
          <t xml:space="preserve">.
</t>
        </r>
      </text>
    </comment>
    <comment ref="E51" authorId="0" shapeId="0" xr:uid="{7FF71EB4-FFB0-4144-8362-360325081FA2}">
      <text>
        <r>
          <rPr>
            <b/>
            <sz val="48"/>
            <color indexed="81"/>
            <rFont val="Tahoma"/>
            <family val="2"/>
          </rPr>
          <t xml:space="preserve">010-4310-4676
</t>
        </r>
        <r>
          <rPr>
            <b/>
            <sz val="48"/>
            <color indexed="81"/>
            <rFont val="돋움"/>
            <family val="3"/>
            <charset val="129"/>
          </rPr>
          <t>전화소통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 xml:space="preserve">완료
</t>
        </r>
        <r>
          <rPr>
            <b/>
            <sz val="48"/>
            <color indexed="81"/>
            <rFont val="Tahoma"/>
            <family val="2"/>
          </rPr>
          <t xml:space="preserve">ST </t>
        </r>
        <r>
          <rPr>
            <b/>
            <sz val="48"/>
            <color indexed="81"/>
            <rFont val="돋움"/>
            <family val="3"/>
            <charset val="129"/>
          </rPr>
          <t>통창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업그레이드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이벤트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해준다고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안내함</t>
        </r>
        <r>
          <rPr>
            <b/>
            <sz val="48"/>
            <color indexed="81"/>
            <rFont val="Tahoma"/>
            <family val="2"/>
          </rPr>
          <t xml:space="preserve">. </t>
        </r>
        <r>
          <rPr>
            <b/>
            <sz val="48"/>
            <color indexed="81"/>
            <rFont val="돋움"/>
            <family val="3"/>
            <charset val="129"/>
          </rPr>
          <t>승인하심</t>
        </r>
        <r>
          <rPr>
            <b/>
            <sz val="48"/>
            <color indexed="81"/>
            <rFont val="Tahoma"/>
            <family val="2"/>
          </rPr>
          <t xml:space="preserve">. </t>
        </r>
        <r>
          <rPr>
            <b/>
            <sz val="48"/>
            <color indexed="81"/>
            <rFont val="돋움"/>
            <family val="3"/>
            <charset val="129"/>
          </rPr>
          <t>고층요청</t>
        </r>
        <r>
          <rPr>
            <b/>
            <sz val="48"/>
            <color indexed="81"/>
            <rFont val="Tahoma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9" authorId="0" shapeId="0" xr:uid="{EA5F8B7B-797E-4B12-8B13-FB8F0224172A}">
      <text>
        <r>
          <rPr>
            <b/>
            <sz val="45"/>
            <color indexed="81"/>
            <rFont val="Tahoma"/>
            <family val="2"/>
          </rPr>
          <t>010-5021-1519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8" authorId="0" shapeId="0" xr:uid="{E93FA7EC-B501-4CAB-820A-0A4B7DE812D2}">
      <text>
        <r>
          <rPr>
            <b/>
            <sz val="45"/>
            <color indexed="81"/>
            <rFont val="Tahoma"/>
            <family val="2"/>
          </rPr>
          <t>010-5021-1519</t>
        </r>
      </text>
    </comment>
    <comment ref="E13" authorId="0" shapeId="0" xr:uid="{D7AC5A5B-2B30-4654-B530-491B616CCB86}">
      <text>
        <r>
          <rPr>
            <b/>
            <sz val="45"/>
            <color indexed="81"/>
            <rFont val="돋움"/>
            <family val="3"/>
            <charset val="129"/>
          </rPr>
          <t>객실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사용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안하고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체크아웃</t>
        </r>
      </text>
    </comment>
    <comment ref="E49" authorId="0" shapeId="0" xr:uid="{D01FD8A1-8125-40F6-B0DD-04E74DDD37A9}">
      <text>
        <r>
          <rPr>
            <b/>
            <sz val="45"/>
            <color indexed="81"/>
            <rFont val="Tahoma"/>
            <family val="2"/>
          </rPr>
          <t>14-15</t>
        </r>
        <r>
          <rPr>
            <b/>
            <sz val="45"/>
            <color indexed="81"/>
            <rFont val="돋움"/>
            <family val="3"/>
            <charset val="129"/>
          </rPr>
          <t>일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예약건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 xml:space="preserve">
</t>
        </r>
        <r>
          <rPr>
            <b/>
            <sz val="45"/>
            <color indexed="81"/>
            <rFont val="돋움"/>
            <family val="3"/>
            <charset val="129"/>
          </rPr>
          <t xml:space="preserve">
</t>
        </r>
        <r>
          <rPr>
            <b/>
            <sz val="45"/>
            <color indexed="81"/>
            <rFont val="Tahoma"/>
            <family val="2"/>
          </rPr>
          <t>-</t>
        </r>
        <r>
          <rPr>
            <b/>
            <sz val="45"/>
            <color indexed="81"/>
            <rFont val="돋움"/>
            <family val="3"/>
            <charset val="129"/>
          </rPr>
          <t>주간</t>
        </r>
        <r>
          <rPr>
            <b/>
            <sz val="45"/>
            <color indexed="81"/>
            <rFont val="Tahoma"/>
            <family val="2"/>
          </rPr>
          <t xml:space="preserve">-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20" authorId="0" shapeId="0" xr:uid="{69C6C0BA-12AC-4763-93CA-F7BA6EBCB24D}">
      <text>
        <r>
          <rPr>
            <b/>
            <sz val="48"/>
            <color indexed="81"/>
            <rFont val="돋움"/>
            <family val="3"/>
            <charset val="129"/>
          </rPr>
          <t>엘리베이터에서 최대한 멀리 있는 객실 배정 요망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E24" authorId="0" shapeId="0" xr:uid="{A999AE02-E5F0-4BB8-AD98-498630DA04C9}">
      <text>
        <r>
          <rPr>
            <b/>
            <sz val="48"/>
            <color indexed="81"/>
            <rFont val="돋움"/>
            <family val="3"/>
            <charset val="129"/>
          </rPr>
          <t>익스피디아</t>
        </r>
        <r>
          <rPr>
            <b/>
            <sz val="48"/>
            <color indexed="81"/>
            <rFont val="Tahoma"/>
            <family val="2"/>
          </rPr>
          <t xml:space="preserve"> 4</t>
        </r>
        <r>
          <rPr>
            <b/>
            <sz val="48"/>
            <color indexed="81"/>
            <rFont val="돋움"/>
            <family val="3"/>
            <charset val="129"/>
          </rPr>
          <t>명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일행</t>
        </r>
        <r>
          <rPr>
            <b/>
            <sz val="48"/>
            <color indexed="81"/>
            <rFont val="Tahoma"/>
            <family val="2"/>
          </rPr>
          <t xml:space="preserve"> 
</t>
        </r>
        <r>
          <rPr>
            <b/>
            <sz val="48"/>
            <color indexed="81"/>
            <rFont val="돋움"/>
            <family val="3"/>
            <charset val="129"/>
          </rPr>
          <t>같은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요청사항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있음</t>
        </r>
        <r>
          <rPr>
            <b/>
            <sz val="48"/>
            <color indexed="81"/>
            <rFont val="Tahoma"/>
            <family val="2"/>
          </rPr>
          <t xml:space="preserve"> 
</t>
        </r>
        <r>
          <rPr>
            <b/>
            <sz val="48"/>
            <color indexed="81"/>
            <rFont val="돋움"/>
            <family val="3"/>
            <charset val="129"/>
          </rPr>
          <t xml:space="preserve">
조용한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객실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선호</t>
        </r>
        <r>
          <rPr>
            <b/>
            <sz val="48"/>
            <color indexed="81"/>
            <rFont val="Tahoma"/>
            <family val="2"/>
          </rPr>
          <t xml:space="preserve">, </t>
        </r>
        <r>
          <rPr>
            <b/>
            <sz val="48"/>
            <color indexed="81"/>
            <rFont val="돋움"/>
            <family val="3"/>
            <charset val="129"/>
          </rPr>
          <t>고층</t>
        </r>
        <r>
          <rPr>
            <b/>
            <sz val="48"/>
            <color indexed="81"/>
            <rFont val="Tahoma"/>
            <family val="2"/>
          </rPr>
          <t xml:space="preserve">, </t>
        </r>
        <r>
          <rPr>
            <b/>
            <sz val="48"/>
            <color indexed="81"/>
            <rFont val="돋움"/>
            <family val="3"/>
            <charset val="129"/>
          </rPr>
          <t>엘리베이터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근처</t>
        </r>
        <r>
          <rPr>
            <b/>
            <sz val="48"/>
            <color indexed="81"/>
            <rFont val="Tahoma"/>
            <family val="2"/>
          </rPr>
          <t xml:space="preserve">, </t>
        </r>
        <r>
          <rPr>
            <b/>
            <sz val="48"/>
            <color indexed="81"/>
            <rFont val="돋움"/>
            <family val="3"/>
            <charset val="129"/>
          </rPr>
          <t>같은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층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배정</t>
        </r>
        <r>
          <rPr>
            <b/>
            <sz val="48"/>
            <color indexed="81"/>
            <rFont val="Tahoma"/>
            <family val="2"/>
          </rPr>
          <t xml:space="preserve"> </t>
        </r>
        <r>
          <rPr>
            <b/>
            <sz val="48"/>
            <color indexed="81"/>
            <rFont val="돋움"/>
            <family val="3"/>
            <charset val="129"/>
          </rPr>
          <t>요청</t>
        </r>
        <r>
          <rPr>
            <sz val="48"/>
            <color indexed="81"/>
            <rFont val="Tahoma"/>
            <family val="2"/>
          </rPr>
          <t xml:space="preserve">
</t>
        </r>
        <r>
          <rPr>
            <sz val="48"/>
            <color indexed="81"/>
            <rFont val="돋움"/>
            <family val="3"/>
            <charset val="129"/>
          </rPr>
          <t>최대한</t>
        </r>
        <r>
          <rPr>
            <sz val="48"/>
            <color indexed="81"/>
            <rFont val="Tahoma"/>
            <family val="2"/>
          </rPr>
          <t xml:space="preserve"> </t>
        </r>
        <r>
          <rPr>
            <sz val="48"/>
            <color indexed="81"/>
            <rFont val="돋움"/>
            <family val="3"/>
            <charset val="129"/>
          </rPr>
          <t>맞춰</t>
        </r>
        <r>
          <rPr>
            <sz val="48"/>
            <color indexed="81"/>
            <rFont val="Tahoma"/>
            <family val="2"/>
          </rPr>
          <t xml:space="preserve"> </t>
        </r>
        <r>
          <rPr>
            <sz val="48"/>
            <color indexed="81"/>
            <rFont val="돋움"/>
            <family val="3"/>
            <charset val="129"/>
          </rPr>
          <t>드릴것</t>
        </r>
      </text>
    </comment>
    <comment ref="D29" authorId="0" shapeId="0" xr:uid="{4664416F-7D97-42DA-8B9C-E4E83B0986A1}">
      <text>
        <r>
          <rPr>
            <b/>
            <sz val="36"/>
            <color indexed="81"/>
            <rFont val="맑은 고딕"/>
            <family val="3"/>
            <charset val="129"/>
            <scheme val="major"/>
          </rPr>
          <t>최초 네이버 예약
취소로 인한 100% 수수료발생
실수였다고 해서 숙박은 계속 진행 가능하시도록 하기로 함</t>
        </r>
      </text>
    </comment>
    <comment ref="D43" authorId="0" shapeId="0" xr:uid="{E7716BE8-9AAC-4DE1-86CA-EC39C60664DA}">
      <text>
        <r>
          <rPr>
            <b/>
            <sz val="48"/>
            <color indexed="81"/>
            <rFont val="돋움"/>
            <family val="3"/>
            <charset val="129"/>
          </rPr>
          <t>엘리베이터에서 최대한 멀리 있는 객실 배정 요망</t>
        </r>
      </text>
    </comment>
    <comment ref="S44" authorId="0" shapeId="0" xr:uid="{8F642DEA-293D-4B38-B3D6-D19430293135}">
      <text>
        <r>
          <rPr>
            <b/>
            <sz val="48"/>
            <color indexed="81"/>
            <rFont val="돋움"/>
            <family val="3"/>
            <charset val="129"/>
          </rPr>
          <t>엘리베이터에서 최대한 멀리 있는 객실 배정 요망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10" authorId="0" shapeId="0" xr:uid="{D05B8107-750D-486F-ADD1-B8EE287B2896}">
      <text>
        <r>
          <rPr>
            <b/>
            <sz val="36"/>
            <color indexed="81"/>
            <rFont val="Tahoma"/>
            <family val="2"/>
          </rPr>
          <t xml:space="preserve">9/9 </t>
        </r>
        <r>
          <rPr>
            <b/>
            <sz val="36"/>
            <color indexed="81"/>
            <rFont val="돋움"/>
            <family val="3"/>
            <charset val="129"/>
          </rPr>
          <t>예약금</t>
        </r>
        <r>
          <rPr>
            <b/>
            <sz val="36"/>
            <color indexed="81"/>
            <rFont val="Tahoma"/>
            <family val="2"/>
          </rPr>
          <t xml:space="preserve"> 10</t>
        </r>
        <r>
          <rPr>
            <b/>
            <sz val="36"/>
            <color indexed="81"/>
            <rFont val="돋움"/>
            <family val="3"/>
            <charset val="129"/>
          </rPr>
          <t>만원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입금완료
이채원님</t>
        </r>
        <r>
          <rPr>
            <b/>
            <sz val="36"/>
            <color indexed="81"/>
            <rFont val="Tahoma"/>
            <family val="2"/>
          </rPr>
          <t xml:space="preserve"> 
</t>
        </r>
        <r>
          <rPr>
            <b/>
            <sz val="36"/>
            <color indexed="81"/>
            <rFont val="돋움"/>
            <family val="3"/>
            <charset val="129"/>
          </rPr>
          <t>체크인시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예약금</t>
        </r>
        <r>
          <rPr>
            <b/>
            <sz val="36"/>
            <color indexed="81"/>
            <rFont val="Tahoma"/>
            <family val="2"/>
          </rPr>
          <t xml:space="preserve"> 10</t>
        </r>
        <r>
          <rPr>
            <b/>
            <sz val="36"/>
            <color indexed="81"/>
            <rFont val="돋움"/>
            <family val="3"/>
            <charset val="129"/>
          </rPr>
          <t>만원
이채원님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계좌로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환불진행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 xml:space="preserve">요망
</t>
        </r>
        <r>
          <rPr>
            <b/>
            <sz val="36"/>
            <color indexed="81"/>
            <rFont val="Tahoma"/>
            <family val="2"/>
          </rPr>
          <t xml:space="preserve">010-8613-9529
</t>
        </r>
        <r>
          <rPr>
            <b/>
            <sz val="36"/>
            <color indexed="81"/>
            <rFont val="돋움"/>
            <family val="3"/>
            <charset val="129"/>
          </rPr>
          <t>조식문의</t>
        </r>
        <r>
          <rPr>
            <b/>
            <sz val="36"/>
            <color indexed="81"/>
            <rFont val="Tahoma"/>
            <family val="2"/>
          </rPr>
          <t xml:space="preserve">: </t>
        </r>
        <r>
          <rPr>
            <b/>
            <sz val="36"/>
            <color indexed="81"/>
            <rFont val="돋움"/>
            <family val="3"/>
            <charset val="129"/>
          </rPr>
          <t>불가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 xml:space="preserve">안내드림
</t>
        </r>
        <r>
          <rPr>
            <b/>
            <sz val="36"/>
            <color indexed="81"/>
            <rFont val="Tahoma"/>
            <family val="2"/>
          </rPr>
          <t>-</t>
        </r>
        <r>
          <rPr>
            <b/>
            <sz val="36"/>
            <color indexed="81"/>
            <rFont val="돋움"/>
            <family val="3"/>
            <charset val="129"/>
          </rPr>
          <t>이정경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 xml:space="preserve">주간매니저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T26" authorId="0" shapeId="0" xr:uid="{BFBD6613-B4D6-46B3-898D-909CAA52DFEA}">
      <text>
        <r>
          <rPr>
            <b/>
            <sz val="45"/>
            <color indexed="81"/>
            <rFont val="돋움"/>
            <family val="3"/>
            <charset val="129"/>
          </rPr>
          <t>환풍기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작동되는지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확인하고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매정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부탁드립니다</t>
        </r>
        <r>
          <rPr>
            <b/>
            <sz val="45"/>
            <color indexed="81"/>
            <rFont val="Tahoma"/>
            <family val="2"/>
          </rPr>
          <t>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F16" authorId="0" shapeId="0" xr:uid="{018D502F-E1AB-4709-AB1A-4842679EDE69}">
      <text>
        <r>
          <rPr>
            <b/>
            <sz val="45"/>
            <color indexed="81"/>
            <rFont val="돋움"/>
            <family val="3"/>
            <charset val="129"/>
          </rPr>
          <t>테라스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바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테이블</t>
        </r>
        <r>
          <rPr>
            <b/>
            <sz val="45"/>
            <color indexed="81"/>
            <rFont val="Tahoma"/>
            <family val="2"/>
          </rPr>
          <t xml:space="preserve"> </t>
        </r>
        <r>
          <rPr>
            <b/>
            <sz val="45"/>
            <color indexed="81"/>
            <rFont val="돋움"/>
            <family val="3"/>
            <charset val="129"/>
          </rPr>
          <t>요청</t>
        </r>
        <r>
          <rPr>
            <b/>
            <sz val="45"/>
            <color indexed="81"/>
            <rFont val="Tahoma"/>
            <family val="2"/>
          </rPr>
          <t xml:space="preserve"> 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28" authorId="0" shapeId="0" xr:uid="{5489EC62-47A5-4603-870E-55EBE4BBED66}">
      <text>
        <r>
          <rPr>
            <b/>
            <sz val="36"/>
            <color indexed="81"/>
            <rFont val="Tahoma"/>
            <family val="2"/>
          </rPr>
          <t>29</t>
        </r>
        <r>
          <rPr>
            <b/>
            <sz val="36"/>
            <color indexed="81"/>
            <rFont val="돋움"/>
            <family val="3"/>
            <charset val="129"/>
          </rPr>
          <t>일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예약인데</t>
        </r>
        <r>
          <rPr>
            <b/>
            <sz val="36"/>
            <color indexed="81"/>
            <rFont val="Tahoma"/>
            <family val="2"/>
          </rPr>
          <t xml:space="preserve"> 30</t>
        </r>
        <r>
          <rPr>
            <b/>
            <sz val="36"/>
            <color indexed="81"/>
            <rFont val="돋움"/>
            <family val="3"/>
            <charset val="129"/>
          </rPr>
          <t>일로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 xml:space="preserve">예약하셨음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D19" authorId="0" shapeId="0" xr:uid="{031D38D3-0676-40E5-A990-0BE5A030C34C}">
      <text>
        <r>
          <rPr>
            <b/>
            <sz val="36"/>
            <color indexed="81"/>
            <rFont val="Tahoma"/>
            <family val="2"/>
          </rPr>
          <t>29</t>
        </r>
        <r>
          <rPr>
            <b/>
            <sz val="36"/>
            <color indexed="81"/>
            <rFont val="돋움"/>
            <family val="3"/>
            <charset val="129"/>
          </rPr>
          <t>일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>예약인데</t>
        </r>
        <r>
          <rPr>
            <b/>
            <sz val="36"/>
            <color indexed="81"/>
            <rFont val="Tahoma"/>
            <family val="2"/>
          </rPr>
          <t xml:space="preserve"> 30</t>
        </r>
        <r>
          <rPr>
            <b/>
            <sz val="36"/>
            <color indexed="81"/>
            <rFont val="돋움"/>
            <family val="3"/>
            <charset val="129"/>
          </rPr>
          <t>일로</t>
        </r>
        <r>
          <rPr>
            <b/>
            <sz val="36"/>
            <color indexed="81"/>
            <rFont val="Tahoma"/>
            <family val="2"/>
          </rPr>
          <t xml:space="preserve"> </t>
        </r>
        <r>
          <rPr>
            <b/>
            <sz val="36"/>
            <color indexed="81"/>
            <rFont val="돋움"/>
            <family val="3"/>
            <charset val="129"/>
          </rPr>
          <t xml:space="preserve">예약하셨음
</t>
        </r>
      </text>
    </comment>
  </commentList>
</comments>
</file>

<file path=xl/sharedStrings.xml><?xml version="1.0" encoding="utf-8"?>
<sst xmlns="http://schemas.openxmlformats.org/spreadsheetml/2006/main" count="12719" uniqueCount="1270">
  <si>
    <t>객실판매일보</t>
    <phoneticPr fontId="2" type="noConversion"/>
  </si>
  <si>
    <t>근무자</t>
  </si>
  <si>
    <t>날짜</t>
  </si>
  <si>
    <t>일일영업현황보고서</t>
  </si>
  <si>
    <t>일매출</t>
  </si>
  <si>
    <t>대실</t>
  </si>
  <si>
    <t>숙박</t>
  </si>
  <si>
    <t>현금
시재</t>
  </si>
  <si>
    <t>시작</t>
  </si>
  <si>
    <t>보고기준일</t>
    <phoneticPr fontId="2" type="noConversion"/>
  </si>
  <si>
    <t>보고일자</t>
    <phoneticPr fontId="2" type="noConversion"/>
  </si>
  <si>
    <t>작성자</t>
    <phoneticPr fontId="2" type="noConversion"/>
  </si>
  <si>
    <t>마감</t>
  </si>
  <si>
    <t>채널명</t>
  </si>
  <si>
    <t>기간</t>
  </si>
  <si>
    <t>현금</t>
  </si>
  <si>
    <t>카드</t>
  </si>
  <si>
    <t>계좌이체</t>
  </si>
  <si>
    <t>온라인</t>
  </si>
  <si>
    <t xml:space="preserve">총 매 출  </t>
    <phoneticPr fontId="2" type="noConversion"/>
  </si>
  <si>
    <t>구분</t>
    <phoneticPr fontId="2" type="noConversion"/>
  </si>
  <si>
    <t>현금</t>
    <phoneticPr fontId="2" type="noConversion"/>
  </si>
  <si>
    <t>카드</t>
    <phoneticPr fontId="2" type="noConversion"/>
  </si>
  <si>
    <t>온라인</t>
    <phoneticPr fontId="2" type="noConversion"/>
  </si>
  <si>
    <t>계좌이체</t>
    <phoneticPr fontId="2" type="noConversion"/>
  </si>
  <si>
    <t>소계</t>
    <phoneticPr fontId="2" type="noConversion"/>
  </si>
  <si>
    <t>건수</t>
    <phoneticPr fontId="2" type="noConversion"/>
  </si>
  <si>
    <t>금액</t>
    <phoneticPr fontId="2" type="noConversion"/>
  </si>
  <si>
    <t>숙박</t>
    <phoneticPr fontId="2" type="noConversion"/>
  </si>
  <si>
    <t>대실</t>
    <phoneticPr fontId="2" type="noConversion"/>
  </si>
  <si>
    <t>추가</t>
    <phoneticPr fontId="2" type="noConversion"/>
  </si>
  <si>
    <t>총 합계</t>
    <phoneticPr fontId="2" type="noConversion"/>
  </si>
  <si>
    <t>2. 영업분석표</t>
    <phoneticPr fontId="2" type="noConversion"/>
  </si>
  <si>
    <t>상세</t>
    <phoneticPr fontId="2" type="noConversion"/>
  </si>
  <si>
    <t>식 / 음료</t>
    <phoneticPr fontId="2" type="noConversion"/>
  </si>
  <si>
    <t>건</t>
    <phoneticPr fontId="2" type="noConversion"/>
  </si>
  <si>
    <t>품목</t>
    <phoneticPr fontId="2" type="noConversion"/>
  </si>
  <si>
    <t>오프라인</t>
    <phoneticPr fontId="2" type="noConversion"/>
  </si>
  <si>
    <t>워크인</t>
    <phoneticPr fontId="2" type="noConversion"/>
  </si>
  <si>
    <t>식음료</t>
    <phoneticPr fontId="2" type="noConversion"/>
  </si>
  <si>
    <t>맥주</t>
    <phoneticPr fontId="2" type="noConversion"/>
  </si>
  <si>
    <t>계좌</t>
    <phoneticPr fontId="2" type="noConversion"/>
  </si>
  <si>
    <t>합계</t>
    <phoneticPr fontId="2" type="noConversion"/>
  </si>
  <si>
    <t>그외</t>
    <phoneticPr fontId="2" type="noConversion"/>
  </si>
  <si>
    <t>채널명</t>
    <phoneticPr fontId="2" type="noConversion"/>
  </si>
  <si>
    <t>판매가</t>
    <phoneticPr fontId="2" type="noConversion"/>
  </si>
  <si>
    <t>입금가</t>
    <phoneticPr fontId="2" type="noConversion"/>
  </si>
  <si>
    <t>판매합계</t>
    <phoneticPr fontId="2" type="noConversion"/>
  </si>
  <si>
    <t>입금합계</t>
    <phoneticPr fontId="2" type="noConversion"/>
  </si>
  <si>
    <t>고객연령</t>
    <phoneticPr fontId="2" type="noConversion"/>
  </si>
  <si>
    <t>야놀자</t>
  </si>
  <si>
    <t>여기어때</t>
  </si>
  <si>
    <t>네이버</t>
    <phoneticPr fontId="2" type="noConversion"/>
  </si>
  <si>
    <t>방문유형</t>
    <phoneticPr fontId="2" type="noConversion"/>
  </si>
  <si>
    <t>W</t>
    <phoneticPr fontId="2" type="noConversion"/>
  </si>
  <si>
    <t>C</t>
    <phoneticPr fontId="2" type="noConversion"/>
  </si>
  <si>
    <t>추가요금</t>
    <phoneticPr fontId="2" type="noConversion"/>
  </si>
  <si>
    <t>총매출</t>
    <phoneticPr fontId="2" type="noConversion"/>
  </si>
  <si>
    <t xml:space="preserve"> 순매출</t>
    <phoneticPr fontId="2" type="noConversion"/>
  </si>
  <si>
    <t>무료</t>
    <phoneticPr fontId="2" type="noConversion"/>
  </si>
  <si>
    <t xml:space="preserve">어메니티
판매현황  </t>
    <phoneticPr fontId="2" type="noConversion"/>
  </si>
  <si>
    <t>현금 (1)</t>
    <phoneticPr fontId="2" type="noConversion"/>
  </si>
  <si>
    <t>카드 (2)</t>
    <phoneticPr fontId="2" type="noConversion"/>
  </si>
  <si>
    <t>계좌이체 (3)</t>
    <phoneticPr fontId="2" type="noConversion"/>
  </si>
  <si>
    <t>비품</t>
    <phoneticPr fontId="2" type="noConversion"/>
  </si>
  <si>
    <t>어메니티</t>
    <phoneticPr fontId="2" type="noConversion"/>
  </si>
  <si>
    <t>식음료/어메니티 총매출</t>
    <phoneticPr fontId="2" type="noConversion"/>
  </si>
  <si>
    <t>추가대실</t>
    <phoneticPr fontId="2" type="noConversion"/>
  </si>
  <si>
    <t>추가숙박</t>
    <phoneticPr fontId="2" type="noConversion"/>
  </si>
  <si>
    <t>부킹</t>
    <phoneticPr fontId="2" type="noConversion"/>
  </si>
  <si>
    <t>아고다</t>
    <phoneticPr fontId="2" type="noConversion"/>
  </si>
  <si>
    <t>어메니티</t>
    <phoneticPr fontId="2" type="noConversion"/>
  </si>
  <si>
    <t>총합계</t>
    <phoneticPr fontId="2" type="noConversion"/>
  </si>
  <si>
    <t>여기어때</t>
    <phoneticPr fontId="2" type="noConversion"/>
  </si>
  <si>
    <t>야놀자</t>
    <phoneticPr fontId="2" type="noConversion"/>
  </si>
  <si>
    <t>호실</t>
    <phoneticPr fontId="2" type="noConversion"/>
  </si>
  <si>
    <t>타입</t>
    <phoneticPr fontId="2" type="noConversion"/>
  </si>
  <si>
    <t>체크인</t>
    <phoneticPr fontId="2" type="noConversion"/>
  </si>
  <si>
    <t>번호</t>
    <phoneticPr fontId="2" type="noConversion"/>
  </si>
  <si>
    <t>신협은행 입금</t>
    <phoneticPr fontId="2" type="noConversion"/>
  </si>
  <si>
    <t>일자</t>
    <phoneticPr fontId="2" type="noConversion"/>
  </si>
  <si>
    <t>익스피디아</t>
    <phoneticPr fontId="2" type="noConversion"/>
  </si>
  <si>
    <t>부킹닷컴</t>
    <phoneticPr fontId="2" type="noConversion"/>
  </si>
  <si>
    <t>꿀스테이</t>
    <phoneticPr fontId="2" type="noConversion"/>
  </si>
  <si>
    <t>연박
N박
 워크인</t>
    <phoneticPr fontId="2" type="noConversion"/>
  </si>
  <si>
    <t>쿠폰</t>
    <phoneticPr fontId="2" type="noConversion"/>
  </si>
  <si>
    <t>선결재</t>
    <phoneticPr fontId="2" type="noConversion"/>
  </si>
  <si>
    <t>무료
서비스</t>
    <phoneticPr fontId="2" type="noConversion"/>
  </si>
  <si>
    <t>일일 매출 합계</t>
    <phoneticPr fontId="2" type="noConversion"/>
  </si>
  <si>
    <t>키택 매출 보정</t>
    <phoneticPr fontId="2" type="noConversion"/>
  </si>
  <si>
    <t>신한(1.25%)</t>
    <phoneticPr fontId="2" type="noConversion"/>
  </si>
  <si>
    <t>NH(1.25%)</t>
    <phoneticPr fontId="2" type="noConversion"/>
  </si>
  <si>
    <t>하나(1.25%)</t>
    <phoneticPr fontId="2" type="noConversion"/>
  </si>
  <si>
    <t>현대(1.5%)</t>
    <phoneticPr fontId="2" type="noConversion"/>
  </si>
  <si>
    <t>삼성(1.5%)</t>
    <phoneticPr fontId="2" type="noConversion"/>
  </si>
  <si>
    <t>롯데(1.5%)</t>
    <phoneticPr fontId="2" type="noConversion"/>
  </si>
  <si>
    <t>KB(1.5%)</t>
    <phoneticPr fontId="2" type="noConversion"/>
  </si>
  <si>
    <t>BC(1.5%)</t>
    <phoneticPr fontId="2" type="noConversion"/>
  </si>
  <si>
    <t>SHC</t>
    <phoneticPr fontId="2" type="noConversion"/>
  </si>
  <si>
    <t>총합</t>
    <phoneticPr fontId="2" type="noConversion"/>
  </si>
  <si>
    <t>총 대실</t>
    <phoneticPr fontId="2" type="noConversion"/>
  </si>
  <si>
    <t>총 숙박</t>
    <phoneticPr fontId="2" type="noConversion"/>
  </si>
  <si>
    <t>키택/일보
차이금액</t>
    <phoneticPr fontId="2" type="noConversion"/>
  </si>
  <si>
    <t>오류 사유</t>
    <phoneticPr fontId="2" type="noConversion"/>
  </si>
  <si>
    <t>키택 등록 금액</t>
    <phoneticPr fontId="2" type="noConversion"/>
  </si>
  <si>
    <t>구분</t>
  </si>
  <si>
    <t>야놀자(신협)</t>
    <phoneticPr fontId="2" type="noConversion"/>
  </si>
  <si>
    <t>여기어때(신협)</t>
    <phoneticPr fontId="2" type="noConversion"/>
  </si>
  <si>
    <t>네이버(신협)</t>
  </si>
  <si>
    <t>아고다(신한)(10%)</t>
    <phoneticPr fontId="2" type="noConversion"/>
  </si>
  <si>
    <t>익스피디아(신한)(17%)</t>
    <phoneticPr fontId="2" type="noConversion"/>
  </si>
  <si>
    <t>부킹닷컴(신한)(17.5%)</t>
    <phoneticPr fontId="2" type="noConversion"/>
  </si>
  <si>
    <t>꿀스테이(신협)(12.5%)</t>
    <phoneticPr fontId="2" type="noConversion"/>
  </si>
  <si>
    <t>카 드(신협)</t>
  </si>
  <si>
    <t>기타(현금+계좌)</t>
    <phoneticPr fontId="2" type="noConversion"/>
  </si>
  <si>
    <t>매출액 TOTAL</t>
    <phoneticPr fontId="2" type="noConversion"/>
  </si>
  <si>
    <t>입금액 TOTAL</t>
    <phoneticPr fontId="2" type="noConversion"/>
  </si>
  <si>
    <t>차액 (수수료)</t>
    <phoneticPr fontId="2" type="noConversion"/>
  </si>
  <si>
    <t>수량</t>
    <phoneticPr fontId="2" type="noConversion"/>
  </si>
  <si>
    <t>매출액</t>
    <phoneticPr fontId="2" type="noConversion"/>
  </si>
  <si>
    <t>입금액</t>
    <phoneticPr fontId="2" type="noConversion"/>
  </si>
  <si>
    <t>입금일</t>
    <phoneticPr fontId="2" type="noConversion"/>
  </si>
  <si>
    <t>비고</t>
    <phoneticPr fontId="2" type="noConversion"/>
  </si>
  <si>
    <t>계</t>
    <phoneticPr fontId="2" type="noConversion"/>
  </si>
  <si>
    <t>TOTAL</t>
  </si>
  <si>
    <t>.</t>
    <phoneticPr fontId="2" type="noConversion"/>
  </si>
  <si>
    <t>TODAY</t>
    <phoneticPr fontId="2" type="noConversion"/>
  </si>
  <si>
    <t>객실 수량</t>
    <phoneticPr fontId="2" type="noConversion"/>
  </si>
  <si>
    <t>구 분</t>
    <phoneticPr fontId="2" type="noConversion"/>
  </si>
  <si>
    <t>판매 합계</t>
    <phoneticPr fontId="2" type="noConversion"/>
  </si>
  <si>
    <t>TOTAL</t>
    <phoneticPr fontId="2" type="noConversion"/>
  </si>
  <si>
    <t>고객명</t>
    <phoneticPr fontId="2" type="noConversion"/>
  </si>
  <si>
    <t>비고</t>
    <phoneticPr fontId="2" type="noConversion"/>
  </si>
  <si>
    <t>예약수량</t>
    <phoneticPr fontId="2" type="noConversion"/>
  </si>
  <si>
    <t>기준수량</t>
    <phoneticPr fontId="2" type="noConversion"/>
  </si>
  <si>
    <t>에어</t>
    <phoneticPr fontId="2" type="noConversion"/>
  </si>
  <si>
    <t>에어비앤비</t>
    <phoneticPr fontId="2" type="noConversion"/>
  </si>
  <si>
    <t>네이버3.3</t>
    <phoneticPr fontId="2" type="noConversion"/>
  </si>
  <si>
    <t>아고다10</t>
    <phoneticPr fontId="2" type="noConversion"/>
  </si>
  <si>
    <t>익스피디아17.5</t>
    <phoneticPr fontId="2" type="noConversion"/>
  </si>
  <si>
    <t>부킹닷컴17.5</t>
    <phoneticPr fontId="2" type="noConversion"/>
  </si>
  <si>
    <t>에어비엔비3.3</t>
    <phoneticPr fontId="2" type="noConversion"/>
  </si>
  <si>
    <t>꿀스테이12.5</t>
    <phoneticPr fontId="2" type="noConversion"/>
  </si>
  <si>
    <t>에어비앤비(신한)(3.3%)</t>
    <phoneticPr fontId="2" type="noConversion"/>
  </si>
  <si>
    <t>연박
N박  야/여</t>
    <phoneticPr fontId="2" type="noConversion"/>
  </si>
  <si>
    <t>객실 타입 별 예약 현황</t>
    <phoneticPr fontId="2" type="noConversion"/>
  </si>
  <si>
    <t>잔여수량</t>
    <phoneticPr fontId="2" type="noConversion"/>
  </si>
  <si>
    <t>`</t>
    <phoneticPr fontId="2" type="noConversion"/>
  </si>
  <si>
    <t>체크아웃</t>
    <phoneticPr fontId="2" type="noConversion"/>
  </si>
  <si>
    <t>일별 누적</t>
    <phoneticPr fontId="2" type="noConversion"/>
  </si>
  <si>
    <t>숙 박</t>
    <phoneticPr fontId="2" type="noConversion"/>
  </si>
  <si>
    <t>남은 객실</t>
    <phoneticPr fontId="2" type="noConversion"/>
  </si>
  <si>
    <t>대 실</t>
    <phoneticPr fontId="2" type="noConversion"/>
  </si>
  <si>
    <t>매출보고</t>
    <phoneticPr fontId="2" type="noConversion"/>
  </si>
  <si>
    <t>일평균</t>
    <phoneticPr fontId="2" type="noConversion"/>
  </si>
  <si>
    <t>월 예상 매출</t>
    <phoneticPr fontId="2" type="noConversion"/>
  </si>
  <si>
    <t>객실판매일보</t>
    <phoneticPr fontId="2" type="noConversion"/>
  </si>
  <si>
    <t>가동율</t>
    <phoneticPr fontId="2" type="noConversion"/>
  </si>
  <si>
    <t>B</t>
    <phoneticPr fontId="2" type="noConversion"/>
  </si>
  <si>
    <t>AT</t>
    <phoneticPr fontId="2" type="noConversion"/>
  </si>
  <si>
    <t>AD</t>
    <phoneticPr fontId="2" type="noConversion"/>
  </si>
  <si>
    <t>V</t>
    <phoneticPr fontId="2" type="noConversion"/>
  </si>
  <si>
    <t>조식</t>
    <phoneticPr fontId="2" type="noConversion"/>
  </si>
  <si>
    <t>1</t>
    <phoneticPr fontId="2" type="noConversion"/>
  </si>
  <si>
    <t>15:00</t>
    <phoneticPr fontId="2" type="noConversion"/>
  </si>
  <si>
    <t>11:00</t>
    <phoneticPr fontId="2" type="noConversion"/>
  </si>
  <si>
    <t>특가(랜덤)</t>
    <phoneticPr fontId="2" type="noConversion"/>
  </si>
  <si>
    <t>SD</t>
    <phoneticPr fontId="2" type="noConversion"/>
  </si>
  <si>
    <t>ST</t>
    <phoneticPr fontId="2" type="noConversion"/>
  </si>
  <si>
    <t>특</t>
    <phoneticPr fontId="2" type="noConversion"/>
  </si>
  <si>
    <t>트립</t>
    <phoneticPr fontId="2" type="noConversion"/>
  </si>
  <si>
    <t>1/2</t>
    <phoneticPr fontId="2" type="noConversion"/>
  </si>
  <si>
    <t>2/2</t>
    <phoneticPr fontId="2" type="noConversion"/>
  </si>
  <si>
    <t>1/3</t>
    <phoneticPr fontId="2" type="noConversion"/>
  </si>
  <si>
    <t>2/3</t>
    <phoneticPr fontId="2" type="noConversion"/>
  </si>
  <si>
    <t>3/3</t>
    <phoneticPr fontId="2" type="noConversion"/>
  </si>
  <si>
    <t>호텔나우</t>
    <phoneticPr fontId="2" type="noConversion"/>
  </si>
  <si>
    <t>호텔타임</t>
    <phoneticPr fontId="2" type="noConversion"/>
  </si>
  <si>
    <t>호텔나우</t>
    <phoneticPr fontId="2" type="noConversion"/>
  </si>
  <si>
    <t>호텔타임</t>
    <phoneticPr fontId="2" type="noConversion"/>
  </si>
  <si>
    <t>꿀스</t>
    <phoneticPr fontId="2" type="noConversion"/>
  </si>
  <si>
    <t>익스피디아</t>
    <phoneticPr fontId="2" type="noConversion"/>
  </si>
  <si>
    <t>여기어때(모텔)</t>
    <phoneticPr fontId="2" type="noConversion"/>
  </si>
  <si>
    <t>호텔나우(야놀자호텔)</t>
    <phoneticPr fontId="2" type="noConversion"/>
  </si>
  <si>
    <t>호텔타임(여기어땜호텔)</t>
    <phoneticPr fontId="2" type="noConversion"/>
  </si>
  <si>
    <t>호텔나우</t>
    <phoneticPr fontId="2" type="noConversion"/>
  </si>
  <si>
    <t>호텔타임</t>
    <phoneticPr fontId="2" type="noConversion"/>
  </si>
  <si>
    <t>트립</t>
    <phoneticPr fontId="2" type="noConversion"/>
  </si>
  <si>
    <t>현금</t>
    <phoneticPr fontId="2" type="noConversion"/>
  </si>
  <si>
    <t>이</t>
    <phoneticPr fontId="2" type="noConversion"/>
  </si>
  <si>
    <t>황</t>
    <phoneticPr fontId="2" type="noConversion"/>
  </si>
  <si>
    <t>리뷰체험단</t>
    <phoneticPr fontId="2" type="noConversion"/>
  </si>
  <si>
    <t>작성자</t>
  </si>
  <si>
    <t>양</t>
    <phoneticPr fontId="2" type="noConversion"/>
  </si>
  <si>
    <t>이승한</t>
    <phoneticPr fontId="2" type="noConversion"/>
  </si>
  <si>
    <t>김민수</t>
    <phoneticPr fontId="2" type="noConversion"/>
  </si>
  <si>
    <t>수분양자</t>
    <phoneticPr fontId="2" type="noConversion"/>
  </si>
  <si>
    <t>2/5</t>
    <phoneticPr fontId="2" type="noConversion"/>
  </si>
  <si>
    <t>3/5</t>
    <phoneticPr fontId="2" type="noConversion"/>
  </si>
  <si>
    <t>4/5</t>
    <phoneticPr fontId="2" type="noConversion"/>
  </si>
  <si>
    <t>5/5</t>
    <phoneticPr fontId="2" type="noConversion"/>
  </si>
  <si>
    <t>시타딘</t>
    <phoneticPr fontId="2" type="noConversion"/>
  </si>
  <si>
    <t>노현찬</t>
    <phoneticPr fontId="2" type="noConversion"/>
  </si>
  <si>
    <t>609호</t>
    <phoneticPr fontId="2" type="noConversion"/>
  </si>
  <si>
    <t>김미지</t>
    <phoneticPr fontId="2" type="noConversion"/>
  </si>
  <si>
    <t>박양숙1</t>
    <phoneticPr fontId="2" type="noConversion"/>
  </si>
  <si>
    <t>박양숙2</t>
    <phoneticPr fontId="2" type="noConversion"/>
  </si>
  <si>
    <t>여기어때</t>
    <phoneticPr fontId="2" type="noConversion"/>
  </si>
  <si>
    <t>김봉준</t>
    <phoneticPr fontId="2" type="noConversion"/>
  </si>
  <si>
    <t>1/2</t>
    <phoneticPr fontId="2" type="noConversion"/>
  </si>
  <si>
    <t>황</t>
    <phoneticPr fontId="2" type="noConversion"/>
  </si>
  <si>
    <t>2/2</t>
    <phoneticPr fontId="2" type="noConversion"/>
  </si>
  <si>
    <t>1</t>
    <phoneticPr fontId="2" type="noConversion"/>
  </si>
  <si>
    <t>박세현</t>
    <phoneticPr fontId="2" type="noConversion"/>
  </si>
  <si>
    <t>정대성</t>
    <phoneticPr fontId="2" type="noConversion"/>
  </si>
  <si>
    <t>강현구</t>
    <phoneticPr fontId="2" type="noConversion"/>
  </si>
  <si>
    <t>황정연</t>
    <phoneticPr fontId="2" type="noConversion"/>
  </si>
  <si>
    <t>전유빈</t>
    <phoneticPr fontId="2" type="noConversion"/>
  </si>
  <si>
    <t>정규현</t>
    <phoneticPr fontId="2" type="noConversion"/>
  </si>
  <si>
    <t>15:00</t>
    <phoneticPr fontId="2" type="noConversion"/>
  </si>
  <si>
    <t>11:00</t>
    <phoneticPr fontId="2" type="noConversion"/>
  </si>
  <si>
    <t>이</t>
    <phoneticPr fontId="2" type="noConversion"/>
  </si>
  <si>
    <t>정우석</t>
    <phoneticPr fontId="2" type="noConversion"/>
  </si>
  <si>
    <t>권인준</t>
    <phoneticPr fontId="2" type="noConversion"/>
  </si>
  <si>
    <t>J/TH</t>
    <phoneticPr fontId="2" type="noConversion"/>
  </si>
  <si>
    <t>김태준</t>
    <phoneticPr fontId="2" type="noConversion"/>
  </si>
  <si>
    <t>9월 예약 현황</t>
    <phoneticPr fontId="2" type="noConversion"/>
  </si>
  <si>
    <t>09월 매출 ( 현금 )</t>
    <phoneticPr fontId="2" type="noConversion"/>
  </si>
  <si>
    <t>09월 매출 ( 카드 )</t>
    <phoneticPr fontId="2" type="noConversion"/>
  </si>
  <si>
    <t>09월 매출 ( 계좌이체 )</t>
    <phoneticPr fontId="2" type="noConversion"/>
  </si>
  <si>
    <t>09월 매출 ( 야놀자 . 여기어때,호텔나우,호텔타임 )</t>
    <phoneticPr fontId="2" type="noConversion"/>
  </si>
  <si>
    <t>09월 매출 ( 네이버 . 꿀스테이 )</t>
    <phoneticPr fontId="2" type="noConversion"/>
  </si>
  <si>
    <t>09월 매출 ( 기타 카운팅 수량 )</t>
    <phoneticPr fontId="2" type="noConversion"/>
  </si>
  <si>
    <t>09월 매출 집계</t>
    <phoneticPr fontId="2" type="noConversion"/>
  </si>
  <si>
    <t>9월 정산 입금내역</t>
    <phoneticPr fontId="2" type="noConversion"/>
  </si>
  <si>
    <t>Romana/Graham</t>
    <phoneticPr fontId="2" type="noConversion"/>
  </si>
  <si>
    <t>5/9</t>
    <phoneticPr fontId="2" type="noConversion"/>
  </si>
  <si>
    <t>6/9</t>
    <phoneticPr fontId="2" type="noConversion"/>
  </si>
  <si>
    <t>7/9</t>
    <phoneticPr fontId="2" type="noConversion"/>
  </si>
  <si>
    <t>8/9</t>
    <phoneticPr fontId="2" type="noConversion"/>
  </si>
  <si>
    <t>9/9</t>
    <phoneticPr fontId="2" type="noConversion"/>
  </si>
  <si>
    <t>네이버</t>
    <phoneticPr fontId="2" type="noConversion"/>
  </si>
  <si>
    <t>홍성원</t>
    <phoneticPr fontId="2" type="noConversion"/>
  </si>
  <si>
    <t>1</t>
    <phoneticPr fontId="2" type="noConversion"/>
  </si>
  <si>
    <t>류민철</t>
    <phoneticPr fontId="2" type="noConversion"/>
  </si>
  <si>
    <t>여기어때</t>
    <phoneticPr fontId="2" type="noConversion"/>
  </si>
  <si>
    <t>정준식</t>
    <phoneticPr fontId="2" type="noConversion"/>
  </si>
  <si>
    <t>김</t>
    <phoneticPr fontId="2" type="noConversion"/>
  </si>
  <si>
    <t>전화예약</t>
    <phoneticPr fontId="2" type="noConversion"/>
  </si>
  <si>
    <t>4/7</t>
    <phoneticPr fontId="2" type="noConversion"/>
  </si>
  <si>
    <t>5/7</t>
    <phoneticPr fontId="2" type="noConversion"/>
  </si>
  <si>
    <t>6/7</t>
    <phoneticPr fontId="2" type="noConversion"/>
  </si>
  <si>
    <t>7/7</t>
    <phoneticPr fontId="2" type="noConversion"/>
  </si>
  <si>
    <t>Dale/</t>
    <phoneticPr fontId="2" type="noConversion"/>
  </si>
  <si>
    <t>Reed</t>
    <phoneticPr fontId="2" type="noConversion"/>
  </si>
  <si>
    <t>AD</t>
    <phoneticPr fontId="2" type="noConversion"/>
  </si>
  <si>
    <t>4/4</t>
    <phoneticPr fontId="2" type="noConversion"/>
  </si>
  <si>
    <t>구상호</t>
    <phoneticPr fontId="2" type="noConversion"/>
  </si>
  <si>
    <t>여기어때</t>
    <phoneticPr fontId="2" type="noConversion"/>
  </si>
  <si>
    <t>장영진</t>
    <phoneticPr fontId="2" type="noConversion"/>
  </si>
  <si>
    <t>V</t>
    <phoneticPr fontId="2" type="noConversion"/>
  </si>
  <si>
    <t>1</t>
    <phoneticPr fontId="2" type="noConversion"/>
  </si>
  <si>
    <t>이</t>
    <phoneticPr fontId="2" type="noConversion"/>
  </si>
  <si>
    <t>이다은</t>
    <phoneticPr fontId="2" type="noConversion"/>
  </si>
  <si>
    <t>1</t>
    <phoneticPr fontId="2" type="noConversion"/>
  </si>
  <si>
    <t>야놀자</t>
    <phoneticPr fontId="2" type="noConversion"/>
  </si>
  <si>
    <t>김은기</t>
    <phoneticPr fontId="2" type="noConversion"/>
  </si>
  <si>
    <t>특가(랜덤)</t>
    <phoneticPr fontId="2" type="noConversion"/>
  </si>
  <si>
    <t>15:00</t>
    <phoneticPr fontId="2" type="noConversion"/>
  </si>
  <si>
    <t>11:00</t>
    <phoneticPr fontId="2" type="noConversion"/>
  </si>
  <si>
    <t>김진완</t>
    <phoneticPr fontId="2" type="noConversion"/>
  </si>
  <si>
    <t>양</t>
    <phoneticPr fontId="2" type="noConversion"/>
  </si>
  <si>
    <t>네이버</t>
    <phoneticPr fontId="2" type="noConversion"/>
  </si>
  <si>
    <t>정창원</t>
    <phoneticPr fontId="2" type="noConversion"/>
  </si>
  <si>
    <t>송주은</t>
    <phoneticPr fontId="2" type="noConversion"/>
  </si>
  <si>
    <t>체험단</t>
    <phoneticPr fontId="2" type="noConversion"/>
  </si>
  <si>
    <t>이</t>
  </si>
  <si>
    <t>C</t>
  </si>
  <si>
    <t>15:00</t>
  </si>
  <si>
    <t>11:00</t>
  </si>
  <si>
    <t>2/2</t>
    <phoneticPr fontId="2" type="noConversion"/>
  </si>
  <si>
    <t>여기어때</t>
    <phoneticPr fontId="2" type="noConversion"/>
  </si>
  <si>
    <t>윤현선</t>
    <phoneticPr fontId="2" type="noConversion"/>
  </si>
  <si>
    <t>1</t>
    <phoneticPr fontId="2" type="noConversion"/>
  </si>
  <si>
    <t>체험단</t>
    <phoneticPr fontId="2" type="noConversion"/>
  </si>
  <si>
    <t>15:00</t>
    <phoneticPr fontId="2" type="noConversion"/>
  </si>
  <si>
    <t>11:00</t>
    <phoneticPr fontId="2" type="noConversion"/>
  </si>
  <si>
    <t>이</t>
    <phoneticPr fontId="2" type="noConversion"/>
  </si>
  <si>
    <t>김민수</t>
    <phoneticPr fontId="2" type="noConversion"/>
  </si>
  <si>
    <t>C</t>
    <phoneticPr fontId="2" type="noConversion"/>
  </si>
  <si>
    <t>1/2</t>
    <phoneticPr fontId="2" type="noConversion"/>
  </si>
  <si>
    <t>2/2</t>
    <phoneticPr fontId="2" type="noConversion"/>
  </si>
  <si>
    <t>야놀자</t>
    <phoneticPr fontId="2" type="noConversion"/>
  </si>
  <si>
    <t>황정윤</t>
    <phoneticPr fontId="2" type="noConversion"/>
  </si>
  <si>
    <t>V</t>
    <phoneticPr fontId="2" type="noConversion"/>
  </si>
  <si>
    <t>노기훈</t>
    <phoneticPr fontId="2" type="noConversion"/>
  </si>
  <si>
    <t>특가(랜덤)</t>
    <phoneticPr fontId="2" type="noConversion"/>
  </si>
  <si>
    <t>김유빈</t>
    <phoneticPr fontId="2" type="noConversion"/>
  </si>
  <si>
    <t>익스피디아</t>
    <phoneticPr fontId="2" type="noConversion"/>
  </si>
  <si>
    <t>김</t>
    <phoneticPr fontId="2" type="noConversion"/>
  </si>
  <si>
    <t>아고다</t>
    <phoneticPr fontId="2" type="noConversion"/>
  </si>
  <si>
    <t>트립</t>
    <phoneticPr fontId="2" type="noConversion"/>
  </si>
  <si>
    <t>B</t>
    <phoneticPr fontId="2" type="noConversion"/>
  </si>
  <si>
    <t>이연순</t>
    <phoneticPr fontId="2" type="noConversion"/>
  </si>
  <si>
    <t>황</t>
    <phoneticPr fontId="2" type="noConversion"/>
  </si>
  <si>
    <t>이정경 주간/김선우 야간/황경현 팀장</t>
    <phoneticPr fontId="2" type="noConversion"/>
  </si>
  <si>
    <t>신철우</t>
    <phoneticPr fontId="2" type="noConversion"/>
  </si>
  <si>
    <t>엄태영</t>
    <phoneticPr fontId="2" type="noConversion"/>
  </si>
  <si>
    <t>1/3</t>
    <phoneticPr fontId="2" type="noConversion"/>
  </si>
  <si>
    <t>2/3</t>
    <phoneticPr fontId="2" type="noConversion"/>
  </si>
  <si>
    <t>3/3</t>
    <phoneticPr fontId="2" type="noConversion"/>
  </si>
  <si>
    <t>김보결</t>
    <phoneticPr fontId="2" type="noConversion"/>
  </si>
  <si>
    <t>ST</t>
    <phoneticPr fontId="2" type="noConversion"/>
  </si>
  <si>
    <t>김선우</t>
    <phoneticPr fontId="2" type="noConversion"/>
  </si>
  <si>
    <t>8/31 미결제건</t>
    <phoneticPr fontId="2" type="noConversion"/>
  </si>
  <si>
    <t>박현수</t>
    <phoneticPr fontId="2" type="noConversion"/>
  </si>
  <si>
    <t>AD</t>
    <phoneticPr fontId="2" type="noConversion"/>
  </si>
  <si>
    <t>ZHU/TANGXING</t>
    <phoneticPr fontId="2" type="noConversion"/>
  </si>
  <si>
    <t>C업그레이드</t>
    <phoneticPr fontId="2" type="noConversion"/>
  </si>
  <si>
    <t>2</t>
    <phoneticPr fontId="2" type="noConversion"/>
  </si>
  <si>
    <t>김혜란</t>
    <phoneticPr fontId="2" type="noConversion"/>
  </si>
  <si>
    <t>박효찬</t>
    <phoneticPr fontId="2" type="noConversion"/>
  </si>
  <si>
    <t>백종훈</t>
    <phoneticPr fontId="2" type="noConversion"/>
  </si>
  <si>
    <t>오은비</t>
    <phoneticPr fontId="2" type="noConversion"/>
  </si>
  <si>
    <t>SD</t>
    <phoneticPr fontId="2" type="noConversion"/>
  </si>
  <si>
    <t>AT</t>
    <phoneticPr fontId="2" type="noConversion"/>
  </si>
  <si>
    <t>정경철</t>
    <phoneticPr fontId="2" type="noConversion"/>
  </si>
  <si>
    <t>권승욱</t>
    <phoneticPr fontId="2" type="noConversion"/>
  </si>
  <si>
    <t>이웅재</t>
    <phoneticPr fontId="2" type="noConversion"/>
  </si>
  <si>
    <t>장유미</t>
    <phoneticPr fontId="2" type="noConversion"/>
  </si>
  <si>
    <t>이유림</t>
    <phoneticPr fontId="2" type="noConversion"/>
  </si>
  <si>
    <t>ZHU/ZIYANG</t>
    <phoneticPr fontId="2" type="noConversion"/>
  </si>
  <si>
    <t>임승우</t>
    <phoneticPr fontId="2" type="noConversion"/>
  </si>
  <si>
    <t>방지은</t>
    <phoneticPr fontId="2" type="noConversion"/>
  </si>
  <si>
    <t>홍성빈</t>
    <phoneticPr fontId="2" type="noConversion"/>
  </si>
  <si>
    <t>양</t>
    <phoneticPr fontId="2" type="noConversion"/>
  </si>
  <si>
    <t>박상훈</t>
    <phoneticPr fontId="2" type="noConversion"/>
  </si>
  <si>
    <t>장서준</t>
    <phoneticPr fontId="2" type="noConversion"/>
  </si>
  <si>
    <t>정주경</t>
    <phoneticPr fontId="2" type="noConversion"/>
  </si>
  <si>
    <t>리센느</t>
    <phoneticPr fontId="2" type="noConversion"/>
  </si>
  <si>
    <t>권돈혁</t>
    <phoneticPr fontId="2" type="noConversion"/>
  </si>
  <si>
    <t>김진우1</t>
    <phoneticPr fontId="2" type="noConversion"/>
  </si>
  <si>
    <t>김진우2</t>
    <phoneticPr fontId="2" type="noConversion"/>
  </si>
  <si>
    <t>남현우</t>
    <phoneticPr fontId="2" type="noConversion"/>
  </si>
  <si>
    <t>조윤희</t>
    <phoneticPr fontId="2" type="noConversion"/>
  </si>
  <si>
    <t>정문서</t>
    <phoneticPr fontId="2" type="noConversion"/>
  </si>
  <si>
    <t>나승재</t>
    <phoneticPr fontId="2" type="noConversion"/>
  </si>
  <si>
    <t>강민진</t>
    <phoneticPr fontId="2" type="noConversion"/>
  </si>
  <si>
    <t>이수정</t>
    <phoneticPr fontId="2" type="noConversion"/>
  </si>
  <si>
    <t>전상훈</t>
    <phoneticPr fontId="2" type="noConversion"/>
  </si>
  <si>
    <t>홍석진</t>
    <phoneticPr fontId="2" type="noConversion"/>
  </si>
  <si>
    <t>김지혜</t>
    <phoneticPr fontId="2" type="noConversion"/>
  </si>
  <si>
    <t>조영주</t>
    <phoneticPr fontId="2" type="noConversion"/>
  </si>
  <si>
    <t>정우진</t>
    <phoneticPr fontId="2" type="noConversion"/>
  </si>
  <si>
    <t>네이버</t>
    <phoneticPr fontId="2" type="noConversion"/>
  </si>
  <si>
    <t>장세빈</t>
    <phoneticPr fontId="2" type="noConversion"/>
  </si>
  <si>
    <t>양동근 대체 / 김선우 야간 / 황경현 팀장</t>
    <phoneticPr fontId="2" type="noConversion"/>
  </si>
  <si>
    <t>전경민</t>
    <phoneticPr fontId="2" type="noConversion"/>
  </si>
  <si>
    <t>박민정</t>
    <phoneticPr fontId="2" type="noConversion"/>
  </si>
  <si>
    <t>이정경 주간/양동건 대체/황경현 팀장</t>
    <phoneticPr fontId="2" type="noConversion"/>
  </si>
  <si>
    <t>이정경 주간/양동건 대체/김선우 야간</t>
    <phoneticPr fontId="2" type="noConversion"/>
  </si>
  <si>
    <t>유기상</t>
    <phoneticPr fontId="2" type="noConversion"/>
  </si>
  <si>
    <t>이태연</t>
    <phoneticPr fontId="2" type="noConversion"/>
  </si>
  <si>
    <t>B업그레이드</t>
    <phoneticPr fontId="2" type="noConversion"/>
  </si>
  <si>
    <t>미고사</t>
    <phoneticPr fontId="2" type="noConversion"/>
  </si>
  <si>
    <t>이동욱</t>
    <phoneticPr fontId="2" type="noConversion"/>
  </si>
  <si>
    <t>이성빈</t>
    <phoneticPr fontId="2" type="noConversion"/>
  </si>
  <si>
    <t>1/4</t>
    <phoneticPr fontId="2" type="noConversion"/>
  </si>
  <si>
    <t>2/4</t>
    <phoneticPr fontId="2" type="noConversion"/>
  </si>
  <si>
    <t>3/4</t>
    <phoneticPr fontId="2" type="noConversion"/>
  </si>
  <si>
    <t>4/4</t>
    <phoneticPr fontId="2" type="noConversion"/>
  </si>
  <si>
    <t>백찬엽</t>
    <phoneticPr fontId="2" type="noConversion"/>
  </si>
  <si>
    <t>채널명</t>
    <phoneticPr fontId="2" type="noConversion"/>
  </si>
  <si>
    <t>Kwong/SiuFun</t>
    <phoneticPr fontId="2" type="noConversion"/>
  </si>
  <si>
    <t>1/7</t>
    <phoneticPr fontId="2" type="noConversion"/>
  </si>
  <si>
    <t>2/7</t>
    <phoneticPr fontId="2" type="noConversion"/>
  </si>
  <si>
    <t>우다현</t>
    <phoneticPr fontId="2" type="noConversion"/>
  </si>
  <si>
    <t>최홍석</t>
    <phoneticPr fontId="2" type="noConversion"/>
  </si>
  <si>
    <t>강희정</t>
    <phoneticPr fontId="2" type="noConversion"/>
  </si>
  <si>
    <t>이도규</t>
    <phoneticPr fontId="2" type="noConversion"/>
  </si>
  <si>
    <t>김영훈</t>
    <phoneticPr fontId="2" type="noConversion"/>
  </si>
  <si>
    <t>이미경</t>
    <phoneticPr fontId="2" type="noConversion"/>
  </si>
  <si>
    <t>백기문</t>
    <phoneticPr fontId="2" type="noConversion"/>
  </si>
  <si>
    <t>이덕항</t>
    <phoneticPr fontId="2" type="noConversion"/>
  </si>
  <si>
    <t>김영화</t>
    <phoneticPr fontId="2" type="noConversion"/>
  </si>
  <si>
    <t>임종진</t>
    <phoneticPr fontId="2" type="noConversion"/>
  </si>
  <si>
    <t>김화랑</t>
    <phoneticPr fontId="2" type="noConversion"/>
  </si>
  <si>
    <t>박상훈1</t>
    <phoneticPr fontId="2" type="noConversion"/>
  </si>
  <si>
    <t>박상훈2</t>
    <phoneticPr fontId="2" type="noConversion"/>
  </si>
  <si>
    <t>전화예약</t>
    <phoneticPr fontId="2" type="noConversion"/>
  </si>
  <si>
    <t>박기철1</t>
    <phoneticPr fontId="2" type="noConversion"/>
  </si>
  <si>
    <t>박기철2</t>
    <phoneticPr fontId="2" type="noConversion"/>
  </si>
  <si>
    <t>박기철3</t>
    <phoneticPr fontId="2" type="noConversion"/>
  </si>
  <si>
    <t>19일 체크아웃</t>
    <phoneticPr fontId="2" type="noConversion"/>
  </si>
  <si>
    <t>현장결제</t>
    <phoneticPr fontId="2" type="noConversion"/>
  </si>
  <si>
    <t>유자은</t>
    <phoneticPr fontId="2" type="noConversion"/>
  </si>
  <si>
    <t>김재현</t>
    <phoneticPr fontId="2" type="noConversion"/>
  </si>
  <si>
    <t>김건일</t>
    <phoneticPr fontId="2" type="noConversion"/>
  </si>
  <si>
    <t>배민환</t>
    <phoneticPr fontId="2" type="noConversion"/>
  </si>
  <si>
    <t>P/HW</t>
    <phoneticPr fontId="2" type="noConversion"/>
  </si>
  <si>
    <t>심주희</t>
    <phoneticPr fontId="2" type="noConversion"/>
  </si>
  <si>
    <t>박주환</t>
    <phoneticPr fontId="2" type="noConversion"/>
  </si>
  <si>
    <t>권병지</t>
    <phoneticPr fontId="2" type="noConversion"/>
  </si>
  <si>
    <t>김도근</t>
    <phoneticPr fontId="2" type="noConversion"/>
  </si>
  <si>
    <t>이지원</t>
    <phoneticPr fontId="2" type="noConversion"/>
  </si>
  <si>
    <t>황보현</t>
    <phoneticPr fontId="2" type="noConversion"/>
  </si>
  <si>
    <t>윤 휘</t>
    <phoneticPr fontId="2" type="noConversion"/>
  </si>
  <si>
    <t>정지민</t>
    <phoneticPr fontId="2" type="noConversion"/>
  </si>
  <si>
    <t>서유빈</t>
    <phoneticPr fontId="2" type="noConversion"/>
  </si>
  <si>
    <t>김경준</t>
    <phoneticPr fontId="2" type="noConversion"/>
  </si>
  <si>
    <t>이인석</t>
    <phoneticPr fontId="2" type="noConversion"/>
  </si>
  <si>
    <t>박정섭</t>
    <phoneticPr fontId="2" type="noConversion"/>
  </si>
  <si>
    <t>호텔나우</t>
    <phoneticPr fontId="2" type="noConversion"/>
  </si>
  <si>
    <t>김세원</t>
    <phoneticPr fontId="2" type="noConversion"/>
  </si>
  <si>
    <t>여기어떄</t>
    <phoneticPr fontId="2" type="noConversion"/>
  </si>
  <si>
    <t>박용환</t>
    <phoneticPr fontId="2" type="noConversion"/>
  </si>
  <si>
    <t>Jia/Wang</t>
    <phoneticPr fontId="2" type="noConversion"/>
  </si>
  <si>
    <t>Koji/Miura</t>
    <phoneticPr fontId="2" type="noConversion"/>
  </si>
  <si>
    <t>유승수1</t>
    <phoneticPr fontId="2" type="noConversion"/>
  </si>
  <si>
    <t>유승수2</t>
    <phoneticPr fontId="2" type="noConversion"/>
  </si>
  <si>
    <t>배범진</t>
    <phoneticPr fontId="2" type="noConversion"/>
  </si>
  <si>
    <t>업그레이드</t>
    <phoneticPr fontId="2" type="noConversion"/>
  </si>
  <si>
    <t>송인길</t>
    <phoneticPr fontId="2" type="noConversion"/>
  </si>
  <si>
    <t>라니</t>
    <phoneticPr fontId="2" type="noConversion"/>
  </si>
  <si>
    <t>에어</t>
    <phoneticPr fontId="2" type="noConversion"/>
  </si>
  <si>
    <t>Arfaoui</t>
  </si>
  <si>
    <t>Antoine/</t>
    <phoneticPr fontId="2" type="noConversion"/>
  </si>
  <si>
    <t>임영진</t>
    <phoneticPr fontId="2" type="noConversion"/>
  </si>
  <si>
    <t>장민익</t>
    <phoneticPr fontId="2" type="noConversion"/>
  </si>
  <si>
    <t>허설주</t>
    <phoneticPr fontId="2" type="noConversion"/>
  </si>
  <si>
    <t>전민정</t>
    <phoneticPr fontId="2" type="noConversion"/>
  </si>
  <si>
    <t>이환희</t>
    <phoneticPr fontId="2" type="noConversion"/>
  </si>
  <si>
    <t>김동환</t>
    <phoneticPr fontId="2" type="noConversion"/>
  </si>
  <si>
    <t>김종운</t>
    <phoneticPr fontId="2" type="noConversion"/>
  </si>
  <si>
    <t>이영규</t>
    <phoneticPr fontId="2" type="noConversion"/>
  </si>
  <si>
    <t>정경서</t>
    <phoneticPr fontId="2" type="noConversion"/>
  </si>
  <si>
    <t>김도완</t>
    <phoneticPr fontId="2" type="noConversion"/>
  </si>
  <si>
    <t>SD업그레이드</t>
    <phoneticPr fontId="2" type="noConversion"/>
  </si>
  <si>
    <t>박다솜</t>
    <phoneticPr fontId="2" type="noConversion"/>
  </si>
  <si>
    <t>전호정</t>
    <phoneticPr fontId="2" type="noConversion"/>
  </si>
  <si>
    <t>이제훈</t>
    <phoneticPr fontId="2" type="noConversion"/>
  </si>
  <si>
    <t>황은정</t>
    <phoneticPr fontId="2" type="noConversion"/>
  </si>
  <si>
    <t>명수정1</t>
    <phoneticPr fontId="2" type="noConversion"/>
  </si>
  <si>
    <t>모은지</t>
    <phoneticPr fontId="2" type="noConversion"/>
  </si>
  <si>
    <t>송정영</t>
    <phoneticPr fontId="2" type="noConversion"/>
  </si>
  <si>
    <t>시간 연장</t>
    <phoneticPr fontId="2" type="noConversion"/>
  </si>
  <si>
    <t>2H</t>
    <phoneticPr fontId="2" type="noConversion"/>
  </si>
  <si>
    <t>김민정</t>
    <phoneticPr fontId="2" type="noConversion"/>
  </si>
  <si>
    <t>유성주</t>
    <phoneticPr fontId="2" type="noConversion"/>
  </si>
  <si>
    <t>서정민</t>
    <phoneticPr fontId="2" type="noConversion"/>
  </si>
  <si>
    <t>김성진</t>
    <phoneticPr fontId="2" type="noConversion"/>
  </si>
  <si>
    <t>Miura1</t>
  </si>
  <si>
    <t>Miura2</t>
  </si>
  <si>
    <t>Koji/</t>
    <phoneticPr fontId="2" type="noConversion"/>
  </si>
  <si>
    <t>김성민</t>
    <phoneticPr fontId="2" type="noConversion"/>
  </si>
  <si>
    <t>1116호</t>
    <phoneticPr fontId="2" type="noConversion"/>
  </si>
  <si>
    <t>1H</t>
    <phoneticPr fontId="2" type="noConversion"/>
  </si>
  <si>
    <t>12:00</t>
    <phoneticPr fontId="2" type="noConversion"/>
  </si>
  <si>
    <t>주원일</t>
    <phoneticPr fontId="2" type="noConversion"/>
  </si>
  <si>
    <t>010-3833-8064</t>
    <phoneticPr fontId="2" type="noConversion"/>
  </si>
  <si>
    <t>고태원</t>
    <phoneticPr fontId="2" type="noConversion"/>
  </si>
  <si>
    <t>권민지</t>
    <phoneticPr fontId="2" type="noConversion"/>
  </si>
  <si>
    <t>이예주</t>
    <phoneticPr fontId="2" type="noConversion"/>
  </si>
  <si>
    <t>AD 이슈</t>
    <phoneticPr fontId="2" type="noConversion"/>
  </si>
  <si>
    <t>서채연</t>
    <phoneticPr fontId="2" type="noConversion"/>
  </si>
  <si>
    <t>김민서</t>
    <phoneticPr fontId="2" type="noConversion"/>
  </si>
  <si>
    <t>주예진</t>
    <phoneticPr fontId="2" type="noConversion"/>
  </si>
  <si>
    <t>현금지출</t>
    <phoneticPr fontId="2" type="noConversion"/>
  </si>
  <si>
    <t>메이드7h</t>
    <phoneticPr fontId="2" type="noConversion"/>
  </si>
  <si>
    <t>7만원</t>
    <phoneticPr fontId="2" type="noConversion"/>
  </si>
  <si>
    <t>장진희</t>
    <phoneticPr fontId="2" type="noConversion"/>
  </si>
  <si>
    <t>이선화</t>
    <phoneticPr fontId="2" type="noConversion"/>
  </si>
  <si>
    <t>임수아</t>
    <phoneticPr fontId="2" type="noConversion"/>
  </si>
  <si>
    <t>오한철</t>
    <phoneticPr fontId="2" type="noConversion"/>
  </si>
  <si>
    <t>최강</t>
    <phoneticPr fontId="2" type="noConversion"/>
  </si>
  <si>
    <t>김상완</t>
    <phoneticPr fontId="2" type="noConversion"/>
  </si>
  <si>
    <t>권기선</t>
    <phoneticPr fontId="2" type="noConversion"/>
  </si>
  <si>
    <t>AT업그레이드</t>
    <phoneticPr fontId="2" type="noConversion"/>
  </si>
  <si>
    <t>이옥희</t>
    <phoneticPr fontId="2" type="noConversion"/>
  </si>
  <si>
    <t>강하나</t>
    <phoneticPr fontId="2" type="noConversion"/>
  </si>
  <si>
    <t>조원영</t>
    <phoneticPr fontId="2" type="noConversion"/>
  </si>
  <si>
    <t>김민찬</t>
    <phoneticPr fontId="2" type="noConversion"/>
  </si>
  <si>
    <t>심홍천</t>
    <phoneticPr fontId="2" type="noConversion"/>
  </si>
  <si>
    <t>허성빈</t>
    <phoneticPr fontId="2" type="noConversion"/>
  </si>
  <si>
    <t>이채현</t>
    <phoneticPr fontId="2" type="noConversion"/>
  </si>
  <si>
    <t>이재희</t>
    <phoneticPr fontId="2" type="noConversion"/>
  </si>
  <si>
    <t>숙박연장</t>
    <phoneticPr fontId="2" type="noConversion"/>
  </si>
  <si>
    <t>황</t>
    <phoneticPr fontId="2" type="noConversion"/>
  </si>
  <si>
    <t>권민서</t>
    <phoneticPr fontId="2" type="noConversion"/>
  </si>
  <si>
    <t>V</t>
    <phoneticPr fontId="2" type="noConversion"/>
  </si>
  <si>
    <t>1</t>
    <phoneticPr fontId="2" type="noConversion"/>
  </si>
  <si>
    <t>여기어때</t>
    <phoneticPr fontId="2" type="noConversion"/>
  </si>
  <si>
    <t>9/7 701호</t>
    <phoneticPr fontId="2" type="noConversion"/>
  </si>
  <si>
    <t>1h연장</t>
    <phoneticPr fontId="2" type="noConversion"/>
  </si>
  <si>
    <t>12:00</t>
    <phoneticPr fontId="2" type="noConversion"/>
  </si>
  <si>
    <t>전호정</t>
    <phoneticPr fontId="2" type="noConversion"/>
  </si>
  <si>
    <t>9/7 702호</t>
    <phoneticPr fontId="2" type="noConversion"/>
  </si>
  <si>
    <t>강하나</t>
    <phoneticPr fontId="2" type="noConversion"/>
  </si>
  <si>
    <t>9/7 911호</t>
    <phoneticPr fontId="2" type="noConversion"/>
  </si>
  <si>
    <t>이예주</t>
    <phoneticPr fontId="2" type="noConversion"/>
  </si>
  <si>
    <t>강승우</t>
    <phoneticPr fontId="2" type="noConversion"/>
  </si>
  <si>
    <t>C</t>
    <phoneticPr fontId="2" type="noConversion"/>
  </si>
  <si>
    <t>양재만</t>
    <phoneticPr fontId="2" type="noConversion"/>
  </si>
  <si>
    <t>15:00</t>
    <phoneticPr fontId="2" type="noConversion"/>
  </si>
  <si>
    <t>AT</t>
    <phoneticPr fontId="2" type="noConversion"/>
  </si>
  <si>
    <t>9/7 409호</t>
    <phoneticPr fontId="2" type="noConversion"/>
  </si>
  <si>
    <t>2h연장</t>
    <phoneticPr fontId="2" type="noConversion"/>
  </si>
  <si>
    <t>13:00</t>
    <phoneticPr fontId="2" type="noConversion"/>
  </si>
  <si>
    <t>아고다</t>
    <phoneticPr fontId="2" type="noConversion"/>
  </si>
  <si>
    <t>1/2</t>
    <phoneticPr fontId="2" type="noConversion"/>
  </si>
  <si>
    <t>이</t>
    <phoneticPr fontId="2" type="noConversion"/>
  </si>
  <si>
    <t>2/2</t>
    <phoneticPr fontId="2" type="noConversion"/>
  </si>
  <si>
    <t>조은서</t>
    <phoneticPr fontId="2" type="noConversion"/>
  </si>
  <si>
    <t>11:00</t>
    <phoneticPr fontId="2" type="noConversion"/>
  </si>
  <si>
    <t>야놀자</t>
    <phoneticPr fontId="2" type="noConversion"/>
  </si>
  <si>
    <t>김미소</t>
    <phoneticPr fontId="2" type="noConversion"/>
  </si>
  <si>
    <t>C업그레이드</t>
    <phoneticPr fontId="2" type="noConversion"/>
  </si>
  <si>
    <t>김동준</t>
    <phoneticPr fontId="2" type="noConversion"/>
  </si>
  <si>
    <t>B</t>
    <phoneticPr fontId="2" type="noConversion"/>
  </si>
  <si>
    <t>SD</t>
    <phoneticPr fontId="2" type="noConversion"/>
  </si>
  <si>
    <t>이수연</t>
    <phoneticPr fontId="2" type="noConversion"/>
  </si>
  <si>
    <t>써니문</t>
    <phoneticPr fontId="2" type="noConversion"/>
  </si>
  <si>
    <t>리뷰체험단</t>
    <phoneticPr fontId="2" type="noConversion"/>
  </si>
  <si>
    <t>송수진</t>
    <phoneticPr fontId="2" type="noConversion"/>
  </si>
  <si>
    <t>이성철</t>
    <phoneticPr fontId="2" type="noConversion"/>
  </si>
  <si>
    <t>남규민</t>
    <phoneticPr fontId="2" type="noConversion"/>
  </si>
  <si>
    <t>ST</t>
    <phoneticPr fontId="2" type="noConversion"/>
  </si>
  <si>
    <t>권한주</t>
    <phoneticPr fontId="2" type="noConversion"/>
  </si>
  <si>
    <t>호텔나우</t>
    <phoneticPr fontId="2" type="noConversion"/>
  </si>
  <si>
    <t>최창진</t>
    <phoneticPr fontId="2" type="noConversion"/>
  </si>
  <si>
    <t>김</t>
    <phoneticPr fontId="2" type="noConversion"/>
  </si>
  <si>
    <t>김현서</t>
    <phoneticPr fontId="2" type="noConversion"/>
  </si>
  <si>
    <t>특가(랜덤)</t>
    <phoneticPr fontId="2" type="noConversion"/>
  </si>
  <si>
    <t>AD</t>
    <phoneticPr fontId="2" type="noConversion"/>
  </si>
  <si>
    <t>장동섭</t>
    <phoneticPr fontId="2" type="noConversion"/>
  </si>
  <si>
    <t>2</t>
    <phoneticPr fontId="2" type="noConversion"/>
  </si>
  <si>
    <t>유영일</t>
    <phoneticPr fontId="2" type="noConversion"/>
  </si>
  <si>
    <t>장주희</t>
    <phoneticPr fontId="2" type="noConversion"/>
  </si>
  <si>
    <t>김채은</t>
    <phoneticPr fontId="2" type="noConversion"/>
  </si>
  <si>
    <t>냥집사</t>
    <phoneticPr fontId="2" type="noConversion"/>
  </si>
  <si>
    <t>나예준</t>
    <phoneticPr fontId="2" type="noConversion"/>
  </si>
  <si>
    <t>JING WANG</t>
    <phoneticPr fontId="2" type="noConversion"/>
  </si>
  <si>
    <t>양소은</t>
    <phoneticPr fontId="2" type="noConversion"/>
  </si>
  <si>
    <t>신철우</t>
    <phoneticPr fontId="2" type="noConversion"/>
  </si>
  <si>
    <t>나경호</t>
    <phoneticPr fontId="2" type="noConversion"/>
  </si>
  <si>
    <t>B업그레이드</t>
    <phoneticPr fontId="2" type="noConversion"/>
  </si>
  <si>
    <t>전화예약</t>
    <phoneticPr fontId="2" type="noConversion"/>
  </si>
  <si>
    <t>남부현</t>
    <phoneticPr fontId="2" type="noConversion"/>
  </si>
  <si>
    <t>현장결제</t>
    <phoneticPr fontId="2" type="noConversion"/>
  </si>
  <si>
    <t>강동휘</t>
    <phoneticPr fontId="2" type="noConversion"/>
  </si>
  <si>
    <t>정채윤</t>
    <phoneticPr fontId="2" type="noConversion"/>
  </si>
  <si>
    <t>이문진</t>
    <phoneticPr fontId="2" type="noConversion"/>
  </si>
  <si>
    <t>임우진</t>
    <phoneticPr fontId="2" type="noConversion"/>
  </si>
  <si>
    <t>AD업그레이드</t>
    <phoneticPr fontId="2" type="noConversion"/>
  </si>
  <si>
    <t>임창재</t>
    <phoneticPr fontId="2" type="noConversion"/>
  </si>
  <si>
    <t>양경옥</t>
    <phoneticPr fontId="2" type="noConversion"/>
  </si>
  <si>
    <t>김시은</t>
    <phoneticPr fontId="2" type="noConversion"/>
  </si>
  <si>
    <t>이도연</t>
    <phoneticPr fontId="2" type="noConversion"/>
  </si>
  <si>
    <t>오상훈</t>
    <phoneticPr fontId="2" type="noConversion"/>
  </si>
  <si>
    <t>박큰울</t>
    <phoneticPr fontId="2" type="noConversion"/>
  </si>
  <si>
    <t>김유니</t>
    <phoneticPr fontId="2" type="noConversion"/>
  </si>
  <si>
    <t>안단비</t>
    <phoneticPr fontId="2" type="noConversion"/>
  </si>
  <si>
    <t>2/9</t>
    <phoneticPr fontId="2" type="noConversion"/>
  </si>
  <si>
    <t>3/9</t>
    <phoneticPr fontId="2" type="noConversion"/>
  </si>
  <si>
    <t>4/9</t>
    <phoneticPr fontId="2" type="noConversion"/>
  </si>
  <si>
    <t>김광민</t>
    <phoneticPr fontId="2" type="noConversion"/>
  </si>
  <si>
    <t>홍승표</t>
    <phoneticPr fontId="2" type="noConversion"/>
  </si>
  <si>
    <t>최현식</t>
    <phoneticPr fontId="2" type="noConversion"/>
  </si>
  <si>
    <t>이원희</t>
    <phoneticPr fontId="2" type="noConversion"/>
  </si>
  <si>
    <t>류경호</t>
    <phoneticPr fontId="2" type="noConversion"/>
  </si>
  <si>
    <t>김동현</t>
    <phoneticPr fontId="2" type="noConversion"/>
  </si>
  <si>
    <t>조정민</t>
    <phoneticPr fontId="2" type="noConversion"/>
  </si>
  <si>
    <t>최유선</t>
    <phoneticPr fontId="2" type="noConversion"/>
  </si>
  <si>
    <t>HE XIAOHUI</t>
  </si>
  <si>
    <t>진호성</t>
    <phoneticPr fontId="2" type="noConversion"/>
  </si>
  <si>
    <t>임홍일</t>
    <phoneticPr fontId="2" type="noConversion"/>
  </si>
  <si>
    <t>김소현</t>
    <phoneticPr fontId="2" type="noConversion"/>
  </si>
  <si>
    <t>메모참조</t>
    <phoneticPr fontId="2" type="noConversion"/>
  </si>
  <si>
    <t>조경진</t>
    <phoneticPr fontId="2" type="noConversion"/>
  </si>
  <si>
    <t>양</t>
    <phoneticPr fontId="2" type="noConversion"/>
  </si>
  <si>
    <t>차승준</t>
    <phoneticPr fontId="2" type="noConversion"/>
  </si>
  <si>
    <t>김연식</t>
    <phoneticPr fontId="2" type="noConversion"/>
  </si>
  <si>
    <t>부산외대1</t>
    <phoneticPr fontId="2" type="noConversion"/>
  </si>
  <si>
    <t>부산외대2</t>
  </si>
  <si>
    <t>부산외대3</t>
  </si>
  <si>
    <t>부산외대4</t>
  </si>
  <si>
    <t>부산외대5</t>
  </si>
  <si>
    <t>부산외대6</t>
  </si>
  <si>
    <t>부산외대7</t>
  </si>
  <si>
    <t>류민철</t>
    <phoneticPr fontId="2" type="noConversion"/>
  </si>
  <si>
    <t>slm jae klum</t>
    <phoneticPr fontId="2" type="noConversion"/>
  </si>
  <si>
    <t>9/10 예약건</t>
    <phoneticPr fontId="2" type="noConversion"/>
  </si>
  <si>
    <t>문다희</t>
    <phoneticPr fontId="2" type="noConversion"/>
  </si>
  <si>
    <t>김병준</t>
    <phoneticPr fontId="2" type="noConversion"/>
  </si>
  <si>
    <t>허병훈</t>
    <phoneticPr fontId="2" type="noConversion"/>
  </si>
  <si>
    <t>1/5</t>
    <phoneticPr fontId="2" type="noConversion"/>
  </si>
  <si>
    <t>김현아</t>
    <phoneticPr fontId="2" type="noConversion"/>
  </si>
  <si>
    <t>정재원</t>
    <phoneticPr fontId="2" type="noConversion"/>
  </si>
  <si>
    <t>양동건 대체 /김선우 야간/황경현 팀장</t>
    <phoneticPr fontId="2" type="noConversion"/>
  </si>
  <si>
    <t>장준식</t>
    <phoneticPr fontId="2" type="noConversion"/>
  </si>
  <si>
    <t>조석기</t>
    <phoneticPr fontId="2" type="noConversion"/>
  </si>
  <si>
    <t>이윤지</t>
    <phoneticPr fontId="2" type="noConversion"/>
  </si>
  <si>
    <t>단호정</t>
    <phoneticPr fontId="2" type="noConversion"/>
  </si>
  <si>
    <t>이현준</t>
    <phoneticPr fontId="2" type="noConversion"/>
  </si>
  <si>
    <t>윤상일</t>
    <phoneticPr fontId="2" type="noConversion"/>
  </si>
  <si>
    <t>홍정태</t>
    <phoneticPr fontId="2" type="noConversion"/>
  </si>
  <si>
    <t>남보라</t>
    <phoneticPr fontId="2" type="noConversion"/>
  </si>
  <si>
    <t>TOWA OKUDA</t>
  </si>
  <si>
    <t>김건일</t>
    <phoneticPr fontId="2" type="noConversion"/>
  </si>
  <si>
    <t>오창영</t>
    <phoneticPr fontId="2" type="noConversion"/>
  </si>
  <si>
    <t>정경인</t>
    <phoneticPr fontId="2" type="noConversion"/>
  </si>
  <si>
    <t>황정준</t>
    <phoneticPr fontId="2" type="noConversion"/>
  </si>
  <si>
    <t>워크인</t>
    <phoneticPr fontId="2" type="noConversion"/>
  </si>
  <si>
    <t>김은경</t>
    <phoneticPr fontId="2" type="noConversion"/>
  </si>
  <si>
    <t>9/10 1115호</t>
    <phoneticPr fontId="2" type="noConversion"/>
  </si>
  <si>
    <t>장필성</t>
    <phoneticPr fontId="2" type="noConversion"/>
  </si>
  <si>
    <t>1</t>
    <phoneticPr fontId="2" type="noConversion"/>
  </si>
  <si>
    <t>황</t>
    <phoneticPr fontId="2" type="noConversion"/>
  </si>
  <si>
    <t>노유경</t>
    <phoneticPr fontId="2" type="noConversion"/>
  </si>
  <si>
    <t>C</t>
    <phoneticPr fontId="2" type="noConversion"/>
  </si>
  <si>
    <t>여기어때</t>
    <phoneticPr fontId="2" type="noConversion"/>
  </si>
  <si>
    <t>이호진</t>
    <phoneticPr fontId="2" type="noConversion"/>
  </si>
  <si>
    <t>1박연장</t>
    <phoneticPr fontId="2" type="noConversion"/>
  </si>
  <si>
    <t>아고다</t>
    <phoneticPr fontId="2" type="noConversion"/>
  </si>
  <si>
    <t>유은지</t>
    <phoneticPr fontId="2" type="noConversion"/>
  </si>
  <si>
    <t>야놀자</t>
    <phoneticPr fontId="2" type="noConversion"/>
  </si>
  <si>
    <t>심윤지</t>
    <phoneticPr fontId="2" type="noConversion"/>
  </si>
  <si>
    <t>특가(랜덤)</t>
    <phoneticPr fontId="2" type="noConversion"/>
  </si>
  <si>
    <t>제현도</t>
    <phoneticPr fontId="2" type="noConversion"/>
  </si>
  <si>
    <t>윤성호</t>
    <phoneticPr fontId="2" type="noConversion"/>
  </si>
  <si>
    <t>익스피디아</t>
    <phoneticPr fontId="2" type="noConversion"/>
  </si>
  <si>
    <t>백진엽</t>
    <phoneticPr fontId="2" type="noConversion"/>
  </si>
  <si>
    <t>김미해</t>
    <phoneticPr fontId="2" type="noConversion"/>
  </si>
  <si>
    <t>B</t>
    <phoneticPr fontId="2" type="noConversion"/>
  </si>
  <si>
    <t>1/2</t>
    <phoneticPr fontId="2" type="noConversion"/>
  </si>
  <si>
    <t>김성민</t>
    <phoneticPr fontId="2" type="noConversion"/>
  </si>
  <si>
    <t>리뷰체험단</t>
    <phoneticPr fontId="2" type="noConversion"/>
  </si>
  <si>
    <t>호텔나우</t>
    <phoneticPr fontId="2" type="noConversion"/>
  </si>
  <si>
    <t>한현덕</t>
    <phoneticPr fontId="2" type="noConversion"/>
  </si>
  <si>
    <t>AD</t>
    <phoneticPr fontId="2" type="noConversion"/>
  </si>
  <si>
    <t>서명원</t>
    <phoneticPr fontId="2" type="noConversion"/>
  </si>
  <si>
    <t>조명호</t>
    <phoneticPr fontId="2" type="noConversion"/>
  </si>
  <si>
    <t>SD</t>
    <phoneticPr fontId="2" type="noConversion"/>
  </si>
  <si>
    <t>ST</t>
    <phoneticPr fontId="2" type="noConversion"/>
  </si>
  <si>
    <t>연박</t>
    <phoneticPr fontId="2" type="noConversion"/>
  </si>
  <si>
    <t>업그레이드</t>
    <phoneticPr fontId="2" type="noConversion"/>
  </si>
  <si>
    <t>15:00</t>
    <phoneticPr fontId="2" type="noConversion"/>
  </si>
  <si>
    <t>11:00</t>
    <phoneticPr fontId="2" type="noConversion"/>
  </si>
  <si>
    <t>이</t>
    <phoneticPr fontId="2" type="noConversion"/>
  </si>
  <si>
    <t>트립</t>
    <phoneticPr fontId="2" type="noConversion"/>
  </si>
  <si>
    <t>김새은</t>
    <phoneticPr fontId="2" type="noConversion"/>
  </si>
  <si>
    <t>1/3</t>
    <phoneticPr fontId="2" type="noConversion"/>
  </si>
  <si>
    <t>손정현</t>
    <phoneticPr fontId="2" type="noConversion"/>
  </si>
  <si>
    <t>AT</t>
    <phoneticPr fontId="2" type="noConversion"/>
  </si>
  <si>
    <t>정희승</t>
    <phoneticPr fontId="2" type="noConversion"/>
  </si>
  <si>
    <t>네이버</t>
    <phoneticPr fontId="2" type="noConversion"/>
  </si>
  <si>
    <t>양성백</t>
    <phoneticPr fontId="2" type="noConversion"/>
  </si>
  <si>
    <t>1/9</t>
    <phoneticPr fontId="2" type="noConversion"/>
  </si>
  <si>
    <t>윤세정</t>
    <phoneticPr fontId="2" type="noConversion"/>
  </si>
  <si>
    <t>JING WANG</t>
  </si>
  <si>
    <t>2</t>
    <phoneticPr fontId="2" type="noConversion"/>
  </si>
  <si>
    <t>임예림</t>
    <phoneticPr fontId="2" type="noConversion"/>
  </si>
  <si>
    <t>이지연</t>
    <phoneticPr fontId="2" type="noConversion"/>
  </si>
  <si>
    <t>윤상일</t>
    <phoneticPr fontId="2" type="noConversion"/>
  </si>
  <si>
    <t>송혜원</t>
    <phoneticPr fontId="2" type="noConversion"/>
  </si>
  <si>
    <t>9/10 1011호</t>
    <phoneticPr fontId="2" type="noConversion"/>
  </si>
  <si>
    <t>야놀자</t>
    <phoneticPr fontId="2" type="noConversion"/>
  </si>
  <si>
    <t>김성민</t>
    <phoneticPr fontId="2" type="noConversion"/>
  </si>
  <si>
    <t>B</t>
    <phoneticPr fontId="2" type="noConversion"/>
  </si>
  <si>
    <t>1박연장</t>
    <phoneticPr fontId="2" type="noConversion"/>
  </si>
  <si>
    <t>서지혜</t>
    <phoneticPr fontId="2" type="noConversion"/>
  </si>
  <si>
    <t>여기어때</t>
    <phoneticPr fontId="2" type="noConversion"/>
  </si>
  <si>
    <t>김동환</t>
    <phoneticPr fontId="2" type="noConversion"/>
  </si>
  <si>
    <t>1</t>
    <phoneticPr fontId="2" type="noConversion"/>
  </si>
  <si>
    <t>백제현</t>
    <phoneticPr fontId="2" type="noConversion"/>
  </si>
  <si>
    <t>1/2</t>
    <phoneticPr fontId="2" type="noConversion"/>
  </si>
  <si>
    <t>B업그레이드</t>
    <phoneticPr fontId="2" type="noConversion"/>
  </si>
  <si>
    <t>이정경주간/양동건대체/김선우야간</t>
    <phoneticPr fontId="2" type="noConversion"/>
  </si>
  <si>
    <t>SD</t>
    <phoneticPr fontId="2" type="noConversion"/>
  </si>
  <si>
    <t>이현민</t>
    <phoneticPr fontId="2" type="noConversion"/>
  </si>
  <si>
    <t>아고다</t>
    <phoneticPr fontId="2" type="noConversion"/>
  </si>
  <si>
    <t>이은희1</t>
    <phoneticPr fontId="2" type="noConversion"/>
  </si>
  <si>
    <t>이</t>
    <phoneticPr fontId="2" type="noConversion"/>
  </si>
  <si>
    <t>이은희2</t>
    <phoneticPr fontId="2" type="noConversion"/>
  </si>
  <si>
    <t>박다솜</t>
    <phoneticPr fontId="2" type="noConversion"/>
  </si>
  <si>
    <t>010-6717-4034</t>
    <phoneticPr fontId="2" type="noConversion"/>
  </si>
  <si>
    <t>야놀자</t>
    <phoneticPr fontId="2" type="noConversion"/>
  </si>
  <si>
    <t>조성주</t>
    <phoneticPr fontId="2" type="noConversion"/>
  </si>
  <si>
    <t>1</t>
    <phoneticPr fontId="2" type="noConversion"/>
  </si>
  <si>
    <t>여기어때</t>
    <phoneticPr fontId="2" type="noConversion"/>
  </si>
  <si>
    <t>B</t>
    <phoneticPr fontId="2" type="noConversion"/>
  </si>
  <si>
    <t>이</t>
    <phoneticPr fontId="2" type="noConversion"/>
  </si>
  <si>
    <t>SD</t>
    <phoneticPr fontId="2" type="noConversion"/>
  </si>
  <si>
    <t>아고다</t>
    <phoneticPr fontId="2" type="noConversion"/>
  </si>
  <si>
    <t>Song/</t>
    <phoneticPr fontId="2" type="noConversion"/>
  </si>
  <si>
    <t>Bogart</t>
    <phoneticPr fontId="2" type="noConversion"/>
  </si>
  <si>
    <t>AT</t>
    <phoneticPr fontId="2" type="noConversion"/>
  </si>
  <si>
    <t>최서현</t>
    <phoneticPr fontId="2" type="noConversion"/>
  </si>
  <si>
    <t>트립</t>
    <phoneticPr fontId="2" type="noConversion"/>
  </si>
  <si>
    <t>김나라</t>
    <phoneticPr fontId="2" type="noConversion"/>
  </si>
  <si>
    <t>C</t>
    <phoneticPr fontId="2" type="noConversion"/>
  </si>
  <si>
    <t>백종훈</t>
    <phoneticPr fontId="2" type="noConversion"/>
  </si>
  <si>
    <t>호텔나우</t>
    <phoneticPr fontId="2" type="noConversion"/>
  </si>
  <si>
    <t>이원희</t>
    <phoneticPr fontId="2" type="noConversion"/>
  </si>
  <si>
    <t>V</t>
    <phoneticPr fontId="2" type="noConversion"/>
  </si>
  <si>
    <t>연박요청</t>
    <phoneticPr fontId="2" type="noConversion"/>
  </si>
  <si>
    <t>연박</t>
    <phoneticPr fontId="2" type="noConversion"/>
  </si>
  <si>
    <t>익스피디아</t>
    <phoneticPr fontId="2" type="noConversion"/>
  </si>
  <si>
    <t>홍석호</t>
    <phoneticPr fontId="2" type="noConversion"/>
  </si>
  <si>
    <t>최영준</t>
    <phoneticPr fontId="2" type="noConversion"/>
  </si>
  <si>
    <t>2</t>
    <phoneticPr fontId="2" type="noConversion"/>
  </si>
  <si>
    <t>박재현</t>
    <phoneticPr fontId="2" type="noConversion"/>
  </si>
  <si>
    <t>김원기</t>
    <phoneticPr fontId="2" type="noConversion"/>
  </si>
  <si>
    <t>김</t>
    <phoneticPr fontId="2" type="noConversion"/>
  </si>
  <si>
    <t>C업그레이드</t>
    <phoneticPr fontId="2" type="noConversion"/>
  </si>
  <si>
    <t>박지웅</t>
    <phoneticPr fontId="2" type="noConversion"/>
  </si>
  <si>
    <t>AD</t>
    <phoneticPr fontId="2" type="noConversion"/>
  </si>
  <si>
    <t>류한영</t>
    <phoneticPr fontId="2" type="noConversion"/>
  </si>
  <si>
    <t>박헌주</t>
    <phoneticPr fontId="2" type="noConversion"/>
  </si>
  <si>
    <t>임진아</t>
    <phoneticPr fontId="2" type="noConversion"/>
  </si>
  <si>
    <t>1/2</t>
    <phoneticPr fontId="2" type="noConversion"/>
  </si>
  <si>
    <t>2/2</t>
    <phoneticPr fontId="2" type="noConversion"/>
  </si>
  <si>
    <t>배유진</t>
    <phoneticPr fontId="2" type="noConversion"/>
  </si>
  <si>
    <t>김민지</t>
    <phoneticPr fontId="2" type="noConversion"/>
  </si>
  <si>
    <t>최유진</t>
    <phoneticPr fontId="2" type="noConversion"/>
  </si>
  <si>
    <t>이수연</t>
    <phoneticPr fontId="2" type="noConversion"/>
  </si>
  <si>
    <t>메모참조</t>
    <phoneticPr fontId="2" type="noConversion"/>
  </si>
  <si>
    <t>네이버</t>
    <phoneticPr fontId="2" type="noConversion"/>
  </si>
  <si>
    <t>한아름</t>
    <phoneticPr fontId="2" type="noConversion"/>
  </si>
  <si>
    <t>신수연</t>
    <phoneticPr fontId="2" type="noConversion"/>
  </si>
  <si>
    <t>호텔타임</t>
    <phoneticPr fontId="2" type="noConversion"/>
  </si>
  <si>
    <t>이세영</t>
    <phoneticPr fontId="2" type="noConversion"/>
  </si>
  <si>
    <t>김성민</t>
    <phoneticPr fontId="2" type="noConversion"/>
  </si>
  <si>
    <t>황</t>
    <phoneticPr fontId="2" type="noConversion"/>
  </si>
  <si>
    <t>연박진행</t>
    <phoneticPr fontId="2" type="noConversion"/>
  </si>
  <si>
    <t>박정은</t>
    <phoneticPr fontId="2" type="noConversion"/>
  </si>
  <si>
    <t>리뷰체험단</t>
    <phoneticPr fontId="2" type="noConversion"/>
  </si>
  <si>
    <t>서유지</t>
    <phoneticPr fontId="2" type="noConversion"/>
  </si>
  <si>
    <t>15:00</t>
    <phoneticPr fontId="2" type="noConversion"/>
  </si>
  <si>
    <t>13:00</t>
    <phoneticPr fontId="2" type="noConversion"/>
  </si>
  <si>
    <t>김윤정</t>
    <phoneticPr fontId="2" type="noConversion"/>
  </si>
  <si>
    <t>1/3</t>
    <phoneticPr fontId="2" type="noConversion"/>
  </si>
  <si>
    <t>2/3</t>
    <phoneticPr fontId="2" type="noConversion"/>
  </si>
  <si>
    <t>3/3</t>
    <phoneticPr fontId="2" type="noConversion"/>
  </si>
  <si>
    <t>오화영</t>
    <phoneticPr fontId="2" type="noConversion"/>
  </si>
  <si>
    <t>정승원</t>
    <phoneticPr fontId="2" type="noConversion"/>
  </si>
  <si>
    <t>서지연</t>
    <phoneticPr fontId="2" type="noConversion"/>
  </si>
  <si>
    <t>정휘문</t>
    <phoneticPr fontId="2" type="noConversion"/>
  </si>
  <si>
    <t>이예련</t>
    <phoneticPr fontId="2" type="noConversion"/>
  </si>
  <si>
    <t>11:00</t>
    <phoneticPr fontId="2" type="noConversion"/>
  </si>
  <si>
    <t>B업그레이드</t>
    <phoneticPr fontId="2" type="noConversion"/>
  </si>
  <si>
    <t>ST</t>
    <phoneticPr fontId="2" type="noConversion"/>
  </si>
  <si>
    <t>김민주</t>
    <phoneticPr fontId="2" type="noConversion"/>
  </si>
  <si>
    <t>최지회</t>
    <phoneticPr fontId="2" type="noConversion"/>
  </si>
  <si>
    <t>이진혁</t>
    <phoneticPr fontId="2" type="noConversion"/>
  </si>
  <si>
    <t>1/7</t>
    <phoneticPr fontId="2" type="noConversion"/>
  </si>
  <si>
    <t>유지명</t>
    <phoneticPr fontId="2" type="noConversion"/>
  </si>
  <si>
    <t>2/7</t>
    <phoneticPr fontId="2" type="noConversion"/>
  </si>
  <si>
    <t>3/7</t>
    <phoneticPr fontId="2" type="noConversion"/>
  </si>
  <si>
    <t>4/7</t>
    <phoneticPr fontId="2" type="noConversion"/>
  </si>
  <si>
    <t>5/7</t>
    <phoneticPr fontId="2" type="noConversion"/>
  </si>
  <si>
    <t>6/7</t>
    <phoneticPr fontId="2" type="noConversion"/>
  </si>
  <si>
    <t>7/7</t>
    <phoneticPr fontId="2" type="noConversion"/>
  </si>
  <si>
    <t>현대중공업</t>
    <phoneticPr fontId="2" type="noConversion"/>
  </si>
  <si>
    <t>페이백</t>
    <phoneticPr fontId="2" type="noConversion"/>
  </si>
  <si>
    <t>1/12</t>
    <phoneticPr fontId="2" type="noConversion"/>
  </si>
  <si>
    <t>최하늘</t>
    <phoneticPr fontId="2" type="noConversion"/>
  </si>
  <si>
    <t>AD업그레이드</t>
    <phoneticPr fontId="2" type="noConversion"/>
  </si>
  <si>
    <t>김덕선</t>
    <phoneticPr fontId="2" type="noConversion"/>
  </si>
  <si>
    <t>최민열</t>
    <phoneticPr fontId="2" type="noConversion"/>
  </si>
  <si>
    <t>박무각</t>
    <phoneticPr fontId="2" type="noConversion"/>
  </si>
  <si>
    <t>구희영</t>
    <phoneticPr fontId="2" type="noConversion"/>
  </si>
  <si>
    <t>SD업그레이드</t>
    <phoneticPr fontId="2" type="noConversion"/>
  </si>
  <si>
    <t>이동건</t>
    <phoneticPr fontId="2" type="noConversion"/>
  </si>
  <si>
    <t>김태환</t>
    <phoneticPr fontId="2" type="noConversion"/>
  </si>
  <si>
    <t>전화예약</t>
    <phoneticPr fontId="2" type="noConversion"/>
  </si>
  <si>
    <t>김태정</t>
    <phoneticPr fontId="2" type="noConversion"/>
  </si>
  <si>
    <t>이성광</t>
    <phoneticPr fontId="2" type="noConversion"/>
  </si>
  <si>
    <t>최우영</t>
    <phoneticPr fontId="2" type="noConversion"/>
  </si>
  <si>
    <t>Haksoon Ook</t>
  </si>
  <si>
    <t>Kwonr/SiuFun</t>
    <phoneticPr fontId="2" type="noConversion"/>
  </si>
  <si>
    <t>양성백</t>
    <phoneticPr fontId="2" type="noConversion"/>
  </si>
  <si>
    <t>7/9</t>
    <phoneticPr fontId="2" type="noConversion"/>
  </si>
  <si>
    <t>최은본</t>
    <phoneticPr fontId="2" type="noConversion"/>
  </si>
  <si>
    <t>정채윤</t>
    <phoneticPr fontId="2" type="noConversion"/>
  </si>
  <si>
    <t>손준평</t>
    <phoneticPr fontId="2" type="noConversion"/>
  </si>
  <si>
    <t>이현정</t>
    <phoneticPr fontId="2" type="noConversion"/>
  </si>
  <si>
    <t>최경훈</t>
    <phoneticPr fontId="2" type="noConversion"/>
  </si>
  <si>
    <t>박소라</t>
    <phoneticPr fontId="2" type="noConversion"/>
  </si>
  <si>
    <t>AT업그레이드</t>
    <phoneticPr fontId="2" type="noConversion"/>
  </si>
  <si>
    <t>P HW</t>
    <phoneticPr fontId="2" type="noConversion"/>
  </si>
  <si>
    <t>이성규</t>
    <phoneticPr fontId="2" type="noConversion"/>
  </si>
  <si>
    <t>강민나</t>
    <phoneticPr fontId="2" type="noConversion"/>
  </si>
  <si>
    <t>윤이준</t>
    <phoneticPr fontId="2" type="noConversion"/>
  </si>
  <si>
    <t>강찬</t>
    <phoneticPr fontId="2" type="noConversion"/>
  </si>
  <si>
    <t>유형주</t>
    <phoneticPr fontId="2" type="noConversion"/>
  </si>
  <si>
    <t>010-9570-8288</t>
    <phoneticPr fontId="2" type="noConversion"/>
  </si>
  <si>
    <t>임수연</t>
    <phoneticPr fontId="2" type="noConversion"/>
  </si>
  <si>
    <t>강민수</t>
    <phoneticPr fontId="2" type="noConversion"/>
  </si>
  <si>
    <t>디퓨저뺌</t>
    <phoneticPr fontId="2" type="noConversion"/>
  </si>
  <si>
    <t>성낙진</t>
    <phoneticPr fontId="2" type="noConversion"/>
  </si>
  <si>
    <t>유정</t>
    <phoneticPr fontId="2" type="noConversion"/>
  </si>
  <si>
    <t>c업그레이드</t>
    <phoneticPr fontId="2" type="noConversion"/>
  </si>
  <si>
    <t>이현화</t>
    <phoneticPr fontId="2" type="noConversion"/>
  </si>
  <si>
    <t>김경빈</t>
    <phoneticPr fontId="2" type="noConversion"/>
  </si>
  <si>
    <t>예원</t>
    <phoneticPr fontId="2" type="noConversion"/>
  </si>
  <si>
    <t>유희정</t>
    <phoneticPr fontId="2" type="noConversion"/>
  </si>
  <si>
    <t>최형원</t>
    <phoneticPr fontId="2" type="noConversion"/>
  </si>
  <si>
    <t>유준현</t>
    <phoneticPr fontId="2" type="noConversion"/>
  </si>
  <si>
    <t>이종민</t>
    <phoneticPr fontId="2" type="noConversion"/>
  </si>
  <si>
    <t>이찬호</t>
    <phoneticPr fontId="2" type="noConversion"/>
  </si>
  <si>
    <t>강완구</t>
    <phoneticPr fontId="2" type="noConversion"/>
  </si>
  <si>
    <t xml:space="preserve"> </t>
    <phoneticPr fontId="2" type="noConversion"/>
  </si>
  <si>
    <t>양동건 대체/김선우 야간/황경현 팀장</t>
    <phoneticPr fontId="2" type="noConversion"/>
  </si>
  <si>
    <t>9/14 1107</t>
    <phoneticPr fontId="2" type="noConversion"/>
  </si>
  <si>
    <t>2h연장</t>
    <phoneticPr fontId="2" type="noConversion"/>
  </si>
  <si>
    <t>추채민</t>
    <phoneticPr fontId="2" type="noConversion"/>
  </si>
  <si>
    <t>1/4</t>
    <phoneticPr fontId="2" type="noConversion"/>
  </si>
  <si>
    <t>2/4</t>
    <phoneticPr fontId="2" type="noConversion"/>
  </si>
  <si>
    <t>3/4</t>
    <phoneticPr fontId="2" type="noConversion"/>
  </si>
  <si>
    <t>4/4</t>
    <phoneticPr fontId="2" type="noConversion"/>
  </si>
  <si>
    <t>9/14 1116</t>
    <phoneticPr fontId="2" type="noConversion"/>
  </si>
  <si>
    <t>이진국</t>
    <phoneticPr fontId="2" type="noConversion"/>
  </si>
  <si>
    <t>정지민</t>
    <phoneticPr fontId="2" type="noConversion"/>
  </si>
  <si>
    <t>이진수</t>
    <phoneticPr fontId="2" type="noConversion"/>
  </si>
  <si>
    <t>임경민</t>
    <phoneticPr fontId="2" type="noConversion"/>
  </si>
  <si>
    <t>박재은</t>
    <phoneticPr fontId="2" type="noConversion"/>
  </si>
  <si>
    <t>김태현</t>
    <phoneticPr fontId="2" type="noConversion"/>
  </si>
  <si>
    <t>송태양</t>
    <phoneticPr fontId="2" type="noConversion"/>
  </si>
  <si>
    <t>이승희</t>
    <phoneticPr fontId="2" type="noConversion"/>
  </si>
  <si>
    <t>백현우</t>
    <phoneticPr fontId="2" type="noConversion"/>
  </si>
  <si>
    <t xml:space="preserve">    </t>
    <phoneticPr fontId="2" type="noConversion"/>
  </si>
  <si>
    <t>김문수</t>
    <phoneticPr fontId="2" type="noConversion"/>
  </si>
  <si>
    <t>윤정한</t>
    <phoneticPr fontId="2" type="noConversion"/>
  </si>
  <si>
    <t>지창호</t>
    <phoneticPr fontId="2" type="noConversion"/>
  </si>
  <si>
    <t>김준형</t>
    <phoneticPr fontId="2" type="noConversion"/>
  </si>
  <si>
    <t>김정인</t>
    <phoneticPr fontId="2" type="noConversion"/>
  </si>
  <si>
    <t>김도여</t>
    <phoneticPr fontId="2" type="noConversion"/>
  </si>
  <si>
    <t>손채원</t>
    <phoneticPr fontId="2" type="noConversion"/>
  </si>
  <si>
    <t>김희은</t>
    <phoneticPr fontId="2" type="noConversion"/>
  </si>
  <si>
    <t>김인아</t>
    <phoneticPr fontId="2" type="noConversion"/>
  </si>
  <si>
    <t>김재형</t>
    <phoneticPr fontId="2" type="noConversion"/>
  </si>
  <si>
    <t>안효진</t>
    <phoneticPr fontId="2" type="noConversion"/>
  </si>
  <si>
    <t>박성훈</t>
    <phoneticPr fontId="2" type="noConversion"/>
  </si>
  <si>
    <t>최성주</t>
    <phoneticPr fontId="2" type="noConversion"/>
  </si>
  <si>
    <t>나사랑</t>
    <phoneticPr fontId="2" type="noConversion"/>
  </si>
  <si>
    <t>심유나</t>
    <phoneticPr fontId="2" type="noConversion"/>
  </si>
  <si>
    <t>김진강</t>
    <phoneticPr fontId="2" type="noConversion"/>
  </si>
  <si>
    <t>이진성</t>
    <phoneticPr fontId="2" type="noConversion"/>
  </si>
  <si>
    <t>신유민</t>
    <phoneticPr fontId="2" type="noConversion"/>
  </si>
  <si>
    <t>조현구</t>
    <phoneticPr fontId="2" type="noConversion"/>
  </si>
  <si>
    <t>정광우</t>
    <phoneticPr fontId="2" type="noConversion"/>
  </si>
  <si>
    <t>김상윤</t>
    <phoneticPr fontId="2" type="noConversion"/>
  </si>
  <si>
    <t>임우석</t>
    <phoneticPr fontId="2" type="noConversion"/>
  </si>
  <si>
    <t>010-5087-7604</t>
    <phoneticPr fontId="2" type="noConversion"/>
  </si>
  <si>
    <t>윤기석</t>
    <phoneticPr fontId="2" type="noConversion"/>
  </si>
  <si>
    <t>배정규</t>
    <phoneticPr fontId="2" type="noConversion"/>
  </si>
  <si>
    <t>박부원</t>
    <phoneticPr fontId="2" type="noConversion"/>
  </si>
  <si>
    <t>강규태</t>
    <phoneticPr fontId="2" type="noConversion"/>
  </si>
  <si>
    <t>일행</t>
    <phoneticPr fontId="2" type="noConversion"/>
  </si>
  <si>
    <t>이솔아</t>
    <phoneticPr fontId="2" type="noConversion"/>
  </si>
  <si>
    <t>이하영</t>
    <phoneticPr fontId="2" type="noConversion"/>
  </si>
  <si>
    <t>나경호</t>
    <phoneticPr fontId="2" type="noConversion"/>
  </si>
  <si>
    <t>신창욱</t>
    <phoneticPr fontId="2" type="noConversion"/>
  </si>
  <si>
    <t>박수언</t>
    <phoneticPr fontId="2" type="noConversion"/>
  </si>
  <si>
    <t>010-9456-9605</t>
    <phoneticPr fontId="2" type="noConversion"/>
  </si>
  <si>
    <t>010-8495-2280</t>
    <phoneticPr fontId="2" type="noConversion"/>
  </si>
  <si>
    <t>010-3118-6818</t>
    <phoneticPr fontId="2" type="noConversion"/>
  </si>
  <si>
    <t>010-5203-2055</t>
    <phoneticPr fontId="2" type="noConversion"/>
  </si>
  <si>
    <t>010-3713-8787</t>
    <phoneticPr fontId="2" type="noConversion"/>
  </si>
  <si>
    <t>010-9405-5687</t>
    <phoneticPr fontId="2" type="noConversion"/>
  </si>
  <si>
    <t>방진희</t>
    <phoneticPr fontId="2" type="noConversion"/>
  </si>
  <si>
    <t>김상준</t>
    <phoneticPr fontId="2" type="noConversion"/>
  </si>
  <si>
    <t>이상엽</t>
    <phoneticPr fontId="2" type="noConversion"/>
  </si>
  <si>
    <t>김태희</t>
    <phoneticPr fontId="2" type="noConversion"/>
  </si>
  <si>
    <t>010-8434-0733</t>
    <phoneticPr fontId="2" type="noConversion"/>
  </si>
  <si>
    <t>최윤주</t>
    <phoneticPr fontId="2" type="noConversion"/>
  </si>
  <si>
    <t>전 찬</t>
    <phoneticPr fontId="2" type="noConversion"/>
  </si>
  <si>
    <t>박어진</t>
    <phoneticPr fontId="2" type="noConversion"/>
  </si>
  <si>
    <t>최바른</t>
    <phoneticPr fontId="2" type="noConversion"/>
  </si>
  <si>
    <t>이영준</t>
    <phoneticPr fontId="2" type="noConversion"/>
  </si>
  <si>
    <t>JIN LU CHSHIN</t>
  </si>
  <si>
    <t>임규빈</t>
    <phoneticPr fontId="2" type="noConversion"/>
  </si>
  <si>
    <t>민병현</t>
    <phoneticPr fontId="2" type="noConversion"/>
  </si>
  <si>
    <t>장준식</t>
    <phoneticPr fontId="2" type="noConversion"/>
  </si>
  <si>
    <t>최우희</t>
    <phoneticPr fontId="2" type="noConversion"/>
  </si>
  <si>
    <t>양</t>
    <phoneticPr fontId="2" type="noConversion"/>
  </si>
  <si>
    <t>강성희</t>
    <phoneticPr fontId="2" type="noConversion"/>
  </si>
  <si>
    <t>박현주</t>
    <phoneticPr fontId="2" type="noConversion"/>
  </si>
  <si>
    <t>장원준</t>
    <phoneticPr fontId="2" type="noConversion"/>
  </si>
  <si>
    <t>매일결제</t>
    <phoneticPr fontId="2" type="noConversion"/>
  </si>
  <si>
    <t>1/5</t>
    <phoneticPr fontId="2" type="noConversion"/>
  </si>
  <si>
    <t>박세현</t>
    <phoneticPr fontId="2" type="noConversion"/>
  </si>
  <si>
    <t>3/5</t>
    <phoneticPr fontId="2" type="noConversion"/>
  </si>
  <si>
    <t>4/5</t>
    <phoneticPr fontId="2" type="noConversion"/>
  </si>
  <si>
    <t>5/5</t>
    <phoneticPr fontId="2" type="noConversion"/>
  </si>
  <si>
    <t>박수용</t>
    <phoneticPr fontId="2" type="noConversion"/>
  </si>
  <si>
    <t>박재승</t>
    <phoneticPr fontId="2" type="noConversion"/>
  </si>
  <si>
    <t>최현석</t>
    <phoneticPr fontId="2" type="noConversion"/>
  </si>
  <si>
    <t>김유근</t>
    <phoneticPr fontId="2" type="noConversion"/>
  </si>
  <si>
    <t>채영두</t>
    <phoneticPr fontId="2" type="noConversion"/>
  </si>
  <si>
    <t>최기수</t>
    <phoneticPr fontId="2" type="noConversion"/>
  </si>
  <si>
    <t>장익선</t>
    <phoneticPr fontId="2" type="noConversion"/>
  </si>
  <si>
    <t>2/12</t>
    <phoneticPr fontId="2" type="noConversion"/>
  </si>
  <si>
    <t>3/12</t>
    <phoneticPr fontId="2" type="noConversion"/>
  </si>
  <si>
    <t>4/12</t>
    <phoneticPr fontId="2" type="noConversion"/>
  </si>
  <si>
    <t>5/12</t>
    <phoneticPr fontId="2" type="noConversion"/>
  </si>
  <si>
    <t>6/12</t>
    <phoneticPr fontId="2" type="noConversion"/>
  </si>
  <si>
    <t>7/12</t>
    <phoneticPr fontId="2" type="noConversion"/>
  </si>
  <si>
    <t>8/12</t>
    <phoneticPr fontId="2" type="noConversion"/>
  </si>
  <si>
    <t>9/12</t>
    <phoneticPr fontId="2" type="noConversion"/>
  </si>
  <si>
    <t>정윤오</t>
    <phoneticPr fontId="2" type="noConversion"/>
  </si>
  <si>
    <t>백성은</t>
    <phoneticPr fontId="2" type="noConversion"/>
  </si>
  <si>
    <t>홍은지</t>
    <phoneticPr fontId="2" type="noConversion"/>
  </si>
  <si>
    <t>정다운</t>
    <phoneticPr fontId="2" type="noConversion"/>
  </si>
  <si>
    <t>민현자</t>
    <phoneticPr fontId="2" type="noConversion"/>
  </si>
  <si>
    <t>연박요청</t>
    <phoneticPr fontId="2" type="noConversion"/>
  </si>
  <si>
    <t>임도윤</t>
    <phoneticPr fontId="2" type="noConversion"/>
  </si>
  <si>
    <t>AD변경</t>
    <phoneticPr fontId="2" type="noConversion"/>
  </si>
  <si>
    <t>윤가을</t>
    <phoneticPr fontId="2" type="noConversion"/>
  </si>
  <si>
    <t>한현주</t>
    <phoneticPr fontId="2" type="noConversion"/>
  </si>
  <si>
    <t>이가은</t>
    <phoneticPr fontId="2" type="noConversion"/>
  </si>
  <si>
    <t>송성찬</t>
    <phoneticPr fontId="2" type="noConversion"/>
  </si>
  <si>
    <t>김건호</t>
    <phoneticPr fontId="2" type="noConversion"/>
  </si>
  <si>
    <t>김태연</t>
    <phoneticPr fontId="2" type="noConversion"/>
  </si>
  <si>
    <t>에어</t>
    <phoneticPr fontId="2" type="noConversion"/>
  </si>
  <si>
    <t>신하라</t>
    <phoneticPr fontId="2" type="noConversion"/>
  </si>
  <si>
    <t>김평식</t>
    <phoneticPr fontId="2" type="noConversion"/>
  </si>
  <si>
    <t>이성원</t>
    <phoneticPr fontId="2" type="noConversion"/>
  </si>
  <si>
    <t>LI/ZEHUA</t>
    <phoneticPr fontId="2" type="noConversion"/>
  </si>
  <si>
    <t>김백조</t>
    <phoneticPr fontId="2" type="noConversion"/>
  </si>
  <si>
    <t>유현우</t>
    <phoneticPr fontId="2" type="noConversion"/>
  </si>
  <si>
    <t>010-7626-8676</t>
  </si>
  <si>
    <t>안윤희</t>
    <phoneticPr fontId="2" type="noConversion"/>
  </si>
  <si>
    <t>스캐폴드</t>
    <phoneticPr fontId="2" type="noConversion"/>
  </si>
  <si>
    <t>이서영</t>
    <phoneticPr fontId="2" type="noConversion"/>
  </si>
  <si>
    <t>9/17선결</t>
    <phoneticPr fontId="2" type="noConversion"/>
  </si>
  <si>
    <t>선결제</t>
    <phoneticPr fontId="2" type="noConversion"/>
  </si>
  <si>
    <t>정숙경</t>
    <phoneticPr fontId="2" type="noConversion"/>
  </si>
  <si>
    <t>권일정</t>
    <phoneticPr fontId="2" type="noConversion"/>
  </si>
  <si>
    <t>이현경</t>
    <phoneticPr fontId="2" type="noConversion"/>
  </si>
  <si>
    <t>김다연</t>
    <phoneticPr fontId="2" type="noConversion"/>
  </si>
  <si>
    <t>010-6205-3977</t>
    <phoneticPr fontId="2" type="noConversion"/>
  </si>
  <si>
    <t>구정민</t>
    <phoneticPr fontId="2" type="noConversion"/>
  </si>
  <si>
    <t>노현</t>
    <phoneticPr fontId="2" type="noConversion"/>
  </si>
  <si>
    <t>김시웅</t>
    <phoneticPr fontId="2" type="noConversion"/>
  </si>
  <si>
    <t>서재아</t>
    <phoneticPr fontId="2" type="noConversion"/>
  </si>
  <si>
    <t>최용선</t>
    <phoneticPr fontId="2" type="noConversion"/>
  </si>
  <si>
    <t>김진희</t>
    <phoneticPr fontId="2" type="noConversion"/>
  </si>
  <si>
    <t>김수민</t>
    <phoneticPr fontId="2" type="noConversion"/>
  </si>
  <si>
    <t>김건형</t>
    <phoneticPr fontId="2" type="noConversion"/>
  </si>
  <si>
    <t>1</t>
    <phoneticPr fontId="2" type="noConversion"/>
  </si>
  <si>
    <t>여기어때</t>
    <phoneticPr fontId="2" type="noConversion"/>
  </si>
  <si>
    <t>이광</t>
    <phoneticPr fontId="2" type="noConversion"/>
  </si>
  <si>
    <t>특가(랜덤)</t>
    <phoneticPr fontId="2" type="noConversion"/>
  </si>
  <si>
    <t>트윈으로 변경</t>
    <phoneticPr fontId="2" type="noConversion"/>
  </si>
  <si>
    <t>ST</t>
    <phoneticPr fontId="2" type="noConversion"/>
  </si>
  <si>
    <t>강만수</t>
    <phoneticPr fontId="2" type="noConversion"/>
  </si>
  <si>
    <t>C</t>
    <phoneticPr fontId="2" type="noConversion"/>
  </si>
  <si>
    <t>1/2</t>
    <phoneticPr fontId="2" type="noConversion"/>
  </si>
  <si>
    <t>이익수</t>
    <phoneticPr fontId="2" type="noConversion"/>
  </si>
  <si>
    <t>이</t>
    <phoneticPr fontId="2" type="noConversion"/>
  </si>
  <si>
    <t>010-4683-2572</t>
    <phoneticPr fontId="2" type="noConversion"/>
  </si>
  <si>
    <t>전화예약</t>
    <phoneticPr fontId="2" type="noConversion"/>
  </si>
  <si>
    <t>정수영</t>
    <phoneticPr fontId="2" type="noConversion"/>
  </si>
  <si>
    <t>B</t>
    <phoneticPr fontId="2" type="noConversion"/>
  </si>
  <si>
    <t>아고다</t>
    <phoneticPr fontId="2" type="noConversion"/>
  </si>
  <si>
    <t>이현진</t>
    <phoneticPr fontId="2" type="noConversion"/>
  </si>
  <si>
    <t>AT</t>
    <phoneticPr fontId="2" type="noConversion"/>
  </si>
  <si>
    <t>김민호</t>
    <phoneticPr fontId="2" type="noConversion"/>
  </si>
  <si>
    <t>AD</t>
    <phoneticPr fontId="2" type="noConversion"/>
  </si>
  <si>
    <t>야놀자</t>
    <phoneticPr fontId="2" type="noConversion"/>
  </si>
  <si>
    <t>김서현</t>
    <phoneticPr fontId="2" type="noConversion"/>
  </si>
  <si>
    <t>2</t>
    <phoneticPr fontId="2" type="noConversion"/>
  </si>
  <si>
    <t>이준창</t>
    <phoneticPr fontId="2" type="noConversion"/>
  </si>
  <si>
    <t>조윤희</t>
    <phoneticPr fontId="2" type="noConversion"/>
  </si>
  <si>
    <t>박건석</t>
    <phoneticPr fontId="2" type="noConversion"/>
  </si>
  <si>
    <t>SD</t>
    <phoneticPr fontId="2" type="noConversion"/>
  </si>
  <si>
    <t>워크인</t>
    <phoneticPr fontId="2" type="noConversion"/>
  </si>
  <si>
    <t>김강현</t>
    <phoneticPr fontId="2" type="noConversion"/>
  </si>
  <si>
    <t>15:00</t>
    <phoneticPr fontId="2" type="noConversion"/>
  </si>
  <si>
    <t>11:00</t>
    <phoneticPr fontId="2" type="noConversion"/>
  </si>
  <si>
    <t>김민옥</t>
    <phoneticPr fontId="2" type="noConversion"/>
  </si>
  <si>
    <t>에어</t>
    <phoneticPr fontId="2" type="noConversion"/>
  </si>
  <si>
    <t>김기현</t>
    <phoneticPr fontId="2" type="noConversion"/>
  </si>
  <si>
    <t>2/2</t>
    <phoneticPr fontId="2" type="noConversion"/>
  </si>
  <si>
    <t>1/3</t>
    <phoneticPr fontId="2" type="noConversion"/>
  </si>
  <si>
    <t>3/3</t>
    <phoneticPr fontId="2" type="noConversion"/>
  </si>
  <si>
    <t>메모</t>
    <phoneticPr fontId="2" type="noConversion"/>
  </si>
  <si>
    <t>류지영</t>
    <phoneticPr fontId="2" type="noConversion"/>
  </si>
  <si>
    <t>임철홍</t>
    <phoneticPr fontId="2" type="noConversion"/>
  </si>
  <si>
    <t>V</t>
    <phoneticPr fontId="2" type="noConversion"/>
  </si>
  <si>
    <t>최호천</t>
    <phoneticPr fontId="2" type="noConversion"/>
  </si>
  <si>
    <t>정인선1</t>
    <phoneticPr fontId="2" type="noConversion"/>
  </si>
  <si>
    <t>정인선2</t>
    <phoneticPr fontId="2" type="noConversion"/>
  </si>
  <si>
    <t>정인선3</t>
    <phoneticPr fontId="2" type="noConversion"/>
  </si>
  <si>
    <t>정인선4</t>
    <phoneticPr fontId="2" type="noConversion"/>
  </si>
  <si>
    <t>AD업그레이드</t>
    <phoneticPr fontId="2" type="noConversion"/>
  </si>
  <si>
    <t>이원경</t>
    <phoneticPr fontId="2" type="noConversion"/>
  </si>
  <si>
    <t>김수환</t>
    <phoneticPr fontId="2" type="noConversion"/>
  </si>
  <si>
    <t>윤봉규</t>
    <phoneticPr fontId="2" type="noConversion"/>
  </si>
  <si>
    <t>김</t>
    <phoneticPr fontId="2" type="noConversion"/>
  </si>
  <si>
    <t>C업그레이드</t>
    <phoneticPr fontId="2" type="noConversion"/>
  </si>
  <si>
    <t>c업그레이드</t>
    <phoneticPr fontId="2" type="noConversion"/>
  </si>
  <si>
    <t>이석진</t>
    <phoneticPr fontId="2" type="noConversion"/>
  </si>
  <si>
    <t>차현탁</t>
    <phoneticPr fontId="2" type="noConversion"/>
  </si>
  <si>
    <t>강민재</t>
    <phoneticPr fontId="2" type="noConversion"/>
  </si>
  <si>
    <t>황 일</t>
    <phoneticPr fontId="2" type="noConversion"/>
  </si>
  <si>
    <t>황은우</t>
    <phoneticPr fontId="2" type="noConversion"/>
  </si>
  <si>
    <t>서재아</t>
    <phoneticPr fontId="2" type="noConversion"/>
  </si>
  <si>
    <t>장영주</t>
    <phoneticPr fontId="2" type="noConversion"/>
  </si>
  <si>
    <t>황준석</t>
    <phoneticPr fontId="2" type="noConversion"/>
  </si>
  <si>
    <t>JIN LU CHSHIN</t>
    <phoneticPr fontId="2" type="noConversion"/>
  </si>
  <si>
    <t>강희원</t>
    <phoneticPr fontId="2" type="noConversion"/>
  </si>
  <si>
    <t>010-8871-8900</t>
    <phoneticPr fontId="2" type="noConversion"/>
  </si>
  <si>
    <t>황</t>
    <phoneticPr fontId="2" type="noConversion"/>
  </si>
  <si>
    <t>무료쿠폰</t>
    <phoneticPr fontId="2" type="noConversion"/>
  </si>
  <si>
    <t>맥주축제</t>
    <phoneticPr fontId="2" type="noConversion"/>
  </si>
  <si>
    <t>신현진</t>
    <phoneticPr fontId="2" type="noConversion"/>
  </si>
  <si>
    <t>HE/XIAOHUI</t>
  </si>
  <si>
    <t>HE/XIAOHUI</t>
    <phoneticPr fontId="2" type="noConversion"/>
  </si>
  <si>
    <t>얼리체크인</t>
    <phoneticPr fontId="2" type="noConversion"/>
  </si>
  <si>
    <t>13:00</t>
    <phoneticPr fontId="2" type="noConversion"/>
  </si>
  <si>
    <t>윤성현</t>
    <phoneticPr fontId="2" type="noConversion"/>
  </si>
  <si>
    <t>이상용</t>
    <phoneticPr fontId="2" type="noConversion"/>
  </si>
  <si>
    <t>신용호</t>
    <phoneticPr fontId="2" type="noConversion"/>
  </si>
  <si>
    <t>야놀자</t>
    <phoneticPr fontId="2" type="noConversion"/>
  </si>
  <si>
    <t>박정임</t>
    <phoneticPr fontId="2" type="noConversion"/>
  </si>
  <si>
    <t>1</t>
    <phoneticPr fontId="2" type="noConversion"/>
  </si>
  <si>
    <t>황</t>
    <phoneticPr fontId="2" type="noConversion"/>
  </si>
  <si>
    <t>여기어때</t>
    <phoneticPr fontId="2" type="noConversion"/>
  </si>
  <si>
    <t>강다은</t>
    <phoneticPr fontId="2" type="noConversion"/>
  </si>
  <si>
    <t>AD</t>
    <phoneticPr fontId="2" type="noConversion"/>
  </si>
  <si>
    <t>010-5024-3980</t>
    <phoneticPr fontId="2" type="noConversion"/>
  </si>
  <si>
    <t>이태연</t>
    <phoneticPr fontId="2" type="noConversion"/>
  </si>
  <si>
    <t>B</t>
    <phoneticPr fontId="2" type="noConversion"/>
  </si>
  <si>
    <t>김태양</t>
    <phoneticPr fontId="2" type="noConversion"/>
  </si>
  <si>
    <t>SD</t>
    <phoneticPr fontId="2" type="noConversion"/>
  </si>
  <si>
    <t>2시간</t>
    <phoneticPr fontId="2" type="noConversion"/>
  </si>
  <si>
    <t>명수정2</t>
    <phoneticPr fontId="2" type="noConversion"/>
  </si>
  <si>
    <t>업그레이드</t>
    <phoneticPr fontId="2" type="noConversion"/>
  </si>
  <si>
    <t>김서현</t>
    <phoneticPr fontId="2" type="noConversion"/>
  </si>
  <si>
    <t>특가&gt;SD</t>
    <phoneticPr fontId="2" type="noConversion"/>
  </si>
  <si>
    <t>여기어때</t>
    <phoneticPr fontId="2" type="noConversion"/>
  </si>
  <si>
    <t>정리현</t>
    <phoneticPr fontId="2" type="noConversion"/>
  </si>
  <si>
    <t>C</t>
    <phoneticPr fontId="2" type="noConversion"/>
  </si>
  <si>
    <t>1</t>
    <phoneticPr fontId="2" type="noConversion"/>
  </si>
  <si>
    <t>네이버</t>
    <phoneticPr fontId="2" type="noConversion"/>
  </si>
  <si>
    <t>정소원</t>
    <phoneticPr fontId="2" type="noConversion"/>
  </si>
  <si>
    <t>2</t>
    <phoneticPr fontId="2" type="noConversion"/>
  </si>
  <si>
    <t>임철홍</t>
    <phoneticPr fontId="2" type="noConversion"/>
  </si>
  <si>
    <t>13:00</t>
    <phoneticPr fontId="2" type="noConversion"/>
  </si>
  <si>
    <t>연장</t>
    <phoneticPr fontId="2" type="noConversion"/>
  </si>
  <si>
    <t>2시간</t>
    <phoneticPr fontId="2" type="noConversion"/>
  </si>
  <si>
    <t>이지영</t>
    <phoneticPr fontId="2" type="noConversion"/>
  </si>
  <si>
    <t>아고다</t>
    <phoneticPr fontId="2" type="noConversion"/>
  </si>
  <si>
    <t>조혜원</t>
    <phoneticPr fontId="2" type="noConversion"/>
  </si>
  <si>
    <t>SD</t>
    <phoneticPr fontId="2" type="noConversion"/>
  </si>
  <si>
    <t>이도윤</t>
    <phoneticPr fontId="2" type="noConversion"/>
  </si>
  <si>
    <t>AD업그레이드</t>
    <phoneticPr fontId="2" type="noConversion"/>
  </si>
  <si>
    <t>김</t>
    <phoneticPr fontId="2" type="noConversion"/>
  </si>
  <si>
    <t>이정경 주간/ 황경현 팀장</t>
    <phoneticPr fontId="2" type="noConversion"/>
  </si>
  <si>
    <t>야놀자</t>
    <phoneticPr fontId="2" type="noConversion"/>
  </si>
  <si>
    <t>김대희</t>
    <phoneticPr fontId="2" type="noConversion"/>
  </si>
  <si>
    <t>트립</t>
    <phoneticPr fontId="2" type="noConversion"/>
  </si>
  <si>
    <t>김가연</t>
    <phoneticPr fontId="2" type="noConversion"/>
  </si>
  <si>
    <t>김장훈</t>
    <phoneticPr fontId="2" type="noConversion"/>
  </si>
  <si>
    <t>B</t>
    <phoneticPr fontId="2" type="noConversion"/>
  </si>
  <si>
    <t>B업그레이드</t>
    <phoneticPr fontId="2" type="noConversion"/>
  </si>
  <si>
    <t>AT</t>
    <phoneticPr fontId="2" type="noConversion"/>
  </si>
  <si>
    <t>임치헌</t>
    <phoneticPr fontId="2" type="noConversion"/>
  </si>
  <si>
    <t>윤동식</t>
    <phoneticPr fontId="2" type="noConversion"/>
  </si>
  <si>
    <t>특가(랜덤)</t>
    <phoneticPr fontId="2" type="noConversion"/>
  </si>
  <si>
    <t>이승훈</t>
    <phoneticPr fontId="2" type="noConversion"/>
  </si>
  <si>
    <t>ST</t>
    <phoneticPr fontId="2" type="noConversion"/>
  </si>
  <si>
    <t>최재형</t>
    <phoneticPr fontId="2" type="noConversion"/>
  </si>
  <si>
    <t>고형주</t>
    <phoneticPr fontId="2" type="noConversion"/>
  </si>
  <si>
    <t>김혜리</t>
    <phoneticPr fontId="2" type="noConversion"/>
  </si>
  <si>
    <t>907레이트요금</t>
    <phoneticPr fontId="2" type="noConversion"/>
  </si>
  <si>
    <t>취소수수료</t>
    <phoneticPr fontId="2" type="noConversion"/>
  </si>
  <si>
    <t>902호</t>
    <phoneticPr fontId="2" type="noConversion"/>
  </si>
  <si>
    <t>9월21일</t>
    <phoneticPr fontId="2" type="noConversion"/>
  </si>
  <si>
    <t>1H 연장</t>
    <phoneticPr fontId="2" type="noConversion"/>
  </si>
  <si>
    <t>12:00</t>
    <phoneticPr fontId="2" type="noConversion"/>
  </si>
  <si>
    <t xml:space="preserve"> </t>
    <phoneticPr fontId="2" type="noConversion"/>
  </si>
  <si>
    <t>김우진</t>
    <phoneticPr fontId="2" type="noConversion"/>
  </si>
  <si>
    <t>배정석</t>
    <phoneticPr fontId="2" type="noConversion"/>
  </si>
  <si>
    <t>황</t>
    <phoneticPr fontId="2" type="noConversion"/>
  </si>
  <si>
    <t>전지원</t>
    <phoneticPr fontId="2" type="noConversion"/>
  </si>
  <si>
    <t>V</t>
    <phoneticPr fontId="2" type="noConversion"/>
  </si>
  <si>
    <t>늦게체크인</t>
    <phoneticPr fontId="2" type="noConversion"/>
  </si>
  <si>
    <t>이지혜</t>
    <phoneticPr fontId="2" type="noConversion"/>
  </si>
  <si>
    <t>SD업그레이드</t>
    <phoneticPr fontId="2" type="noConversion"/>
  </si>
  <si>
    <t>이채현</t>
    <phoneticPr fontId="2" type="noConversion"/>
  </si>
  <si>
    <t>이재온</t>
    <phoneticPr fontId="2" type="noConversion"/>
  </si>
  <si>
    <t>1/2</t>
    <phoneticPr fontId="2" type="noConversion"/>
  </si>
  <si>
    <t>2/2</t>
    <phoneticPr fontId="2" type="noConversion"/>
  </si>
  <si>
    <t>박세현</t>
    <phoneticPr fontId="2" type="noConversion"/>
  </si>
  <si>
    <t>문지은</t>
    <phoneticPr fontId="2" type="noConversion"/>
  </si>
  <si>
    <t>정지민</t>
    <phoneticPr fontId="2" type="noConversion"/>
  </si>
  <si>
    <t>이창환</t>
    <phoneticPr fontId="2" type="noConversion"/>
  </si>
  <si>
    <t>호텔타임</t>
    <phoneticPr fontId="2" type="noConversion"/>
  </si>
  <si>
    <t>유리나</t>
    <phoneticPr fontId="2" type="noConversion"/>
  </si>
  <si>
    <t>김민하</t>
    <phoneticPr fontId="2" type="noConversion"/>
  </si>
  <si>
    <t>안진우</t>
    <phoneticPr fontId="2" type="noConversion"/>
  </si>
  <si>
    <t>워크인</t>
    <phoneticPr fontId="2" type="noConversion"/>
  </si>
  <si>
    <t>C업그레이드</t>
    <phoneticPr fontId="2" type="noConversion"/>
  </si>
  <si>
    <t>나경호</t>
    <phoneticPr fontId="2" type="noConversion"/>
  </si>
  <si>
    <t>전범수</t>
    <phoneticPr fontId="2" type="noConversion"/>
  </si>
  <si>
    <t xml:space="preserve">아고다 </t>
    <phoneticPr fontId="2" type="noConversion"/>
  </si>
  <si>
    <t>최우희</t>
    <phoneticPr fontId="2" type="noConversion"/>
  </si>
  <si>
    <t>박해연</t>
    <phoneticPr fontId="2" type="noConversion"/>
  </si>
  <si>
    <t>이서율</t>
    <phoneticPr fontId="2" type="noConversion"/>
  </si>
  <si>
    <t>정명훈</t>
    <phoneticPr fontId="2" type="noConversion"/>
  </si>
  <si>
    <t>김효철</t>
    <phoneticPr fontId="2" type="noConversion"/>
  </si>
  <si>
    <t>손준영</t>
    <phoneticPr fontId="2" type="noConversion"/>
  </si>
  <si>
    <t>2/3</t>
    <phoneticPr fontId="2" type="noConversion"/>
  </si>
  <si>
    <t>3/3</t>
    <phoneticPr fontId="2" type="noConversion"/>
  </si>
  <si>
    <t>후불결제</t>
    <phoneticPr fontId="2" type="noConversion"/>
  </si>
  <si>
    <t>최자호</t>
    <phoneticPr fontId="2" type="noConversion"/>
  </si>
  <si>
    <t>임치헌</t>
    <phoneticPr fontId="2" type="noConversion"/>
  </si>
  <si>
    <t>숙박연장</t>
    <phoneticPr fontId="2" type="noConversion"/>
  </si>
  <si>
    <t>Kwong/SiuFun</t>
  </si>
  <si>
    <t>9/23 선결제</t>
    <phoneticPr fontId="2" type="noConversion"/>
  </si>
  <si>
    <t>9/24~25</t>
    <phoneticPr fontId="2" type="noConversion"/>
  </si>
  <si>
    <t>809</t>
    <phoneticPr fontId="2" type="noConversion"/>
  </si>
  <si>
    <t>2시간연장</t>
    <phoneticPr fontId="2" type="noConversion"/>
  </si>
  <si>
    <t>9/23 선결</t>
    <phoneticPr fontId="2" type="noConversion"/>
  </si>
  <si>
    <t>진우석</t>
    <phoneticPr fontId="2" type="noConversion"/>
  </si>
  <si>
    <t>최형석</t>
    <phoneticPr fontId="2" type="noConversion"/>
  </si>
  <si>
    <t>김중현</t>
    <phoneticPr fontId="2" type="noConversion"/>
  </si>
  <si>
    <t>시타딘</t>
    <phoneticPr fontId="2" type="noConversion"/>
  </si>
  <si>
    <t>팀장님 통화</t>
    <phoneticPr fontId="2" type="noConversion"/>
  </si>
  <si>
    <t>최선미</t>
    <phoneticPr fontId="2" type="noConversion"/>
  </si>
  <si>
    <t>15:00</t>
    <phoneticPr fontId="2" type="noConversion"/>
  </si>
  <si>
    <t>11:00</t>
    <phoneticPr fontId="2" type="noConversion"/>
  </si>
  <si>
    <t>김희곤</t>
    <phoneticPr fontId="2" type="noConversion"/>
  </si>
  <si>
    <t>오유정1</t>
    <phoneticPr fontId="2" type="noConversion"/>
  </si>
  <si>
    <t>오유정2</t>
    <phoneticPr fontId="2" type="noConversion"/>
  </si>
  <si>
    <t>1/8</t>
    <phoneticPr fontId="2" type="noConversion"/>
  </si>
  <si>
    <t>오유정4</t>
    <phoneticPr fontId="2" type="noConversion"/>
  </si>
  <si>
    <t>2/8</t>
    <phoneticPr fontId="2" type="noConversion"/>
  </si>
  <si>
    <t>3/8</t>
    <phoneticPr fontId="2" type="noConversion"/>
  </si>
  <si>
    <t>4/8</t>
    <phoneticPr fontId="2" type="noConversion"/>
  </si>
  <si>
    <t>5/8</t>
    <phoneticPr fontId="2" type="noConversion"/>
  </si>
  <si>
    <t>AT업그레이드</t>
    <phoneticPr fontId="2" type="noConversion"/>
  </si>
  <si>
    <t>황원오</t>
    <phoneticPr fontId="2" type="noConversion"/>
  </si>
  <si>
    <t>Kwong/SiuFun</t>
    <phoneticPr fontId="2" type="noConversion"/>
  </si>
  <si>
    <t>김수정</t>
    <phoneticPr fontId="2" type="noConversion"/>
  </si>
  <si>
    <t>박두산</t>
    <phoneticPr fontId="2" type="noConversion"/>
  </si>
  <si>
    <t>김청진</t>
    <phoneticPr fontId="2" type="noConversion"/>
  </si>
  <si>
    <t>이</t>
    <phoneticPr fontId="2" type="noConversion"/>
  </si>
  <si>
    <t>함동걸</t>
    <phoneticPr fontId="2" type="noConversion"/>
  </si>
  <si>
    <t>김대엽</t>
    <phoneticPr fontId="2" type="noConversion"/>
  </si>
  <si>
    <t>AT</t>
    <phoneticPr fontId="2" type="noConversion"/>
  </si>
  <si>
    <t>야놀자</t>
    <phoneticPr fontId="2" type="noConversion"/>
  </si>
  <si>
    <t>SD</t>
    <phoneticPr fontId="2" type="noConversion"/>
  </si>
  <si>
    <t>1</t>
    <phoneticPr fontId="2" type="noConversion"/>
  </si>
  <si>
    <t>이</t>
    <phoneticPr fontId="2" type="noConversion"/>
  </si>
  <si>
    <t>시타딘</t>
    <phoneticPr fontId="2" type="noConversion"/>
  </si>
  <si>
    <t>9/22~9/24</t>
    <phoneticPr fontId="2" type="noConversion"/>
  </si>
  <si>
    <t>양</t>
    <phoneticPr fontId="2" type="noConversion"/>
  </si>
  <si>
    <t>최승호</t>
    <phoneticPr fontId="2" type="noConversion"/>
  </si>
  <si>
    <t>마한길</t>
    <phoneticPr fontId="2" type="noConversion"/>
  </si>
  <si>
    <t>2</t>
    <phoneticPr fontId="2" type="noConversion"/>
  </si>
  <si>
    <t>아고다</t>
    <phoneticPr fontId="2" type="noConversion"/>
  </si>
  <si>
    <t>이성규</t>
    <phoneticPr fontId="2" type="noConversion"/>
  </si>
  <si>
    <t>황성준</t>
    <phoneticPr fontId="2" type="noConversion"/>
  </si>
  <si>
    <t>안광현</t>
    <phoneticPr fontId="2" type="noConversion"/>
  </si>
  <si>
    <t>최종훈</t>
    <phoneticPr fontId="2" type="noConversion"/>
  </si>
  <si>
    <t>김</t>
    <phoneticPr fontId="2" type="noConversion"/>
  </si>
  <si>
    <t>최정남</t>
    <phoneticPr fontId="2" type="noConversion"/>
  </si>
  <si>
    <t>야놀자</t>
    <phoneticPr fontId="2" type="noConversion"/>
  </si>
  <si>
    <t>채한누리</t>
    <phoneticPr fontId="2" type="noConversion"/>
  </si>
  <si>
    <t>AD</t>
    <phoneticPr fontId="2" type="noConversion"/>
  </si>
  <si>
    <t>1</t>
    <phoneticPr fontId="2" type="noConversion"/>
  </si>
  <si>
    <t>황</t>
    <phoneticPr fontId="2" type="noConversion"/>
  </si>
  <si>
    <t>B업그레이드</t>
    <phoneticPr fontId="2" type="noConversion"/>
  </si>
  <si>
    <t>SD업그레이드</t>
    <phoneticPr fontId="2" type="noConversion"/>
  </si>
  <si>
    <t>호텔나우</t>
    <phoneticPr fontId="2" type="noConversion"/>
  </si>
  <si>
    <t>이현민</t>
    <phoneticPr fontId="2" type="noConversion"/>
  </si>
  <si>
    <t>C</t>
    <phoneticPr fontId="2" type="noConversion"/>
  </si>
  <si>
    <t>여기어때</t>
    <phoneticPr fontId="2" type="noConversion"/>
  </si>
  <si>
    <t>송인서</t>
    <phoneticPr fontId="2" type="noConversion"/>
  </si>
  <si>
    <t>AT</t>
    <phoneticPr fontId="2" type="noConversion"/>
  </si>
  <si>
    <t>호텔타임</t>
    <phoneticPr fontId="2" type="noConversion"/>
  </si>
  <si>
    <t>c업그레이드</t>
    <phoneticPr fontId="2" type="noConversion"/>
  </si>
  <si>
    <t>C업그레이드</t>
    <phoneticPr fontId="2" type="noConversion"/>
  </si>
  <si>
    <t>고층고층고층</t>
    <phoneticPr fontId="2" type="noConversion"/>
  </si>
  <si>
    <t>김호연</t>
    <phoneticPr fontId="2" type="noConversion"/>
  </si>
  <si>
    <t>이상길</t>
    <phoneticPr fontId="2" type="noConversion"/>
  </si>
  <si>
    <t>ST</t>
    <phoneticPr fontId="2" type="noConversion"/>
  </si>
  <si>
    <t>네이버</t>
    <phoneticPr fontId="2" type="noConversion"/>
  </si>
  <si>
    <t>1/2</t>
    <phoneticPr fontId="2" type="noConversion"/>
  </si>
  <si>
    <t>김</t>
    <phoneticPr fontId="2" type="noConversion"/>
  </si>
  <si>
    <t>SD</t>
    <phoneticPr fontId="2" type="noConversion"/>
  </si>
  <si>
    <t>2</t>
    <phoneticPr fontId="2" type="noConversion"/>
  </si>
  <si>
    <t>주현채</t>
    <phoneticPr fontId="2" type="noConversion"/>
  </si>
  <si>
    <t>오유정3</t>
    <phoneticPr fontId="2" type="noConversion"/>
  </si>
  <si>
    <t>조일주</t>
    <phoneticPr fontId="2" type="noConversion"/>
  </si>
  <si>
    <t>2/7</t>
    <phoneticPr fontId="2" type="noConversion"/>
  </si>
  <si>
    <t>3/7</t>
    <phoneticPr fontId="2" type="noConversion"/>
  </si>
  <si>
    <t>4/7</t>
    <phoneticPr fontId="2" type="noConversion"/>
  </si>
  <si>
    <t>이혜지</t>
    <phoneticPr fontId="2" type="noConversion"/>
  </si>
  <si>
    <t>오유정5</t>
    <phoneticPr fontId="2" type="noConversion"/>
  </si>
  <si>
    <t>2/2</t>
    <phoneticPr fontId="2" type="noConversion"/>
  </si>
  <si>
    <t>B</t>
    <phoneticPr fontId="2" type="noConversion"/>
  </si>
  <si>
    <t>노쇼</t>
    <phoneticPr fontId="2" type="noConversion"/>
  </si>
  <si>
    <t>10-11시체크인</t>
    <phoneticPr fontId="2" type="noConversion"/>
  </si>
  <si>
    <t>박대훈</t>
    <phoneticPr fontId="2" type="noConversion"/>
  </si>
  <si>
    <t>1시간연장</t>
    <phoneticPr fontId="2" type="noConversion"/>
  </si>
  <si>
    <t>심윤지</t>
    <phoneticPr fontId="2" type="noConversion"/>
  </si>
  <si>
    <t>12:00</t>
    <phoneticPr fontId="2" type="noConversion"/>
  </si>
  <si>
    <t>장영주</t>
    <phoneticPr fontId="2" type="noConversion"/>
  </si>
  <si>
    <t>1111호</t>
    <phoneticPr fontId="2" type="noConversion"/>
  </si>
  <si>
    <t>709호</t>
    <phoneticPr fontId="2" type="noConversion"/>
  </si>
  <si>
    <t>임홍일</t>
    <phoneticPr fontId="2" type="noConversion"/>
  </si>
  <si>
    <t>307호</t>
    <phoneticPr fontId="2" type="noConversion"/>
  </si>
  <si>
    <t>김건형</t>
    <phoneticPr fontId="2" type="noConversion"/>
  </si>
  <si>
    <t>박지헌</t>
    <phoneticPr fontId="2" type="noConversion"/>
  </si>
  <si>
    <t>이환희</t>
    <phoneticPr fontId="2" type="noConversion"/>
  </si>
  <si>
    <t>이정일</t>
    <phoneticPr fontId="2" type="noConversion"/>
  </si>
  <si>
    <t>임영인</t>
    <phoneticPr fontId="2" type="noConversion"/>
  </si>
  <si>
    <t>주찬준</t>
    <phoneticPr fontId="2" type="noConversion"/>
  </si>
  <si>
    <t>아고다</t>
    <phoneticPr fontId="2" type="noConversion"/>
  </si>
  <si>
    <t>이승호</t>
    <phoneticPr fontId="2" type="noConversion"/>
  </si>
  <si>
    <t>V</t>
    <phoneticPr fontId="2" type="noConversion"/>
  </si>
  <si>
    <t>얼리체크인</t>
    <phoneticPr fontId="2" type="noConversion"/>
  </si>
  <si>
    <t>1H</t>
    <phoneticPr fontId="2" type="noConversion"/>
  </si>
  <si>
    <t>14:00</t>
    <phoneticPr fontId="2" type="noConversion"/>
  </si>
  <si>
    <t>501호</t>
    <phoneticPr fontId="2" type="noConversion"/>
  </si>
  <si>
    <t>오한철</t>
    <phoneticPr fontId="2" type="noConversion"/>
  </si>
  <si>
    <t>박민서</t>
    <phoneticPr fontId="2" type="noConversion"/>
  </si>
  <si>
    <t>한은영</t>
    <phoneticPr fontId="2" type="noConversion"/>
  </si>
  <si>
    <t>김태연</t>
    <phoneticPr fontId="2" type="noConversion"/>
  </si>
  <si>
    <t>이승혁</t>
    <phoneticPr fontId="2" type="noConversion"/>
  </si>
  <si>
    <t>15:00</t>
    <phoneticPr fontId="2" type="noConversion"/>
  </si>
  <si>
    <t>김일래</t>
    <phoneticPr fontId="2" type="noConversion"/>
  </si>
  <si>
    <t>서희진</t>
    <phoneticPr fontId="2" type="noConversion"/>
  </si>
  <si>
    <t>양진석</t>
    <phoneticPr fontId="2" type="noConversion"/>
  </si>
  <si>
    <t>서희진2</t>
    <phoneticPr fontId="2" type="noConversion"/>
  </si>
  <si>
    <t>서희진1</t>
    <phoneticPr fontId="2" type="noConversion"/>
  </si>
  <si>
    <t>안정석</t>
    <phoneticPr fontId="2" type="noConversion"/>
  </si>
  <si>
    <t>이윤서</t>
    <phoneticPr fontId="2" type="noConversion"/>
  </si>
  <si>
    <t>배준호</t>
    <phoneticPr fontId="2" type="noConversion"/>
  </si>
  <si>
    <t>김동배</t>
    <phoneticPr fontId="2" type="noConversion"/>
  </si>
  <si>
    <t>1/3</t>
    <phoneticPr fontId="2" type="noConversion"/>
  </si>
  <si>
    <t>2/3</t>
    <phoneticPr fontId="2" type="noConversion"/>
  </si>
  <si>
    <t>지은희</t>
    <phoneticPr fontId="2" type="noConversion"/>
  </si>
  <si>
    <t>전임길</t>
    <phoneticPr fontId="2" type="noConversion"/>
  </si>
  <si>
    <t>AD업그레이드</t>
    <phoneticPr fontId="2" type="noConversion"/>
  </si>
  <si>
    <t>나경호</t>
    <phoneticPr fontId="2" type="noConversion"/>
  </si>
  <si>
    <t>배채훈</t>
    <phoneticPr fontId="2" type="noConversion"/>
  </si>
  <si>
    <t>성형용</t>
    <phoneticPr fontId="2" type="noConversion"/>
  </si>
  <si>
    <t>황은우</t>
    <phoneticPr fontId="2" type="noConversion"/>
  </si>
  <si>
    <t>Cho sooin</t>
  </si>
  <si>
    <t>Cho sooin</t>
    <phoneticPr fontId="2" type="noConversion"/>
  </si>
  <si>
    <t>류경호</t>
    <phoneticPr fontId="2" type="noConversion"/>
  </si>
  <si>
    <t>정동재</t>
    <phoneticPr fontId="2" type="noConversion"/>
  </si>
  <si>
    <t>정성철</t>
    <phoneticPr fontId="2" type="noConversion"/>
  </si>
  <si>
    <t>양</t>
    <phoneticPr fontId="2" type="noConversion"/>
  </si>
  <si>
    <t>석소영</t>
    <phoneticPr fontId="2" type="noConversion"/>
  </si>
  <si>
    <t>김현택</t>
    <phoneticPr fontId="2" type="noConversion"/>
  </si>
  <si>
    <t>서웅식</t>
    <phoneticPr fontId="2" type="noConversion"/>
  </si>
  <si>
    <t>진유호</t>
    <phoneticPr fontId="2" type="noConversion"/>
  </si>
  <si>
    <t>김지환</t>
    <phoneticPr fontId="2" type="noConversion"/>
  </si>
  <si>
    <t>김용우</t>
    <phoneticPr fontId="2" type="noConversion"/>
  </si>
  <si>
    <r>
      <t>숙박</t>
    </r>
    <r>
      <rPr>
        <b/>
        <sz val="18"/>
        <color rgb="FFFF0000"/>
        <rFont val="맑은 고딕"/>
        <family val="3"/>
        <charset val="129"/>
        <scheme val="minor"/>
      </rPr>
      <t>(입)</t>
    </r>
    <phoneticPr fontId="2" type="noConversion"/>
  </si>
  <si>
    <r>
      <t>야놀자(모텔)</t>
    </r>
    <r>
      <rPr>
        <b/>
        <sz val="18"/>
        <color rgb="FFFF0000"/>
        <rFont val="맑은 고딕"/>
        <family val="3"/>
        <charset val="129"/>
        <scheme val="minor"/>
      </rPr>
      <t>(판)</t>
    </r>
    <phoneticPr fontId="2" type="noConversion"/>
  </si>
  <si>
    <t>수수료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</si>
</sst>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[$-F800]dddd\,\ mmmm\ dd\,\ yyyy"/>
    <numFmt numFmtId="177" formatCode="#,###"/>
    <numFmt numFmtId="178" formatCode="mm&quot;월&quot;\ dd&quot;일&quot;"/>
    <numFmt numFmtId="179" formatCode="h:mm;@"/>
    <numFmt numFmtId="180" formatCode="0_);[Red]\(0\)"/>
    <numFmt numFmtId="181" formatCode="#,##0_ ;[Red]\-#,##0\ "/>
    <numFmt numFmtId="182" formatCode="@&quot;N&quot;"/>
    <numFmt numFmtId="183" formatCode="&quot;₩&quot;#,##0.00_);\(&quot;₩&quot;#,##0.00\)"/>
    <numFmt numFmtId="184" formatCode="#,##0_);[Red]\(#,##0\)"/>
    <numFmt numFmtId="185" formatCode="0_ ;[Red]\-0\ "/>
    <numFmt numFmtId="186" formatCode="0.0"/>
    <numFmt numFmtId="187" formatCode="#,##0;[Red]#,##0"/>
    <numFmt numFmtId="188" formatCode="0;[Red]0"/>
  </numFmts>
  <fonts count="10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45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48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60"/>
      <color theme="1"/>
      <name val="맑은 고딕"/>
      <family val="3"/>
      <charset val="129"/>
      <scheme val="minor"/>
    </font>
    <font>
      <b/>
      <sz val="55"/>
      <name val="맑은 고딕"/>
      <family val="3"/>
      <charset val="129"/>
      <scheme val="minor"/>
    </font>
    <font>
      <b/>
      <sz val="45"/>
      <color rgb="FFFF0000"/>
      <name val="맑은 고딕"/>
      <family val="3"/>
      <charset val="129"/>
      <scheme val="minor"/>
    </font>
    <font>
      <b/>
      <sz val="4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33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  <font>
      <sz val="38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30"/>
      <color rgb="FFFF0000"/>
      <name val="맑은 고딕"/>
      <family val="3"/>
      <charset val="129"/>
      <scheme val="minor"/>
    </font>
    <font>
      <sz val="30"/>
      <color theme="1"/>
      <name val="맑은 고딕"/>
      <family val="3"/>
      <charset val="129"/>
      <scheme val="minor"/>
    </font>
    <font>
      <b/>
      <sz val="38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42"/>
      <color theme="1"/>
      <name val="맑은 고딕"/>
      <family val="3"/>
      <charset val="129"/>
      <scheme val="minor"/>
    </font>
    <font>
      <b/>
      <sz val="38"/>
      <color theme="8"/>
      <name val="맑은 고딕"/>
      <family val="3"/>
      <charset val="129"/>
      <scheme val="minor"/>
    </font>
    <font>
      <b/>
      <sz val="38"/>
      <color rgb="FFFF0000"/>
      <name val="맑은 고딕"/>
      <family val="3"/>
      <charset val="129"/>
      <scheme val="minor"/>
    </font>
    <font>
      <b/>
      <sz val="50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45"/>
      <color theme="1"/>
      <name val="맑은 고딕"/>
      <family val="3"/>
      <charset val="129"/>
      <scheme val="major"/>
    </font>
    <font>
      <sz val="45"/>
      <name val="맑은 고딕"/>
      <family val="3"/>
      <charset val="129"/>
      <scheme val="minor"/>
    </font>
    <font>
      <sz val="45"/>
      <color theme="1"/>
      <name val="굴림"/>
      <family val="3"/>
      <charset val="129"/>
    </font>
    <font>
      <sz val="36"/>
      <color theme="1"/>
      <name val="맑은 고딕"/>
      <family val="3"/>
      <charset val="129"/>
      <scheme val="minor"/>
    </font>
    <font>
      <b/>
      <sz val="45"/>
      <color indexed="8"/>
      <name val="맑은 고딕"/>
      <family val="3"/>
      <charset val="129"/>
      <scheme val="minor"/>
    </font>
    <font>
      <sz val="45"/>
      <name val="맑은 고딕"/>
      <family val="3"/>
      <charset val="129"/>
      <scheme val="major"/>
    </font>
    <font>
      <b/>
      <sz val="36"/>
      <color theme="1"/>
      <name val="맑은 고딕"/>
      <family val="3"/>
      <charset val="129"/>
      <scheme val="minor"/>
    </font>
    <font>
      <b/>
      <sz val="45"/>
      <name val="맑은 고딕"/>
      <family val="3"/>
      <charset val="129"/>
      <scheme val="minor"/>
    </font>
    <font>
      <b/>
      <sz val="50"/>
      <color theme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color theme="4" tint="-0.499984740745262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theme="1"/>
      <name val="굴림체"/>
      <family val="3"/>
      <charset val="129"/>
    </font>
    <font>
      <sz val="24"/>
      <color theme="1"/>
      <name val="굴림체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8"/>
      <color rgb="FF00B0F0"/>
      <name val="맑은 고딕"/>
      <family val="3"/>
      <charset val="129"/>
      <scheme val="minor"/>
    </font>
    <font>
      <b/>
      <sz val="11"/>
      <color theme="9" tint="0.79998168889431442"/>
      <name val="맑은 고딕"/>
      <family val="3"/>
      <charset val="129"/>
      <scheme val="major"/>
    </font>
    <font>
      <b/>
      <sz val="12"/>
      <color theme="9" tint="0.79998168889431442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48"/>
      <name val="맑은 고딕"/>
      <family val="3"/>
      <charset val="129"/>
      <scheme val="minor"/>
    </font>
    <font>
      <sz val="4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65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ajor"/>
    </font>
    <font>
      <b/>
      <sz val="20"/>
      <color rgb="FFFF0000"/>
      <name val="맑은 고딕"/>
      <family val="3"/>
      <charset val="129"/>
      <scheme val="major"/>
    </font>
    <font>
      <b/>
      <sz val="48"/>
      <color theme="1"/>
      <name val="맑은 고딕"/>
      <family val="3"/>
      <charset val="129"/>
      <scheme val="major"/>
    </font>
    <font>
      <b/>
      <sz val="36"/>
      <color indexed="81"/>
      <name val="Tahoma"/>
      <family val="2"/>
    </font>
    <font>
      <b/>
      <sz val="36"/>
      <color indexed="81"/>
      <name val="돋움"/>
      <family val="3"/>
      <charset val="129"/>
    </font>
    <font>
      <b/>
      <sz val="45"/>
      <color indexed="81"/>
      <name val="Tahoma"/>
      <family val="2"/>
    </font>
    <font>
      <b/>
      <sz val="45"/>
      <color indexed="81"/>
      <name val="돋움"/>
      <family val="3"/>
      <charset val="129"/>
    </font>
    <font>
      <b/>
      <sz val="36"/>
      <color theme="1"/>
      <name val="맑은 고딕"/>
      <family val="3"/>
      <charset val="129"/>
      <scheme val="major"/>
    </font>
    <font>
      <sz val="45"/>
      <color theme="2"/>
      <name val="맑은 고딕"/>
      <family val="3"/>
      <charset val="129"/>
      <scheme val="minor"/>
    </font>
    <font>
      <sz val="34"/>
      <color rgb="FF222222"/>
      <name val="맑은 고딕"/>
      <family val="3"/>
      <charset val="129"/>
    </font>
    <font>
      <sz val="45"/>
      <color rgb="FFFF0000"/>
      <name val="맑은 고딕"/>
      <family val="3"/>
      <charset val="129"/>
      <scheme val="minor"/>
    </font>
    <font>
      <sz val="45"/>
      <color theme="0"/>
      <name val="맑은 고딕"/>
      <family val="3"/>
      <charset val="129"/>
      <scheme val="minor"/>
    </font>
    <font>
      <b/>
      <sz val="48"/>
      <color indexed="81"/>
      <name val="Tahoma"/>
      <family val="2"/>
    </font>
    <font>
      <b/>
      <sz val="48"/>
      <color indexed="81"/>
      <name val="돋움"/>
      <family val="3"/>
      <charset val="129"/>
    </font>
    <font>
      <sz val="36"/>
      <name val="맑은 고딕"/>
      <family val="3"/>
      <charset val="129"/>
      <scheme val="minor"/>
    </font>
    <font>
      <sz val="23"/>
      <color rgb="FF000000"/>
      <name val="Microsoft YaHei"/>
      <family val="2"/>
      <charset val="134"/>
    </font>
    <font>
      <sz val="72"/>
      <color indexed="81"/>
      <name val="Tahoma"/>
      <family val="2"/>
    </font>
    <font>
      <sz val="72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45"/>
      <color rgb="FF222222"/>
      <name val="맑은 고딕"/>
      <family val="3"/>
      <charset val="129"/>
      <scheme val="minor"/>
    </font>
    <font>
      <sz val="30"/>
      <color rgb="FF222222"/>
      <name val="맑은 고딕"/>
      <family val="3"/>
      <charset val="129"/>
      <scheme val="minor"/>
    </font>
    <font>
      <sz val="48"/>
      <color rgb="FF222222"/>
      <name val="Arial"/>
      <family val="2"/>
    </font>
    <font>
      <sz val="45"/>
      <color rgb="FF222222"/>
      <name val="맑은 고딕"/>
      <family val="3"/>
      <charset val="129"/>
    </font>
    <font>
      <sz val="43"/>
      <color rgb="FF222222"/>
      <name val="Arial"/>
      <family val="2"/>
    </font>
    <font>
      <sz val="34"/>
      <color rgb="FF121617"/>
      <name val="맑은 고딕"/>
      <family val="3"/>
      <charset val="129"/>
      <scheme val="minor"/>
    </font>
    <font>
      <sz val="45"/>
      <color rgb="FF252C38"/>
      <name val="맑은 고딕"/>
      <family val="2"/>
      <charset val="129"/>
    </font>
    <font>
      <sz val="35"/>
      <color rgb="FF121617"/>
      <name val="Segoe UI"/>
      <family val="2"/>
    </font>
    <font>
      <sz val="48"/>
      <color indexed="81"/>
      <name val="Tahoma"/>
      <family val="2"/>
    </font>
    <font>
      <sz val="48"/>
      <color indexed="81"/>
      <name val="돋움"/>
      <family val="3"/>
      <charset val="129"/>
    </font>
    <font>
      <sz val="30"/>
      <color rgb="FF222222"/>
      <name val="Arial"/>
      <family val="2"/>
    </font>
    <font>
      <b/>
      <sz val="36"/>
      <color indexed="81"/>
      <name val="맑은 고딕"/>
      <family val="3"/>
      <charset val="129"/>
      <scheme val="major"/>
    </font>
    <font>
      <b/>
      <sz val="45"/>
      <color theme="1" tint="4.9989318521683403E-2"/>
      <name val="맑은 고딕"/>
      <family val="3"/>
      <charset val="129"/>
      <scheme val="minor"/>
    </font>
    <font>
      <sz val="45"/>
      <color theme="1" tint="4.9989318521683403E-2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2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B2B2B2"/>
      </right>
      <top style="thin">
        <color indexed="64"/>
      </top>
      <bottom/>
      <diagonal/>
    </border>
    <border>
      <left style="thin">
        <color rgb="FFB2B2B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/>
      <diagonal/>
    </border>
    <border>
      <left style="thin">
        <color rgb="FFB2B2B2"/>
      </left>
      <right/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/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auto="1"/>
      </right>
      <top style="medium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theme="1"/>
      </top>
      <bottom/>
      <diagonal/>
    </border>
    <border>
      <left style="medium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rgb="FFFF0000"/>
      </bottom>
      <diagonal/>
    </border>
    <border>
      <left/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rgb="FFFF0000"/>
      </top>
      <bottom style="hair">
        <color indexed="64"/>
      </bottom>
      <diagonal/>
    </border>
    <border>
      <left/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0" tint="-0.24994659260841701"/>
      </left>
      <right style="hair">
        <color indexed="64"/>
      </right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rgb="FFFF000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auto="1"/>
      </right>
      <top style="thin">
        <color indexed="64"/>
      </top>
      <bottom style="medium">
        <color theme="1"/>
      </bottom>
      <diagonal/>
    </border>
    <border>
      <left style="medium">
        <color auto="1"/>
      </left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/>
      <top/>
      <bottom style="medium">
        <color rgb="FFFF0000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rgb="FFFF0000"/>
      </bottom>
      <diagonal/>
    </border>
    <border>
      <left/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hair">
        <color indexed="64"/>
      </left>
      <right style="medium">
        <color indexed="64"/>
      </right>
      <top style="thick">
        <color rgb="FFFFC000"/>
      </top>
      <bottom style="hair">
        <color indexed="64"/>
      </bottom>
      <diagonal/>
    </border>
    <border>
      <left/>
      <right style="hair">
        <color indexed="64"/>
      </right>
      <top style="thick">
        <color rgb="FFFFC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rgb="FFFFC000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thick">
        <color rgb="FFFFC000"/>
      </bottom>
      <diagonal/>
    </border>
    <border>
      <left/>
      <right style="hair">
        <color indexed="64"/>
      </right>
      <top style="hair">
        <color auto="1"/>
      </top>
      <bottom style="thick">
        <color rgb="FFFFC000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ck">
        <color rgb="FFFFC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C000"/>
      </bottom>
      <diagonal/>
    </border>
    <border>
      <left style="medium">
        <color indexed="64"/>
      </left>
      <right style="hair">
        <color indexed="64"/>
      </right>
      <top style="thick">
        <color rgb="FFFFC000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8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94">
    <xf numFmtId="0" fontId="0" fillId="0" borderId="0" xfId="0">
      <alignment vertical="center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7" fillId="0" borderId="0" xfId="0" applyFont="1">
      <alignment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0" borderId="25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9" fillId="6" borderId="0" xfId="0" applyFont="1" applyFill="1" applyAlignment="1">
      <alignment vertical="center" wrapText="1"/>
    </xf>
    <xf numFmtId="0" fontId="15" fillId="6" borderId="0" xfId="0" applyFont="1" applyFill="1" applyAlignment="1">
      <alignment horizontal="center" vertical="center"/>
    </xf>
    <xf numFmtId="181" fontId="15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0" borderId="37" xfId="0" applyFont="1" applyBorder="1" applyAlignment="1">
      <alignment horizontal="center" vertical="center"/>
    </xf>
    <xf numFmtId="180" fontId="25" fillId="9" borderId="37" xfId="1" applyNumberFormat="1" applyFont="1" applyFill="1" applyBorder="1" applyAlignment="1" applyProtection="1">
      <alignment vertical="center"/>
    </xf>
    <xf numFmtId="42" fontId="26" fillId="9" borderId="37" xfId="1" applyNumberFormat="1" applyFont="1" applyFill="1" applyBorder="1" applyAlignment="1" applyProtection="1">
      <alignment vertical="center"/>
    </xf>
    <xf numFmtId="42" fontId="27" fillId="9" borderId="37" xfId="1" applyNumberFormat="1" applyFont="1" applyFill="1" applyBorder="1" applyAlignment="1" applyProtection="1">
      <alignment vertical="center"/>
    </xf>
    <xf numFmtId="180" fontId="22" fillId="8" borderId="37" xfId="1" applyNumberFormat="1" applyFont="1" applyFill="1" applyBorder="1" applyAlignment="1" applyProtection="1">
      <alignment vertical="center"/>
    </xf>
    <xf numFmtId="42" fontId="26" fillId="8" borderId="36" xfId="1" applyNumberFormat="1" applyFont="1" applyFill="1" applyBorder="1" applyAlignment="1" applyProtection="1">
      <alignment vertical="center"/>
    </xf>
    <xf numFmtId="42" fontId="27" fillId="8" borderId="38" xfId="1" applyNumberFormat="1" applyFont="1" applyFill="1" applyBorder="1" applyAlignment="1" applyProtection="1">
      <alignment horizontal="center" vertical="center"/>
    </xf>
    <xf numFmtId="42" fontId="26" fillId="0" borderId="33" xfId="2" applyNumberFormat="1" applyFont="1" applyFill="1" applyBorder="1" applyAlignment="1" applyProtection="1">
      <alignment vertical="center"/>
    </xf>
    <xf numFmtId="42" fontId="27" fillId="6" borderId="37" xfId="2" applyNumberFormat="1" applyFont="1" applyFill="1" applyBorder="1" applyAlignment="1" applyProtection="1">
      <alignment vertical="center"/>
    </xf>
    <xf numFmtId="177" fontId="13" fillId="0" borderId="0" xfId="0" applyNumberFormat="1" applyFont="1" applyAlignment="1">
      <alignment horizontal="center" vertical="center"/>
    </xf>
    <xf numFmtId="177" fontId="13" fillId="0" borderId="0" xfId="0" applyNumberFormat="1" applyFont="1">
      <alignment vertical="center"/>
    </xf>
    <xf numFmtId="0" fontId="29" fillId="0" borderId="0" xfId="0" applyFont="1">
      <alignment vertical="center"/>
    </xf>
    <xf numFmtId="182" fontId="0" fillId="0" borderId="0" xfId="0" applyNumberFormat="1">
      <alignment vertical="center"/>
    </xf>
    <xf numFmtId="0" fontId="3" fillId="0" borderId="35" xfId="0" applyFont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177" fontId="11" fillId="0" borderId="23" xfId="0" applyNumberFormat="1" applyFont="1" applyBorder="1">
      <alignment vertical="center"/>
    </xf>
    <xf numFmtId="177" fontId="11" fillId="0" borderId="24" xfId="0" applyNumberFormat="1" applyFont="1" applyBorder="1">
      <alignment vertical="center"/>
    </xf>
    <xf numFmtId="177" fontId="10" fillId="0" borderId="23" xfId="0" applyNumberFormat="1" applyFont="1" applyBorder="1">
      <alignment vertical="center"/>
    </xf>
    <xf numFmtId="177" fontId="10" fillId="0" borderId="24" xfId="0" applyNumberFormat="1" applyFont="1" applyBorder="1">
      <alignment vertical="center"/>
    </xf>
    <xf numFmtId="0" fontId="11" fillId="9" borderId="51" xfId="0" applyFont="1" applyFill="1" applyBorder="1" applyAlignment="1">
      <alignment horizontal="center" vertical="center"/>
    </xf>
    <xf numFmtId="0" fontId="11" fillId="8" borderId="51" xfId="0" applyFont="1" applyFill="1" applyBorder="1" applyAlignment="1">
      <alignment horizontal="center" vertical="center"/>
    </xf>
    <xf numFmtId="0" fontId="3" fillId="9" borderId="54" xfId="2" applyFont="1" applyFill="1" applyBorder="1">
      <alignment vertical="center"/>
    </xf>
    <xf numFmtId="41" fontId="3" fillId="8" borderId="54" xfId="2" applyNumberFormat="1" applyFont="1" applyFill="1" applyBorder="1" applyAlignment="1" applyProtection="1">
      <alignment horizontal="center" vertical="center"/>
    </xf>
    <xf numFmtId="41" fontId="3" fillId="9" borderId="58" xfId="1" applyFont="1" applyFill="1" applyBorder="1">
      <alignment vertical="center"/>
    </xf>
    <xf numFmtId="41" fontId="3" fillId="8" borderId="58" xfId="2" applyNumberFormat="1" applyFont="1" applyFill="1" applyBorder="1" applyAlignment="1" applyProtection="1">
      <alignment horizontal="center" vertical="center"/>
    </xf>
    <xf numFmtId="41" fontId="3" fillId="9" borderId="62" xfId="1" applyFont="1" applyFill="1" applyBorder="1">
      <alignment vertical="center"/>
    </xf>
    <xf numFmtId="41" fontId="3" fillId="8" borderId="62" xfId="2" applyNumberFormat="1" applyFont="1" applyFill="1" applyBorder="1" applyAlignment="1" applyProtection="1">
      <alignment horizontal="center" vertical="center"/>
    </xf>
    <xf numFmtId="41" fontId="3" fillId="8" borderId="66" xfId="2" applyNumberFormat="1" applyFont="1" applyFill="1" applyBorder="1" applyAlignment="1" applyProtection="1">
      <alignment horizontal="center" vertical="center"/>
    </xf>
    <xf numFmtId="177" fontId="3" fillId="0" borderId="0" xfId="0" applyNumberFormat="1" applyFont="1">
      <alignment vertical="center"/>
    </xf>
    <xf numFmtId="177" fontId="3" fillId="0" borderId="13" xfId="0" applyNumberFormat="1" applyFont="1" applyBorder="1">
      <alignment vertical="center"/>
    </xf>
    <xf numFmtId="41" fontId="3" fillId="9" borderId="0" xfId="1" applyFont="1" applyFill="1" applyBorder="1">
      <alignment vertical="center"/>
    </xf>
    <xf numFmtId="41" fontId="3" fillId="8" borderId="0" xfId="2" applyNumberFormat="1" applyFont="1" applyFill="1" applyBorder="1" applyAlignment="1" applyProtection="1">
      <alignment horizontal="center" vertical="center"/>
    </xf>
    <xf numFmtId="180" fontId="11" fillId="9" borderId="37" xfId="1" applyNumberFormat="1" applyFont="1" applyFill="1" applyBorder="1" applyAlignment="1" applyProtection="1">
      <alignment vertical="center"/>
    </xf>
    <xf numFmtId="180" fontId="11" fillId="8" borderId="37" xfId="1" applyNumberFormat="1" applyFont="1" applyFill="1" applyBorder="1" applyAlignment="1" applyProtection="1">
      <alignment vertical="center"/>
    </xf>
    <xf numFmtId="0" fontId="11" fillId="0" borderId="46" xfId="0" applyFont="1" applyBorder="1" applyAlignment="1">
      <alignment horizontal="center" vertical="center"/>
    </xf>
    <xf numFmtId="177" fontId="11" fillId="2" borderId="70" xfId="2" applyNumberFormat="1" applyFont="1" applyBorder="1" applyAlignment="1" applyProtection="1">
      <alignment horizontal="center" vertical="center"/>
    </xf>
    <xf numFmtId="177" fontId="11" fillId="2" borderId="43" xfId="2" applyNumberFormat="1" applyFont="1" applyBorder="1" applyAlignment="1" applyProtection="1">
      <alignment horizontal="center" vertical="center"/>
    </xf>
    <xf numFmtId="177" fontId="3" fillId="9" borderId="72" xfId="0" applyNumberFormat="1" applyFont="1" applyFill="1" applyBorder="1" applyAlignment="1">
      <alignment horizontal="center" vertical="center"/>
    </xf>
    <xf numFmtId="177" fontId="3" fillId="8" borderId="72" xfId="0" applyNumberFormat="1" applyFont="1" applyFill="1" applyBorder="1" applyAlignment="1">
      <alignment horizontal="center" vertical="center"/>
    </xf>
    <xf numFmtId="177" fontId="3" fillId="8" borderId="73" xfId="0" applyNumberFormat="1" applyFont="1" applyFill="1" applyBorder="1" applyAlignment="1">
      <alignment horizontal="center" vertical="center"/>
    </xf>
    <xf numFmtId="177" fontId="3" fillId="8" borderId="0" xfId="0" applyNumberFormat="1" applyFont="1" applyFill="1" applyAlignment="1">
      <alignment horizontal="center" vertical="center"/>
    </xf>
    <xf numFmtId="177" fontId="3" fillId="2" borderId="74" xfId="2" applyNumberFormat="1" applyFont="1" applyBorder="1" applyAlignment="1" applyProtection="1">
      <alignment vertical="center"/>
    </xf>
    <xf numFmtId="177" fontId="3" fillId="2" borderId="13" xfId="2" applyNumberFormat="1" applyFont="1" applyBorder="1" applyAlignment="1" applyProtection="1">
      <alignment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177" fontId="3" fillId="0" borderId="46" xfId="0" applyNumberFormat="1" applyFont="1" applyBorder="1" applyAlignment="1">
      <alignment horizontal="center" vertical="center"/>
    </xf>
    <xf numFmtId="41" fontId="3" fillId="0" borderId="46" xfId="1" applyFont="1" applyBorder="1" applyAlignment="1" applyProtection="1">
      <alignment horizontal="center" vertical="center"/>
    </xf>
    <xf numFmtId="41" fontId="3" fillId="0" borderId="43" xfId="1" applyFont="1" applyBorder="1" applyAlignment="1" applyProtection="1">
      <alignment horizontal="center" vertical="center"/>
    </xf>
    <xf numFmtId="177" fontId="3" fillId="2" borderId="0" xfId="2" applyNumberFormat="1" applyFont="1" applyBorder="1" applyAlignment="1" applyProtection="1">
      <alignment vertical="center"/>
    </xf>
    <xf numFmtId="41" fontId="3" fillId="0" borderId="36" xfId="1" applyFont="1" applyBorder="1" applyAlignment="1" applyProtection="1">
      <alignment horizontal="center" vertical="center"/>
    </xf>
    <xf numFmtId="41" fontId="3" fillId="0" borderId="37" xfId="1" applyFont="1" applyBorder="1" applyAlignment="1" applyProtection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11" fillId="9" borderId="46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0" fontId="11" fillId="8" borderId="43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177" fontId="3" fillId="0" borderId="38" xfId="0" applyNumberFormat="1" applyFont="1" applyBorder="1" applyAlignment="1">
      <alignment horizontal="center" vertical="center"/>
    </xf>
    <xf numFmtId="177" fontId="3" fillId="0" borderId="37" xfId="0" applyNumberFormat="1" applyFont="1" applyBorder="1" applyAlignment="1">
      <alignment horizontal="center" vertical="center"/>
    </xf>
    <xf numFmtId="177" fontId="3" fillId="0" borderId="4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10" borderId="33" xfId="0" applyFont="1" applyFill="1" applyBorder="1" applyAlignment="1">
      <alignment horizontal="center" vertical="center"/>
    </xf>
    <xf numFmtId="0" fontId="3" fillId="12" borderId="33" xfId="0" applyFont="1" applyFill="1" applyBorder="1" applyAlignment="1">
      <alignment horizontal="center" vertical="center"/>
    </xf>
    <xf numFmtId="0" fontId="33" fillId="13" borderId="33" xfId="0" applyFont="1" applyFill="1" applyBorder="1" applyAlignment="1">
      <alignment horizontal="center" vertical="center"/>
    </xf>
    <xf numFmtId="177" fontId="36" fillId="0" borderId="23" xfId="0" applyNumberFormat="1" applyFont="1" applyBorder="1">
      <alignment vertical="center"/>
    </xf>
    <xf numFmtId="177" fontId="31" fillId="0" borderId="23" xfId="0" applyNumberFormat="1" applyFont="1" applyBorder="1">
      <alignment vertical="center"/>
    </xf>
    <xf numFmtId="177" fontId="31" fillId="0" borderId="24" xfId="0" applyNumberFormat="1" applyFont="1" applyBorder="1">
      <alignment vertical="center"/>
    </xf>
    <xf numFmtId="42" fontId="40" fillId="0" borderId="0" xfId="0" applyNumberFormat="1" applyFont="1">
      <alignment vertical="center"/>
    </xf>
    <xf numFmtId="42" fontId="42" fillId="0" borderId="0" xfId="1" applyNumberFormat="1" applyFont="1" applyAlignment="1">
      <alignment horizontal="center" vertical="center"/>
    </xf>
    <xf numFmtId="42" fontId="43" fillId="0" borderId="0" xfId="0" applyNumberFormat="1" applyFont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42" fontId="42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2" fontId="40" fillId="0" borderId="98" xfId="0" applyNumberFormat="1" applyFont="1" applyBorder="1">
      <alignment vertical="center"/>
    </xf>
    <xf numFmtId="0" fontId="41" fillId="0" borderId="33" xfId="0" applyFont="1" applyBorder="1" applyAlignment="1">
      <alignment horizontal="center" vertical="center"/>
    </xf>
    <xf numFmtId="0" fontId="41" fillId="0" borderId="132" xfId="0" applyFont="1" applyBorder="1" applyAlignment="1">
      <alignment horizontal="center" vertical="center"/>
    </xf>
    <xf numFmtId="42" fontId="41" fillId="0" borderId="33" xfId="0" applyNumberFormat="1" applyFont="1" applyBorder="1" applyAlignment="1">
      <alignment horizontal="center" vertical="center"/>
    </xf>
    <xf numFmtId="42" fontId="41" fillId="0" borderId="39" xfId="0" applyNumberFormat="1" applyFont="1" applyBorder="1" applyAlignment="1">
      <alignment horizontal="center" vertical="center"/>
    </xf>
    <xf numFmtId="42" fontId="41" fillId="0" borderId="133" xfId="0" applyNumberFormat="1" applyFont="1" applyBorder="1" applyAlignment="1">
      <alignment horizontal="center" vertical="center"/>
    </xf>
    <xf numFmtId="0" fontId="41" fillId="0" borderId="134" xfId="0" applyFont="1" applyBorder="1" applyAlignment="1">
      <alignment horizontal="center" vertical="center"/>
    </xf>
    <xf numFmtId="0" fontId="41" fillId="0" borderId="135" xfId="0" applyFont="1" applyBorder="1" applyAlignment="1">
      <alignment horizontal="center" vertical="center"/>
    </xf>
    <xf numFmtId="0" fontId="41" fillId="6" borderId="135" xfId="0" applyFont="1" applyFill="1" applyBorder="1" applyAlignment="1">
      <alignment horizontal="center" vertical="center"/>
    </xf>
    <xf numFmtId="0" fontId="41" fillId="0" borderId="136" xfId="0" applyFont="1" applyBorder="1" applyAlignment="1">
      <alignment horizontal="center" vertical="center"/>
    </xf>
    <xf numFmtId="0" fontId="41" fillId="17" borderId="88" xfId="0" applyFont="1" applyFill="1" applyBorder="1" applyAlignment="1">
      <alignment horizontal="center" vertical="center"/>
    </xf>
    <xf numFmtId="42" fontId="42" fillId="17" borderId="138" xfId="1" applyNumberFormat="1" applyFont="1" applyFill="1" applyBorder="1" applyAlignment="1">
      <alignment horizontal="center" vertical="center"/>
    </xf>
    <xf numFmtId="42" fontId="43" fillId="17" borderId="40" xfId="0" applyNumberFormat="1" applyFont="1" applyFill="1" applyBorder="1" applyAlignment="1">
      <alignment horizontal="center" vertical="center"/>
    </xf>
    <xf numFmtId="14" fontId="41" fillId="17" borderId="25" xfId="0" applyNumberFormat="1" applyFont="1" applyFill="1" applyBorder="1" applyAlignment="1">
      <alignment horizontal="center" vertical="center"/>
    </xf>
    <xf numFmtId="0" fontId="41" fillId="17" borderId="41" xfId="0" applyFont="1" applyFill="1" applyBorder="1" applyAlignment="1">
      <alignment horizontal="center" vertical="center"/>
    </xf>
    <xf numFmtId="0" fontId="41" fillId="0" borderId="141" xfId="0" applyFont="1" applyBorder="1" applyAlignment="1">
      <alignment horizontal="center" vertical="center"/>
    </xf>
    <xf numFmtId="0" fontId="41" fillId="6" borderId="33" xfId="0" applyFont="1" applyFill="1" applyBorder="1" applyAlignment="1">
      <alignment horizontal="center" vertical="center"/>
    </xf>
    <xf numFmtId="42" fontId="41" fillId="6" borderId="39" xfId="0" applyNumberFormat="1" applyFont="1" applyFill="1" applyBorder="1" applyAlignment="1">
      <alignment horizontal="center" vertical="center"/>
    </xf>
    <xf numFmtId="42" fontId="41" fillId="0" borderId="134" xfId="0" applyNumberFormat="1" applyFont="1" applyBorder="1" applyAlignment="1">
      <alignment horizontal="center" vertical="center"/>
    </xf>
    <xf numFmtId="42" fontId="41" fillId="0" borderId="135" xfId="0" applyNumberFormat="1" applyFont="1" applyBorder="1" applyAlignment="1">
      <alignment horizontal="center" vertical="center"/>
    </xf>
    <xf numFmtId="42" fontId="41" fillId="6" borderId="135" xfId="0" applyNumberFormat="1" applyFont="1" applyFill="1" applyBorder="1" applyAlignment="1">
      <alignment horizontal="center" vertical="center"/>
    </xf>
    <xf numFmtId="42" fontId="41" fillId="0" borderId="136" xfId="0" applyNumberFormat="1" applyFont="1" applyBorder="1" applyAlignment="1">
      <alignment horizontal="center" vertical="center"/>
    </xf>
    <xf numFmtId="0" fontId="41" fillId="6" borderId="132" xfId="0" applyFont="1" applyFill="1" applyBorder="1" applyAlignment="1">
      <alignment horizontal="center" vertical="center"/>
    </xf>
    <xf numFmtId="42" fontId="41" fillId="6" borderId="33" xfId="0" applyNumberFormat="1" applyFont="1" applyFill="1" applyBorder="1" applyAlignment="1">
      <alignment horizontal="center" vertical="center"/>
    </xf>
    <xf numFmtId="0" fontId="41" fillId="6" borderId="33" xfId="0" applyFont="1" applyFill="1" applyBorder="1" applyAlignment="1">
      <alignment horizontal="center" vertical="center" wrapText="1"/>
    </xf>
    <xf numFmtId="42" fontId="41" fillId="0" borderId="0" xfId="0" applyNumberFormat="1" applyFont="1" applyAlignment="1">
      <alignment horizontal="center" vertical="center"/>
    </xf>
    <xf numFmtId="0" fontId="41" fillId="17" borderId="124" xfId="0" applyFont="1" applyFill="1" applyBorder="1" applyAlignment="1">
      <alignment horizontal="center" vertical="center"/>
    </xf>
    <xf numFmtId="42" fontId="42" fillId="17" borderId="132" xfId="1" applyNumberFormat="1" applyFont="1" applyFill="1" applyBorder="1" applyAlignment="1">
      <alignment horizontal="center" vertical="center"/>
    </xf>
    <xf numFmtId="42" fontId="43" fillId="17" borderId="37" xfId="0" applyNumberFormat="1" applyFont="1" applyFill="1" applyBorder="1" applyAlignment="1">
      <alignment horizontal="center" vertical="center"/>
    </xf>
    <xf numFmtId="14" fontId="41" fillId="17" borderId="33" xfId="0" applyNumberFormat="1" applyFont="1" applyFill="1" applyBorder="1" applyAlignment="1">
      <alignment horizontal="center" vertical="center"/>
    </xf>
    <xf numFmtId="181" fontId="41" fillId="17" borderId="39" xfId="0" applyNumberFormat="1" applyFont="1" applyFill="1" applyBorder="1" applyAlignment="1">
      <alignment horizontal="right" vertical="center"/>
    </xf>
    <xf numFmtId="42" fontId="42" fillId="17" borderId="142" xfId="1" applyNumberFormat="1" applyFont="1" applyFill="1" applyBorder="1" applyAlignment="1">
      <alignment horizontal="center" vertical="center"/>
    </xf>
    <xf numFmtId="42" fontId="43" fillId="17" borderId="142" xfId="1" applyNumberFormat="1" applyFont="1" applyFill="1" applyBorder="1" applyAlignment="1">
      <alignment horizontal="center" vertical="center"/>
    </xf>
    <xf numFmtId="41" fontId="47" fillId="6" borderId="140" xfId="1" applyFont="1" applyFill="1" applyBorder="1" applyAlignment="1">
      <alignment horizontal="center" vertical="center"/>
    </xf>
    <xf numFmtId="41" fontId="47" fillId="6" borderId="34" xfId="1" applyFont="1" applyFill="1" applyBorder="1" applyAlignment="1">
      <alignment horizontal="center" vertical="center"/>
    </xf>
    <xf numFmtId="41" fontId="47" fillId="6" borderId="35" xfId="1" applyFont="1" applyFill="1" applyBorder="1" applyAlignment="1">
      <alignment horizontal="center" vertical="center"/>
    </xf>
    <xf numFmtId="41" fontId="44" fillId="6" borderId="96" xfId="0" applyNumberFormat="1" applyFont="1" applyFill="1" applyBorder="1" applyAlignment="1">
      <alignment horizontal="center" vertical="center"/>
    </xf>
    <xf numFmtId="0" fontId="41" fillId="17" borderId="86" xfId="0" applyFont="1" applyFill="1" applyBorder="1" applyAlignment="1">
      <alignment horizontal="center" vertical="center"/>
    </xf>
    <xf numFmtId="41" fontId="47" fillId="6" borderId="143" xfId="1" applyFont="1" applyFill="1" applyBorder="1" applyAlignment="1">
      <alignment horizontal="center" vertical="center"/>
    </xf>
    <xf numFmtId="41" fontId="47" fillId="6" borderId="33" xfId="1" applyFont="1" applyFill="1" applyBorder="1" applyAlignment="1">
      <alignment horizontal="center" vertical="center"/>
    </xf>
    <xf numFmtId="41" fontId="47" fillId="6" borderId="38" xfId="1" applyFont="1" applyFill="1" applyBorder="1" applyAlignment="1">
      <alignment horizontal="center" vertical="center"/>
    </xf>
    <xf numFmtId="0" fontId="41" fillId="18" borderId="86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1" fillId="15" borderId="86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41" fontId="47" fillId="6" borderId="0" xfId="1" applyFont="1" applyFill="1" applyBorder="1">
      <alignment vertical="center"/>
    </xf>
    <xf numFmtId="0" fontId="7" fillId="6" borderId="33" xfId="0" applyFont="1" applyFill="1" applyBorder="1" applyAlignment="1">
      <alignment horizontal="center" vertical="center" wrapText="1"/>
    </xf>
    <xf numFmtId="44" fontId="41" fillId="0" borderId="0" xfId="0" applyNumberFormat="1" applyFont="1" applyAlignment="1">
      <alignment horizontal="center" vertical="center"/>
    </xf>
    <xf numFmtId="0" fontId="48" fillId="6" borderId="33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41" fillId="0" borderId="144" xfId="0" applyFont="1" applyBorder="1" applyAlignment="1">
      <alignment horizontal="center" vertical="center"/>
    </xf>
    <xf numFmtId="0" fontId="41" fillId="0" borderId="145" xfId="0" applyFont="1" applyBorder="1" applyAlignment="1">
      <alignment horizontal="center" vertical="center"/>
    </xf>
    <xf numFmtId="42" fontId="41" fillId="0" borderId="146" xfId="0" applyNumberFormat="1" applyFont="1" applyBorder="1" applyAlignment="1">
      <alignment horizontal="center" vertical="center"/>
    </xf>
    <xf numFmtId="0" fontId="41" fillId="0" borderId="147" xfId="0" applyFont="1" applyBorder="1" applyAlignment="1">
      <alignment horizontal="center" vertical="center"/>
    </xf>
    <xf numFmtId="42" fontId="41" fillId="0" borderId="148" xfId="0" applyNumberFormat="1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42" fontId="41" fillId="0" borderId="150" xfId="0" applyNumberFormat="1" applyFont="1" applyBorder="1" applyAlignment="1">
      <alignment horizontal="center" vertical="center"/>
    </xf>
    <xf numFmtId="0" fontId="41" fillId="0" borderId="146" xfId="0" applyFont="1" applyBorder="1" applyAlignment="1">
      <alignment horizontal="center" vertical="center"/>
    </xf>
    <xf numFmtId="42" fontId="41" fillId="10" borderId="151" xfId="0" applyNumberFormat="1" applyFont="1" applyFill="1" applyBorder="1" applyAlignment="1">
      <alignment horizontal="center" vertical="center"/>
    </xf>
    <xf numFmtId="42" fontId="41" fillId="10" borderId="152" xfId="0" applyNumberFormat="1" applyFont="1" applyFill="1" applyBorder="1" applyAlignment="1">
      <alignment horizontal="center" vertical="center"/>
    </xf>
    <xf numFmtId="42" fontId="41" fillId="10" borderId="153" xfId="0" applyNumberFormat="1" applyFont="1" applyFill="1" applyBorder="1" applyAlignment="1">
      <alignment horizontal="center" vertical="center"/>
    </xf>
    <xf numFmtId="0" fontId="41" fillId="10" borderId="145" xfId="0" applyFont="1" applyFill="1" applyBorder="1" applyAlignment="1">
      <alignment horizontal="center" vertical="center"/>
    </xf>
    <xf numFmtId="42" fontId="41" fillId="10" borderId="146" xfId="0" applyNumberFormat="1" applyFont="1" applyFill="1" applyBorder="1" applyAlignment="1">
      <alignment horizontal="center" vertical="center"/>
    </xf>
    <xf numFmtId="0" fontId="41" fillId="10" borderId="146" xfId="0" applyFont="1" applyFill="1" applyBorder="1" applyAlignment="1">
      <alignment horizontal="center" vertical="center"/>
    </xf>
    <xf numFmtId="42" fontId="42" fillId="10" borderId="147" xfId="0" applyNumberFormat="1" applyFont="1" applyFill="1" applyBorder="1" applyAlignment="1">
      <alignment horizontal="center" vertical="center"/>
    </xf>
    <xf numFmtId="42" fontId="41" fillId="10" borderId="138" xfId="0" applyNumberFormat="1" applyFont="1" applyFill="1" applyBorder="1" applyAlignment="1">
      <alignment horizontal="center" vertical="center"/>
    </xf>
    <xf numFmtId="0" fontId="41" fillId="10" borderId="25" xfId="0" applyFont="1" applyFill="1" applyBorder="1" applyAlignment="1">
      <alignment horizontal="center" vertical="center"/>
    </xf>
    <xf numFmtId="42" fontId="41" fillId="10" borderId="39" xfId="0" applyNumberFormat="1" applyFont="1" applyFill="1" applyBorder="1" applyAlignment="1">
      <alignment horizontal="center" vertical="center"/>
    </xf>
    <xf numFmtId="183" fontId="41" fillId="0" borderId="0" xfId="0" applyNumberFormat="1" applyFont="1" applyAlignment="1">
      <alignment horizontal="center" vertical="center"/>
    </xf>
    <xf numFmtId="0" fontId="42" fillId="17" borderId="91" xfId="0" applyFont="1" applyFill="1" applyBorder="1" applyAlignment="1">
      <alignment horizontal="center" vertical="center"/>
    </xf>
    <xf numFmtId="42" fontId="42" fillId="17" borderId="154" xfId="1" applyNumberFormat="1" applyFont="1" applyFill="1" applyBorder="1" applyAlignment="1">
      <alignment horizontal="center" vertical="center"/>
    </xf>
    <xf numFmtId="42" fontId="43" fillId="17" borderId="95" xfId="0" applyNumberFormat="1" applyFont="1" applyFill="1" applyBorder="1" applyAlignment="1">
      <alignment horizontal="center" vertical="center"/>
    </xf>
    <xf numFmtId="41" fontId="42" fillId="17" borderId="155" xfId="1" applyFont="1" applyFill="1" applyBorder="1" applyAlignment="1">
      <alignment vertical="center"/>
    </xf>
    <xf numFmtId="41" fontId="42" fillId="17" borderId="156" xfId="1" applyFont="1" applyFill="1" applyBorder="1" applyAlignment="1">
      <alignment vertical="center"/>
    </xf>
    <xf numFmtId="42" fontId="42" fillId="17" borderId="96" xfId="1" applyNumberFormat="1" applyFont="1" applyFill="1" applyBorder="1" applyAlignment="1">
      <alignment horizontal="center" vertical="center"/>
    </xf>
    <xf numFmtId="42" fontId="43" fillId="17" borderId="96" xfId="1" applyNumberFormat="1" applyFont="1" applyFill="1" applyBorder="1" applyAlignment="1">
      <alignment horizontal="center" vertical="center"/>
    </xf>
    <xf numFmtId="41" fontId="44" fillId="0" borderId="92" xfId="0" applyNumberFormat="1" applyFont="1" applyBorder="1" applyAlignment="1">
      <alignment horizontal="center" vertical="center"/>
    </xf>
    <xf numFmtId="0" fontId="50" fillId="19" borderId="157" xfId="0" applyFont="1" applyFill="1" applyBorder="1" applyAlignment="1">
      <alignment horizontal="center" vertical="center"/>
    </xf>
    <xf numFmtId="14" fontId="51" fillId="19" borderId="158" xfId="0" applyNumberFormat="1" applyFont="1" applyFill="1" applyBorder="1" applyAlignment="1">
      <alignment horizontal="center" vertical="center"/>
    </xf>
    <xf numFmtId="0" fontId="53" fillId="0" borderId="0" xfId="0" applyFont="1">
      <alignment vertical="center"/>
    </xf>
    <xf numFmtId="0" fontId="54" fillId="6" borderId="10" xfId="0" applyFont="1" applyFill="1" applyBorder="1" applyAlignment="1">
      <alignment horizontal="center" vertical="center"/>
    </xf>
    <xf numFmtId="0" fontId="55" fillId="6" borderId="11" xfId="0" applyFont="1" applyFill="1" applyBorder="1" applyAlignment="1">
      <alignment horizontal="center" vertical="center"/>
    </xf>
    <xf numFmtId="0" fontId="54" fillId="6" borderId="163" xfId="5" applyFont="1" applyFill="1" applyBorder="1" applyAlignment="1">
      <alignment horizontal="center" vertical="center"/>
    </xf>
    <xf numFmtId="0" fontId="55" fillId="6" borderId="25" xfId="0" applyFont="1" applyFill="1" applyBorder="1" applyAlignment="1">
      <alignment horizontal="center" vertical="center"/>
    </xf>
    <xf numFmtId="0" fontId="55" fillId="6" borderId="41" xfId="0" applyFont="1" applyFill="1" applyBorder="1" applyAlignment="1">
      <alignment horizontal="center" vertical="center"/>
    </xf>
    <xf numFmtId="0" fontId="55" fillId="6" borderId="43" xfId="0" applyFont="1" applyFill="1" applyBorder="1" applyAlignment="1">
      <alignment horizontal="center" vertical="center"/>
    </xf>
    <xf numFmtId="0" fontId="56" fillId="6" borderId="164" xfId="0" applyFont="1" applyFill="1" applyBorder="1" applyAlignment="1">
      <alignment horizontal="center" vertical="center"/>
    </xf>
    <xf numFmtId="41" fontId="57" fillId="6" borderId="49" xfId="5" applyNumberFormat="1" applyFont="1" applyFill="1" applyBorder="1" applyAlignment="1">
      <alignment horizontal="center" vertical="center"/>
    </xf>
    <xf numFmtId="0" fontId="57" fillId="6" borderId="10" xfId="5" applyFont="1" applyFill="1" applyBorder="1" applyAlignment="1">
      <alignment horizontal="center" vertical="center"/>
    </xf>
    <xf numFmtId="184" fontId="54" fillId="6" borderId="165" xfId="5" applyNumberFormat="1" applyFont="1" applyFill="1" applyBorder="1" applyAlignment="1">
      <alignment horizontal="center" vertical="center" shrinkToFit="1"/>
    </xf>
    <xf numFmtId="0" fontId="57" fillId="6" borderId="37" xfId="5" applyFont="1" applyFill="1" applyBorder="1" applyAlignment="1">
      <alignment horizontal="center" vertical="center"/>
    </xf>
    <xf numFmtId="0" fontId="57" fillId="0" borderId="37" xfId="5" applyFont="1" applyFill="1" applyBorder="1" applyAlignment="1">
      <alignment horizontal="center" vertical="center"/>
    </xf>
    <xf numFmtId="0" fontId="57" fillId="6" borderId="38" xfId="5" applyFont="1" applyFill="1" applyBorder="1" applyAlignment="1">
      <alignment horizontal="center" vertical="center"/>
    </xf>
    <xf numFmtId="41" fontId="53" fillId="8" borderId="166" xfId="0" applyNumberFormat="1" applyFont="1" applyFill="1" applyBorder="1">
      <alignment vertical="center"/>
    </xf>
    <xf numFmtId="41" fontId="53" fillId="8" borderId="154" xfId="0" applyNumberFormat="1" applyFont="1" applyFill="1" applyBorder="1">
      <alignment vertical="center"/>
    </xf>
    <xf numFmtId="41" fontId="53" fillId="8" borderId="155" xfId="0" applyNumberFormat="1" applyFont="1" applyFill="1" applyBorder="1">
      <alignment vertical="center"/>
    </xf>
    <xf numFmtId="41" fontId="53" fillId="8" borderId="95" xfId="0" applyNumberFormat="1" applyFont="1" applyFill="1" applyBorder="1">
      <alignment vertical="center"/>
    </xf>
    <xf numFmtId="41" fontId="58" fillId="8" borderId="96" xfId="0" applyNumberFormat="1" applyFont="1" applyFill="1" applyBorder="1">
      <alignment vertical="center"/>
    </xf>
    <xf numFmtId="0" fontId="59" fillId="0" borderId="0" xfId="0" applyFont="1">
      <alignment vertical="center"/>
    </xf>
    <xf numFmtId="0" fontId="33" fillId="12" borderId="94" xfId="0" applyFont="1" applyFill="1" applyBorder="1" applyAlignment="1">
      <alignment horizontal="center" vertical="center"/>
    </xf>
    <xf numFmtId="0" fontId="3" fillId="12" borderId="93" xfId="0" applyFont="1" applyFill="1" applyBorder="1" applyAlignment="1">
      <alignment horizontal="center" vertical="center"/>
    </xf>
    <xf numFmtId="0" fontId="17" fillId="12" borderId="71" xfId="0" applyFont="1" applyFill="1" applyBorder="1" applyAlignment="1">
      <alignment horizontal="center" vertical="center"/>
    </xf>
    <xf numFmtId="0" fontId="17" fillId="12" borderId="72" xfId="0" applyFont="1" applyFill="1" applyBorder="1" applyAlignment="1">
      <alignment horizontal="center" vertical="center"/>
    </xf>
    <xf numFmtId="0" fontId="17" fillId="12" borderId="97" xfId="0" applyFont="1" applyFill="1" applyBorder="1" applyAlignment="1">
      <alignment horizontal="center" vertical="center"/>
    </xf>
    <xf numFmtId="0" fontId="33" fillId="17" borderId="94" xfId="0" applyFont="1" applyFill="1" applyBorder="1" applyAlignment="1">
      <alignment horizontal="center" vertical="center"/>
    </xf>
    <xf numFmtId="0" fontId="3" fillId="17" borderId="93" xfId="0" applyFont="1" applyFill="1" applyBorder="1" applyAlignment="1">
      <alignment horizontal="center" vertical="center"/>
    </xf>
    <xf numFmtId="0" fontId="17" fillId="17" borderId="71" xfId="0" applyFont="1" applyFill="1" applyBorder="1" applyAlignment="1">
      <alignment horizontal="center" vertical="center"/>
    </xf>
    <xf numFmtId="0" fontId="17" fillId="17" borderId="72" xfId="0" applyFont="1" applyFill="1" applyBorder="1" applyAlignment="1">
      <alignment horizontal="center" vertical="center"/>
    </xf>
    <xf numFmtId="0" fontId="17" fillId="17" borderId="97" xfId="0" applyFont="1" applyFill="1" applyBorder="1" applyAlignment="1">
      <alignment horizontal="center" vertical="center"/>
    </xf>
    <xf numFmtId="41" fontId="41" fillId="0" borderId="132" xfId="0" applyNumberFormat="1" applyFont="1" applyBorder="1" applyAlignment="1">
      <alignment horizontal="center" vertical="center"/>
    </xf>
    <xf numFmtId="184" fontId="41" fillId="0" borderId="33" xfId="0" applyNumberFormat="1" applyFont="1" applyBorder="1" applyAlignment="1">
      <alignment horizontal="center" vertical="center"/>
    </xf>
    <xf numFmtId="184" fontId="41" fillId="0" borderId="38" xfId="0" applyNumberFormat="1" applyFont="1" applyBorder="1" applyAlignment="1">
      <alignment horizontal="center" vertical="center"/>
    </xf>
    <xf numFmtId="184" fontId="41" fillId="0" borderId="36" xfId="0" applyNumberFormat="1" applyFont="1" applyBorder="1" applyAlignment="1">
      <alignment horizontal="center" vertical="center"/>
    </xf>
    <xf numFmtId="184" fontId="41" fillId="0" borderId="133" xfId="0" applyNumberFormat="1" applyFont="1" applyBorder="1" applyAlignment="1">
      <alignment horizontal="center" vertical="center"/>
    </xf>
    <xf numFmtId="41" fontId="41" fillId="0" borderId="38" xfId="0" applyNumberFormat="1" applyFont="1" applyBorder="1" applyAlignment="1">
      <alignment horizontal="center" vertical="center"/>
    </xf>
    <xf numFmtId="41" fontId="41" fillId="0" borderId="36" xfId="0" applyNumberFormat="1" applyFont="1" applyBorder="1" applyAlignment="1">
      <alignment horizontal="center" vertical="center"/>
    </xf>
    <xf numFmtId="0" fontId="41" fillId="4" borderId="121" xfId="0" applyFont="1" applyFill="1" applyBorder="1" applyAlignment="1">
      <alignment horizontal="center" vertical="center"/>
    </xf>
    <xf numFmtId="0" fontId="41" fillId="4" borderId="169" xfId="0" applyFont="1" applyFill="1" applyBorder="1" applyAlignment="1">
      <alignment horizontal="center" vertical="center"/>
    </xf>
    <xf numFmtId="0" fontId="41" fillId="0" borderId="170" xfId="0" applyFont="1" applyBorder="1" applyAlignment="1">
      <alignment horizontal="center" vertical="center"/>
    </xf>
    <xf numFmtId="0" fontId="41" fillId="0" borderId="171" xfId="0" applyFont="1" applyBorder="1" applyAlignment="1">
      <alignment horizontal="center" vertical="center"/>
    </xf>
    <xf numFmtId="41" fontId="41" fillId="4" borderId="121" xfId="0" applyNumberFormat="1" applyFont="1" applyFill="1" applyBorder="1" applyAlignment="1">
      <alignment horizontal="center" vertical="center"/>
    </xf>
    <xf numFmtId="49" fontId="33" fillId="0" borderId="29" xfId="0" applyNumberFormat="1" applyFont="1" applyBorder="1" applyAlignment="1" applyProtection="1">
      <alignment horizontal="center" vertical="center" shrinkToFit="1"/>
      <protection locked="0"/>
    </xf>
    <xf numFmtId="49" fontId="3" fillId="0" borderId="29" xfId="0" applyNumberFormat="1" applyFont="1" applyBorder="1" applyAlignment="1" applyProtection="1">
      <alignment horizontal="center" vertical="center" shrinkToFit="1"/>
      <protection locked="0"/>
    </xf>
    <xf numFmtId="49" fontId="3" fillId="6" borderId="75" xfId="0" applyNumberFormat="1" applyFont="1" applyFill="1" applyBorder="1" applyAlignment="1" applyProtection="1">
      <alignment horizontal="center" vertical="center" shrinkToFit="1"/>
      <protection locked="0"/>
    </xf>
    <xf numFmtId="49" fontId="3" fillId="6" borderId="29" xfId="0" applyNumberFormat="1" applyFont="1" applyFill="1" applyBorder="1" applyAlignment="1" applyProtection="1">
      <alignment horizontal="center" vertical="center" shrinkToFit="1"/>
      <protection locked="0"/>
    </xf>
    <xf numFmtId="41" fontId="3" fillId="0" borderId="30" xfId="4" applyFont="1" applyFill="1" applyBorder="1" applyAlignment="1" applyProtection="1">
      <alignment horizontal="center" vertical="center" shrinkToFit="1"/>
      <protection locked="0"/>
    </xf>
    <xf numFmtId="41" fontId="3" fillId="0" borderId="30" xfId="1" applyFont="1" applyFill="1" applyBorder="1" applyAlignment="1" applyProtection="1">
      <alignment horizontal="center" vertical="center" shrinkToFit="1"/>
      <protection locked="0"/>
    </xf>
    <xf numFmtId="41" fontId="31" fillId="0" borderId="30" xfId="4" applyFont="1" applyFill="1" applyBorder="1" applyAlignment="1" applyProtection="1">
      <alignment horizontal="center" vertical="center" shrinkToFit="1"/>
      <protection locked="0"/>
    </xf>
    <xf numFmtId="41" fontId="3" fillId="6" borderId="76" xfId="4" applyFont="1" applyFill="1" applyBorder="1" applyAlignment="1" applyProtection="1">
      <alignment horizontal="center" vertical="center" shrinkToFit="1"/>
      <protection locked="0"/>
    </xf>
    <xf numFmtId="41" fontId="3" fillId="6" borderId="82" xfId="4" applyFont="1" applyFill="1" applyBorder="1" applyAlignment="1" applyProtection="1">
      <alignment horizontal="center" vertical="center" shrinkToFit="1"/>
      <protection locked="0"/>
    </xf>
    <xf numFmtId="41" fontId="3" fillId="0" borderId="82" xfId="4" applyFont="1" applyFill="1" applyBorder="1" applyAlignment="1" applyProtection="1">
      <alignment horizontal="center" vertical="center" shrinkToFit="1"/>
      <protection locked="0"/>
    </xf>
    <xf numFmtId="41" fontId="3" fillId="6" borderId="30" xfId="4" applyFont="1" applyFill="1" applyBorder="1" applyAlignment="1" applyProtection="1">
      <alignment horizontal="center" vertical="center" shrinkToFit="1"/>
      <protection locked="0"/>
    </xf>
    <xf numFmtId="177" fontId="3" fillId="0" borderId="30" xfId="0" applyNumberFormat="1" applyFont="1" applyBorder="1" applyAlignment="1" applyProtection="1">
      <alignment horizontal="center" vertical="center" shrinkToFit="1"/>
      <protection locked="0"/>
    </xf>
    <xf numFmtId="41" fontId="3" fillId="0" borderId="30" xfId="0" applyNumberFormat="1" applyFont="1" applyBorder="1" applyAlignment="1" applyProtection="1">
      <alignment horizontal="center" vertical="center" shrinkToFit="1"/>
      <protection locked="0"/>
    </xf>
    <xf numFmtId="41" fontId="3" fillId="0" borderId="76" xfId="4" applyFont="1" applyFill="1" applyBorder="1" applyAlignment="1" applyProtection="1">
      <alignment horizontal="center" vertical="center" shrinkToFit="1"/>
      <protection locked="0"/>
    </xf>
    <xf numFmtId="0" fontId="3" fillId="0" borderId="29" xfId="0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 applyProtection="1">
      <alignment horizontal="center" vertical="center" shrinkToFit="1"/>
      <protection locked="0"/>
    </xf>
    <xf numFmtId="0" fontId="3" fillId="0" borderId="29" xfId="0" applyFont="1" applyBorder="1" applyAlignment="1" applyProtection="1">
      <alignment horizontal="center" vertical="center" shrinkToFit="1"/>
      <protection locked="0"/>
    </xf>
    <xf numFmtId="182" fontId="3" fillId="0" borderId="29" xfId="0" applyNumberFormat="1" applyFont="1" applyBorder="1" applyAlignment="1" applyProtection="1">
      <alignment horizontal="center" vertical="center" shrinkToFit="1"/>
      <protection locked="0"/>
    </xf>
    <xf numFmtId="20" fontId="3" fillId="0" borderId="29" xfId="0" applyNumberFormat="1" applyFont="1" applyBorder="1" applyAlignment="1" applyProtection="1">
      <alignment horizontal="center" vertical="center" shrinkToFit="1"/>
      <protection locked="0"/>
    </xf>
    <xf numFmtId="41" fontId="3" fillId="0" borderId="29" xfId="4" applyFont="1" applyFill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9" fontId="3" fillId="0" borderId="29" xfId="0" applyNumberFormat="1" applyFont="1" applyBorder="1" applyAlignment="1" applyProtection="1">
      <alignment horizontal="center" vertical="center" shrinkToFit="1"/>
      <protection locked="0"/>
    </xf>
    <xf numFmtId="180" fontId="3" fillId="0" borderId="29" xfId="0" applyNumberFormat="1" applyFont="1" applyBorder="1" applyAlignment="1" applyProtection="1">
      <alignment horizontal="center" vertical="center" shrinkToFit="1"/>
      <protection locked="0"/>
    </xf>
    <xf numFmtId="177" fontId="3" fillId="0" borderId="29" xfId="0" applyNumberFormat="1" applyFont="1" applyBorder="1" applyAlignment="1" applyProtection="1">
      <alignment horizontal="center" vertical="center" shrinkToFit="1"/>
      <protection locked="0"/>
    </xf>
    <xf numFmtId="0" fontId="30" fillId="0" borderId="31" xfId="0" applyFont="1" applyBorder="1" applyAlignment="1" applyProtection="1">
      <alignment horizontal="center" vertical="center" shrinkToFit="1"/>
      <protection locked="0"/>
    </xf>
    <xf numFmtId="0" fontId="32" fillId="0" borderId="29" xfId="0" applyFont="1" applyBorder="1" applyAlignment="1" applyProtection="1">
      <alignment horizontal="center" vertical="center" shrinkToFit="1"/>
      <protection locked="0"/>
    </xf>
    <xf numFmtId="0" fontId="35" fillId="0" borderId="29" xfId="0" applyFont="1" applyBorder="1" applyAlignment="1" applyProtection="1">
      <alignment horizontal="center" vertical="center" shrinkToFit="1"/>
      <protection locked="0"/>
    </xf>
    <xf numFmtId="0" fontId="11" fillId="0" borderId="30" xfId="0" applyFont="1" applyBorder="1" applyAlignment="1" applyProtection="1">
      <alignment horizontal="center" vertical="center" shrinkToFit="1"/>
      <protection locked="0"/>
    </xf>
    <xf numFmtId="0" fontId="32" fillId="0" borderId="31" xfId="0" applyFont="1" applyBorder="1" applyAlignment="1" applyProtection="1">
      <alignment horizontal="center" vertical="center" shrinkToFit="1"/>
      <protection locked="0"/>
    </xf>
    <xf numFmtId="0" fontId="3" fillId="0" borderId="75" xfId="0" applyFont="1" applyBorder="1" applyAlignment="1">
      <alignment horizontal="center" vertical="center" shrinkToFit="1"/>
    </xf>
    <xf numFmtId="0" fontId="11" fillId="0" borderId="76" xfId="0" applyFont="1" applyBorder="1" applyAlignment="1" applyProtection="1">
      <alignment horizontal="center" vertical="center" shrinkToFit="1"/>
      <protection locked="0"/>
    </xf>
    <xf numFmtId="0" fontId="3" fillId="6" borderId="77" xfId="0" applyFont="1" applyFill="1" applyBorder="1" applyAlignment="1" applyProtection="1">
      <alignment horizontal="center" vertical="center" shrinkToFit="1"/>
      <protection locked="0"/>
    </xf>
    <xf numFmtId="0" fontId="3" fillId="6" borderId="75" xfId="0" applyFont="1" applyFill="1" applyBorder="1" applyAlignment="1" applyProtection="1">
      <alignment horizontal="center" vertical="center" shrinkToFit="1"/>
      <protection locked="0"/>
    </xf>
    <xf numFmtId="41" fontId="3" fillId="6" borderId="75" xfId="4" applyFont="1" applyFill="1" applyBorder="1" applyAlignment="1" applyProtection="1">
      <alignment horizontal="center" vertical="center" shrinkToFit="1"/>
      <protection locked="0"/>
    </xf>
    <xf numFmtId="0" fontId="3" fillId="6" borderId="80" xfId="0" applyFont="1" applyFill="1" applyBorder="1" applyAlignment="1" applyProtection="1">
      <alignment horizontal="center" vertical="center" shrinkToFit="1"/>
      <protection locked="0"/>
    </xf>
    <xf numFmtId="178" fontId="3" fillId="6" borderId="29" xfId="0" applyNumberFormat="1" applyFont="1" applyFill="1" applyBorder="1" applyAlignment="1" applyProtection="1">
      <alignment horizontal="center" vertical="center" shrinkToFit="1"/>
      <protection locked="0"/>
    </xf>
    <xf numFmtId="0" fontId="3" fillId="6" borderId="29" xfId="0" applyFont="1" applyFill="1" applyBorder="1" applyAlignment="1" applyProtection="1">
      <alignment horizontal="center" vertical="center" shrinkToFit="1"/>
      <protection locked="0"/>
    </xf>
    <xf numFmtId="41" fontId="3" fillId="6" borderId="81" xfId="4" applyFont="1" applyFill="1" applyBorder="1" applyAlignment="1" applyProtection="1">
      <alignment horizontal="center" vertical="center" shrinkToFit="1"/>
      <protection locked="0"/>
    </xf>
    <xf numFmtId="41" fontId="3" fillId="6" borderId="29" xfId="4" applyFont="1" applyFill="1" applyBorder="1" applyAlignment="1" applyProtection="1">
      <alignment vertical="center" shrinkToFit="1"/>
      <protection locked="0"/>
    </xf>
    <xf numFmtId="41" fontId="3" fillId="6" borderId="29" xfId="4" applyFont="1" applyFill="1" applyBorder="1" applyAlignment="1" applyProtection="1">
      <alignment horizontal="center" vertical="center" shrinkToFit="1"/>
      <protection locked="0"/>
    </xf>
    <xf numFmtId="0" fontId="3" fillId="0" borderId="80" xfId="0" applyFont="1" applyBorder="1" applyAlignment="1" applyProtection="1">
      <alignment horizontal="center" vertical="center" shrinkToFit="1"/>
      <protection locked="0"/>
    </xf>
    <xf numFmtId="178" fontId="3" fillId="0" borderId="29" xfId="0" applyNumberFormat="1" applyFont="1" applyBorder="1" applyAlignment="1" applyProtection="1">
      <alignment horizontal="center" vertical="center" shrinkToFit="1"/>
      <protection locked="0"/>
    </xf>
    <xf numFmtId="41" fontId="3" fillId="0" borderId="81" xfId="4" applyFont="1" applyFill="1" applyBorder="1" applyAlignment="1" applyProtection="1">
      <alignment horizontal="center" vertical="center" shrinkToFit="1"/>
      <protection locked="0"/>
    </xf>
    <xf numFmtId="0" fontId="3" fillId="0" borderId="77" xfId="0" applyFont="1" applyBorder="1" applyAlignment="1" applyProtection="1">
      <alignment horizontal="center" vertical="center" shrinkToFit="1"/>
      <protection locked="0"/>
    </xf>
    <xf numFmtId="180" fontId="3" fillId="6" borderId="75" xfId="0" applyNumberFormat="1" applyFont="1" applyFill="1" applyBorder="1" applyAlignment="1" applyProtection="1">
      <alignment horizontal="center" vertical="center" shrinkToFit="1"/>
      <protection locked="0"/>
    </xf>
    <xf numFmtId="41" fontId="3" fillId="0" borderId="75" xfId="4" applyFont="1" applyFill="1" applyBorder="1" applyAlignment="1" applyProtection="1">
      <alignment horizontal="center" vertical="center" shrinkToFit="1"/>
      <protection locked="0"/>
    </xf>
    <xf numFmtId="42" fontId="42" fillId="10" borderId="171" xfId="0" applyNumberFormat="1" applyFont="1" applyFill="1" applyBorder="1" applyAlignment="1">
      <alignment horizontal="center" vertical="center"/>
    </xf>
    <xf numFmtId="42" fontId="62" fillId="6" borderId="170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 shrinkToFit="1"/>
      <protection locked="0"/>
    </xf>
    <xf numFmtId="0" fontId="11" fillId="0" borderId="82" xfId="0" applyFont="1" applyBorder="1" applyAlignment="1" applyProtection="1">
      <alignment horizontal="center" vertical="center" shrinkToFit="1"/>
      <protection locked="0"/>
    </xf>
    <xf numFmtId="0" fontId="3" fillId="0" borderId="81" xfId="0" applyFont="1" applyBorder="1" applyAlignment="1" applyProtection="1">
      <alignment horizontal="center" vertical="center" shrinkToFit="1"/>
      <protection locked="0"/>
    </xf>
    <xf numFmtId="49" fontId="3" fillId="0" borderId="81" xfId="0" applyNumberFormat="1" applyFont="1" applyBorder="1" applyAlignment="1" applyProtection="1">
      <alignment horizontal="center" vertical="center" shrinkToFit="1"/>
      <protection locked="0"/>
    </xf>
    <xf numFmtId="182" fontId="3" fillId="0" borderId="81" xfId="0" applyNumberFormat="1" applyFont="1" applyBorder="1" applyAlignment="1" applyProtection="1">
      <alignment horizontal="center" vertical="center" shrinkToFit="1"/>
      <protection locked="0"/>
    </xf>
    <xf numFmtId="0" fontId="3" fillId="0" borderId="81" xfId="0" applyFont="1" applyBorder="1" applyAlignment="1">
      <alignment horizontal="center" vertical="center" shrinkToFit="1"/>
    </xf>
    <xf numFmtId="20" fontId="3" fillId="0" borderId="81" xfId="0" applyNumberFormat="1" applyFont="1" applyBorder="1" applyAlignment="1" applyProtection="1">
      <alignment horizontal="center" vertical="center" shrinkToFit="1"/>
      <protection locked="0"/>
    </xf>
    <xf numFmtId="180" fontId="3" fillId="0" borderId="81" xfId="0" applyNumberFormat="1" applyFont="1" applyBorder="1" applyAlignment="1" applyProtection="1">
      <alignment horizontal="center" vertical="center" shrinkToFit="1"/>
      <protection locked="0"/>
    </xf>
    <xf numFmtId="177" fontId="3" fillId="0" borderId="81" xfId="0" applyNumberFormat="1" applyFont="1" applyBorder="1" applyAlignment="1" applyProtection="1">
      <alignment horizontal="center" vertical="center" shrinkToFit="1"/>
      <protection locked="0"/>
    </xf>
    <xf numFmtId="177" fontId="3" fillId="0" borderId="82" xfId="0" applyNumberFormat="1" applyFont="1" applyBorder="1" applyAlignment="1" applyProtection="1">
      <alignment horizontal="center" vertical="center" shrinkToFit="1"/>
      <protection locked="0"/>
    </xf>
    <xf numFmtId="0" fontId="11" fillId="0" borderId="174" xfId="0" applyFont="1" applyBorder="1" applyAlignment="1">
      <alignment horizontal="center" vertical="center" shrinkToFit="1"/>
    </xf>
    <xf numFmtId="0" fontId="3" fillId="0" borderId="175" xfId="0" applyFont="1" applyBorder="1" applyAlignment="1" applyProtection="1">
      <alignment horizontal="center" vertical="center" shrinkToFit="1"/>
      <protection locked="0"/>
    </xf>
    <xf numFmtId="0" fontId="3" fillId="0" borderId="176" xfId="0" applyFont="1" applyBorder="1" applyAlignment="1" applyProtection="1">
      <alignment horizontal="center" vertical="center" shrinkToFit="1"/>
      <protection locked="0"/>
    </xf>
    <xf numFmtId="49" fontId="3" fillId="0" borderId="176" xfId="0" applyNumberFormat="1" applyFont="1" applyBorder="1" applyAlignment="1" applyProtection="1">
      <alignment horizontal="center" vertical="center" shrinkToFit="1"/>
      <protection locked="0"/>
    </xf>
    <xf numFmtId="182" fontId="3" fillId="0" borderId="176" xfId="0" applyNumberFormat="1" applyFont="1" applyBorder="1" applyAlignment="1" applyProtection="1">
      <alignment horizontal="center" vertical="center" shrinkToFit="1"/>
      <protection locked="0"/>
    </xf>
    <xf numFmtId="20" fontId="3" fillId="0" borderId="176" xfId="0" applyNumberFormat="1" applyFont="1" applyBorder="1" applyAlignment="1" applyProtection="1">
      <alignment horizontal="center" vertical="center" shrinkToFit="1"/>
      <protection locked="0"/>
    </xf>
    <xf numFmtId="41" fontId="3" fillId="0" borderId="176" xfId="4" applyFont="1" applyFill="1" applyBorder="1" applyAlignment="1" applyProtection="1">
      <alignment horizontal="center" vertical="center" shrinkToFit="1"/>
      <protection locked="0"/>
    </xf>
    <xf numFmtId="41" fontId="3" fillId="0" borderId="174" xfId="4" applyFont="1" applyFill="1" applyBorder="1" applyAlignment="1" applyProtection="1">
      <alignment horizontal="center" vertical="center" shrinkToFit="1"/>
      <protection locked="0"/>
    </xf>
    <xf numFmtId="0" fontId="3" fillId="0" borderId="176" xfId="0" applyFont="1" applyBorder="1" applyAlignment="1">
      <alignment horizontal="center" vertical="center" shrinkToFit="1"/>
    </xf>
    <xf numFmtId="180" fontId="3" fillId="0" borderId="176" xfId="0" applyNumberFormat="1" applyFont="1" applyBorder="1" applyAlignment="1" applyProtection="1">
      <alignment horizontal="center" vertical="center" shrinkToFit="1"/>
      <protection locked="0"/>
    </xf>
    <xf numFmtId="177" fontId="3" fillId="0" borderId="176" xfId="0" applyNumberFormat="1" applyFont="1" applyBorder="1" applyAlignment="1" applyProtection="1">
      <alignment horizontal="center" vertical="center" shrinkToFit="1"/>
      <protection locked="0"/>
    </xf>
    <xf numFmtId="177" fontId="3" fillId="0" borderId="174" xfId="0" applyNumberFormat="1" applyFont="1" applyBorder="1" applyAlignment="1" applyProtection="1">
      <alignment horizontal="center" vertical="center" shrinkToFit="1"/>
      <protection locked="0"/>
    </xf>
    <xf numFmtId="0" fontId="3" fillId="0" borderId="177" xfId="0" applyFont="1" applyBorder="1" applyAlignment="1" applyProtection="1">
      <alignment horizontal="center" vertical="center" shrinkToFit="1"/>
      <protection locked="0"/>
    </xf>
    <xf numFmtId="0" fontId="41" fillId="13" borderId="154" xfId="0" applyFont="1" applyFill="1" applyBorder="1" applyAlignment="1">
      <alignment horizontal="center" vertical="center"/>
    </xf>
    <xf numFmtId="0" fontId="41" fillId="13" borderId="156" xfId="0" applyFont="1" applyFill="1" applyBorder="1" applyAlignment="1">
      <alignment horizontal="center" vertical="center"/>
    </xf>
    <xf numFmtId="181" fontId="41" fillId="0" borderId="123" xfId="0" applyNumberFormat="1" applyFont="1" applyBorder="1" applyAlignment="1">
      <alignment horizontal="center" vertical="center"/>
    </xf>
    <xf numFmtId="181" fontId="41" fillId="0" borderId="137" xfId="0" applyNumberFormat="1" applyFont="1" applyBorder="1" applyAlignment="1">
      <alignment horizontal="center" vertical="center"/>
    </xf>
    <xf numFmtId="181" fontId="41" fillId="0" borderId="132" xfId="0" applyNumberFormat="1" applyFont="1" applyBorder="1" applyAlignment="1">
      <alignment horizontal="center" vertical="center"/>
    </xf>
    <xf numFmtId="181" fontId="41" fillId="0" borderId="39" xfId="0" applyNumberFormat="1" applyFont="1" applyBorder="1" applyAlignment="1">
      <alignment horizontal="center" vertical="center"/>
    </xf>
    <xf numFmtId="181" fontId="41" fillId="6" borderId="0" xfId="0" applyNumberFormat="1" applyFont="1" applyFill="1" applyAlignment="1">
      <alignment horizontal="center" vertical="center"/>
    </xf>
    <xf numFmtId="49" fontId="5" fillId="0" borderId="29" xfId="0" applyNumberFormat="1" applyFont="1" applyBorder="1" applyAlignment="1" applyProtection="1">
      <alignment horizontal="center" vertical="center" shrinkToFit="1"/>
      <protection locked="0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 wrapText="1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0" fontId="65" fillId="18" borderId="178" xfId="0" applyFont="1" applyFill="1" applyBorder="1">
      <alignment vertical="center"/>
    </xf>
    <xf numFmtId="0" fontId="65" fillId="20" borderId="178" xfId="0" applyFont="1" applyFill="1" applyBorder="1">
      <alignment vertical="center"/>
    </xf>
    <xf numFmtId="41" fontId="69" fillId="17" borderId="33" xfId="0" applyNumberFormat="1" applyFont="1" applyFill="1" applyBorder="1" applyAlignment="1">
      <alignment horizontal="center" vertical="center" shrinkToFit="1"/>
    </xf>
    <xf numFmtId="18" fontId="3" fillId="0" borderId="29" xfId="0" applyNumberFormat="1" applyFont="1" applyBorder="1" applyAlignment="1" applyProtection="1">
      <alignment horizontal="center" vertical="center" shrinkToFit="1"/>
      <protection locked="0"/>
    </xf>
    <xf numFmtId="41" fontId="3" fillId="0" borderId="31" xfId="4" applyFont="1" applyFill="1" applyBorder="1" applyAlignment="1" applyProtection="1">
      <alignment horizontal="center" vertical="center" shrinkToFit="1"/>
      <protection locked="0"/>
    </xf>
    <xf numFmtId="41" fontId="31" fillId="0" borderId="29" xfId="4" applyFont="1" applyFill="1" applyBorder="1" applyAlignment="1" applyProtection="1">
      <alignment horizontal="center" vertical="center" shrinkToFit="1"/>
      <protection locked="0"/>
    </xf>
    <xf numFmtId="0" fontId="31" fillId="0" borderId="29" xfId="0" applyFont="1" applyBorder="1" applyAlignment="1" applyProtection="1">
      <alignment horizontal="center" vertical="center" shrinkToFit="1"/>
      <protection locked="0"/>
    </xf>
    <xf numFmtId="49" fontId="31" fillId="0" borderId="29" xfId="0" applyNumberFormat="1" applyFont="1" applyBorder="1" applyAlignment="1" applyProtection="1">
      <alignment horizontal="center" vertical="center" shrinkToFit="1"/>
      <protection locked="0"/>
    </xf>
    <xf numFmtId="49" fontId="61" fillId="0" borderId="29" xfId="0" applyNumberFormat="1" applyFont="1" applyBorder="1" applyAlignment="1" applyProtection="1">
      <alignment horizontal="center" vertical="center" shrinkToFit="1"/>
      <protection locked="0"/>
    </xf>
    <xf numFmtId="42" fontId="41" fillId="4" borderId="33" xfId="0" applyNumberFormat="1" applyFont="1" applyFill="1" applyBorder="1" applyAlignment="1">
      <alignment horizontal="center" vertical="center"/>
    </xf>
    <xf numFmtId="0" fontId="41" fillId="4" borderId="33" xfId="0" applyFont="1" applyFill="1" applyBorder="1" applyAlignment="1">
      <alignment horizontal="center" vertical="center"/>
    </xf>
    <xf numFmtId="42" fontId="42" fillId="4" borderId="38" xfId="0" applyNumberFormat="1" applyFont="1" applyFill="1" applyBorder="1" applyAlignment="1">
      <alignment horizontal="center" vertical="center"/>
    </xf>
    <xf numFmtId="0" fontId="41" fillId="4" borderId="132" xfId="0" applyFont="1" applyFill="1" applyBorder="1" applyAlignment="1">
      <alignment horizontal="center" vertical="center"/>
    </xf>
    <xf numFmtId="0" fontId="41" fillId="4" borderId="33" xfId="0" applyFont="1" applyFill="1" applyBorder="1" applyAlignment="1">
      <alignment horizontal="center" vertical="center" wrapText="1"/>
    </xf>
    <xf numFmtId="42" fontId="41" fillId="4" borderId="39" xfId="0" applyNumberFormat="1" applyFont="1" applyFill="1" applyBorder="1" applyAlignment="1">
      <alignment horizontal="center" vertical="center"/>
    </xf>
    <xf numFmtId="42" fontId="62" fillId="4" borderId="142" xfId="0" applyNumberFormat="1" applyFont="1" applyFill="1" applyBorder="1" applyAlignment="1">
      <alignment horizontal="center" vertical="center"/>
    </xf>
    <xf numFmtId="0" fontId="48" fillId="4" borderId="33" xfId="0" applyFont="1" applyFill="1" applyBorder="1" applyAlignment="1">
      <alignment horizontal="center" vertical="center" wrapText="1"/>
    </xf>
    <xf numFmtId="42" fontId="62" fillId="4" borderId="170" xfId="0" applyNumberFormat="1" applyFont="1" applyFill="1" applyBorder="1" applyAlignment="1">
      <alignment horizontal="center" vertical="center"/>
    </xf>
    <xf numFmtId="186" fontId="3" fillId="0" borderId="29" xfId="0" applyNumberFormat="1" applyFont="1" applyBorder="1" applyAlignment="1" applyProtection="1">
      <alignment horizontal="center" vertical="center" shrinkToFit="1"/>
      <protection locked="0"/>
    </xf>
    <xf numFmtId="41" fontId="31" fillId="6" borderId="30" xfId="4" applyFont="1" applyFill="1" applyBorder="1" applyAlignment="1" applyProtection="1">
      <alignment horizontal="center" vertical="center" shrinkToFit="1"/>
      <protection locked="0"/>
    </xf>
    <xf numFmtId="0" fontId="3" fillId="6" borderId="31" xfId="0" applyFont="1" applyFill="1" applyBorder="1" applyAlignment="1" applyProtection="1">
      <alignment horizontal="center" vertical="center" shrinkToFit="1"/>
      <protection locked="0"/>
    </xf>
    <xf numFmtId="0" fontId="11" fillId="6" borderId="30" xfId="0" applyFont="1" applyFill="1" applyBorder="1" applyAlignment="1">
      <alignment horizontal="center" vertical="center" shrinkToFit="1"/>
    </xf>
    <xf numFmtId="0" fontId="6" fillId="13" borderId="155" xfId="0" applyFont="1" applyFill="1" applyBorder="1" applyAlignment="1">
      <alignment horizontal="center" vertical="center"/>
    </xf>
    <xf numFmtId="181" fontId="6" fillId="13" borderId="155" xfId="0" applyNumberFormat="1" applyFont="1" applyFill="1" applyBorder="1" applyAlignment="1">
      <alignment horizontal="center" vertical="center"/>
    </xf>
    <xf numFmtId="185" fontId="6" fillId="0" borderId="25" xfId="0" applyNumberFormat="1" applyFont="1" applyBorder="1" applyAlignment="1">
      <alignment horizontal="center" vertical="center"/>
    </xf>
    <xf numFmtId="181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5" fillId="6" borderId="8" xfId="5" applyFont="1" applyFill="1" applyBorder="1" applyAlignment="1">
      <alignment horizontal="center" vertical="center"/>
    </xf>
    <xf numFmtId="0" fontId="55" fillId="6" borderId="114" xfId="5" applyFont="1" applyFill="1" applyBorder="1" applyAlignment="1">
      <alignment horizontal="center" vertical="center"/>
    </xf>
    <xf numFmtId="9" fontId="57" fillId="6" borderId="165" xfId="5" applyNumberFormat="1" applyFont="1" applyFill="1" applyBorder="1" applyAlignment="1">
      <alignment horizontal="center" vertical="center"/>
    </xf>
    <xf numFmtId="9" fontId="53" fillId="8" borderId="96" xfId="0" applyNumberFormat="1" applyFont="1" applyFill="1" applyBorder="1">
      <alignment vertical="center"/>
    </xf>
    <xf numFmtId="9" fontId="53" fillId="0" borderId="0" xfId="0" applyNumberFormat="1" applyFont="1">
      <alignment vertical="center"/>
    </xf>
    <xf numFmtId="0" fontId="17" fillId="17" borderId="179" xfId="0" applyFont="1" applyFill="1" applyBorder="1" applyAlignment="1">
      <alignment horizontal="center" vertical="center"/>
    </xf>
    <xf numFmtId="182" fontId="3" fillId="6" borderId="29" xfId="0" applyNumberFormat="1" applyFont="1" applyFill="1" applyBorder="1" applyAlignment="1" applyProtection="1">
      <alignment horizontal="center" vertical="center" shrinkToFit="1"/>
      <protection locked="0"/>
    </xf>
    <xf numFmtId="0" fontId="37" fillId="0" borderId="30" xfId="0" applyFont="1" applyBorder="1" applyAlignment="1">
      <alignment horizontal="center" vertical="center" shrinkToFit="1"/>
    </xf>
    <xf numFmtId="0" fontId="11" fillId="0" borderId="182" xfId="0" applyFont="1" applyBorder="1" applyAlignment="1" applyProtection="1">
      <alignment horizontal="center" vertical="center" shrinkToFit="1"/>
      <protection locked="0"/>
    </xf>
    <xf numFmtId="0" fontId="3" fillId="0" borderId="183" xfId="0" applyFont="1" applyBorder="1" applyAlignment="1" applyProtection="1">
      <alignment horizontal="center" vertical="center" shrinkToFit="1"/>
      <protection locked="0"/>
    </xf>
    <xf numFmtId="0" fontId="3" fillId="0" borderId="181" xfId="0" applyFont="1" applyBorder="1" applyAlignment="1" applyProtection="1">
      <alignment horizontal="center" vertical="center" shrinkToFit="1"/>
      <protection locked="0"/>
    </xf>
    <xf numFmtId="49" fontId="3" fillId="0" borderId="181" xfId="0" applyNumberFormat="1" applyFont="1" applyBorder="1" applyAlignment="1" applyProtection="1">
      <alignment horizontal="center" vertical="center" shrinkToFit="1"/>
      <protection locked="0"/>
    </xf>
    <xf numFmtId="182" fontId="3" fillId="0" borderId="181" xfId="0" applyNumberFormat="1" applyFont="1" applyBorder="1" applyAlignment="1" applyProtection="1">
      <alignment horizontal="center" vertical="center" shrinkToFit="1"/>
      <protection locked="0"/>
    </xf>
    <xf numFmtId="0" fontId="65" fillId="18" borderId="186" xfId="0" applyFont="1" applyFill="1" applyBorder="1">
      <alignment vertical="center"/>
    </xf>
    <xf numFmtId="41" fontId="3" fillId="0" borderId="175" xfId="4" applyFont="1" applyFill="1" applyBorder="1" applyAlignment="1" applyProtection="1">
      <alignment horizontal="center" vertical="center" shrinkToFit="1"/>
      <protection locked="0"/>
    </xf>
    <xf numFmtId="41" fontId="3" fillId="0" borderId="80" xfId="4" applyFont="1" applyFill="1" applyBorder="1" applyAlignment="1" applyProtection="1">
      <alignment horizontal="center" vertical="center" shrinkToFit="1"/>
      <protection locked="0"/>
    </xf>
    <xf numFmtId="41" fontId="3" fillId="6" borderId="77" xfId="4" applyFont="1" applyFill="1" applyBorder="1" applyAlignment="1" applyProtection="1">
      <alignment horizontal="center" vertical="center" shrinkToFit="1"/>
      <protection locked="0"/>
    </xf>
    <xf numFmtId="41" fontId="3" fillId="6" borderId="80" xfId="4" applyFont="1" applyFill="1" applyBorder="1" applyAlignment="1" applyProtection="1">
      <alignment horizontal="center" vertical="center" shrinkToFit="1"/>
      <protection locked="0"/>
    </xf>
    <xf numFmtId="41" fontId="3" fillId="6" borderId="31" xfId="4" applyFont="1" applyFill="1" applyBorder="1" applyAlignment="1" applyProtection="1">
      <alignment vertical="center" shrinkToFit="1"/>
      <protection locked="0"/>
    </xf>
    <xf numFmtId="41" fontId="3" fillId="6" borderId="31" xfId="4" applyFont="1" applyFill="1" applyBorder="1" applyAlignment="1" applyProtection="1">
      <alignment horizontal="center" vertical="center" shrinkToFit="1"/>
      <protection locked="0"/>
    </xf>
    <xf numFmtId="0" fontId="17" fillId="17" borderId="187" xfId="0" applyFont="1" applyFill="1" applyBorder="1" applyAlignment="1">
      <alignment horizontal="center" vertical="center"/>
    </xf>
    <xf numFmtId="41" fontId="3" fillId="0" borderId="29" xfId="0" applyNumberFormat="1" applyFont="1" applyBorder="1" applyAlignment="1" applyProtection="1">
      <alignment horizontal="center" vertical="center" shrinkToFit="1"/>
      <protection locked="0"/>
    </xf>
    <xf numFmtId="41" fontId="3" fillId="6" borderId="81" xfId="4" applyFont="1" applyFill="1" applyBorder="1" applyAlignment="1" applyProtection="1">
      <alignment vertical="center" shrinkToFit="1"/>
      <protection locked="0"/>
    </xf>
    <xf numFmtId="42" fontId="40" fillId="0" borderId="0" xfId="0" applyNumberFormat="1" applyFont="1" applyAlignment="1">
      <alignment horizontal="center" vertical="center"/>
    </xf>
    <xf numFmtId="0" fontId="41" fillId="0" borderId="36" xfId="0" applyFont="1" applyBorder="1" applyAlignment="1">
      <alignment horizontal="center" vertical="center"/>
    </xf>
    <xf numFmtId="0" fontId="41" fillId="0" borderId="38" xfId="0" applyFont="1" applyBorder="1" applyAlignment="1">
      <alignment horizontal="center" vertical="center"/>
    </xf>
    <xf numFmtId="0" fontId="41" fillId="17" borderId="85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74" fillId="17" borderId="33" xfId="0" applyFont="1" applyFill="1" applyBorder="1" applyAlignment="1">
      <alignment horizontal="center" vertical="center" shrinkToFit="1"/>
    </xf>
    <xf numFmtId="0" fontId="74" fillId="17" borderId="34" xfId="0" applyFont="1" applyFill="1" applyBorder="1" applyAlignment="1">
      <alignment horizontal="center" vertical="center" shrinkToFit="1"/>
    </xf>
    <xf numFmtId="0" fontId="74" fillId="12" borderId="96" xfId="0" applyFont="1" applyFill="1" applyBorder="1" applyAlignment="1">
      <alignment horizontal="center" vertical="center"/>
    </xf>
    <xf numFmtId="185" fontId="74" fillId="12" borderId="96" xfId="0" applyNumberFormat="1" applyFont="1" applyFill="1" applyBorder="1" applyAlignment="1">
      <alignment horizontal="center" vertical="center"/>
    </xf>
    <xf numFmtId="0" fontId="41" fillId="6" borderId="190" xfId="0" applyFont="1" applyFill="1" applyBorder="1" applyAlignment="1">
      <alignment horizontal="center" vertical="center"/>
    </xf>
    <xf numFmtId="42" fontId="41" fillId="6" borderId="190" xfId="0" applyNumberFormat="1" applyFont="1" applyFill="1" applyBorder="1" applyAlignment="1">
      <alignment horizontal="center" vertical="center"/>
    </xf>
    <xf numFmtId="42" fontId="41" fillId="10" borderId="191" xfId="0" applyNumberFormat="1" applyFont="1" applyFill="1" applyBorder="1" applyAlignment="1">
      <alignment horizontal="center" vertical="center"/>
    </xf>
    <xf numFmtId="0" fontId="31" fillId="6" borderId="29" xfId="0" applyFont="1" applyFill="1" applyBorder="1" applyAlignment="1" applyProtection="1">
      <alignment horizontal="center" vertical="center" shrinkToFit="1"/>
      <protection locked="0"/>
    </xf>
    <xf numFmtId="41" fontId="3" fillId="0" borderId="173" xfId="4" applyFont="1" applyFill="1" applyBorder="1" applyAlignment="1" applyProtection="1">
      <alignment horizontal="center" vertical="center" shrinkToFit="1"/>
      <protection locked="0"/>
    </xf>
    <xf numFmtId="0" fontId="11" fillId="6" borderId="82" xfId="0" applyFont="1" applyFill="1" applyBorder="1" applyAlignment="1" applyProtection="1">
      <alignment horizontal="center" vertical="center" shrinkToFit="1"/>
      <protection locked="0"/>
    </xf>
    <xf numFmtId="0" fontId="11" fillId="6" borderId="30" xfId="0" applyFont="1" applyFill="1" applyBorder="1" applyAlignment="1" applyProtection="1">
      <alignment horizontal="center" vertical="center" shrinkToFit="1"/>
      <protection locked="0"/>
    </xf>
    <xf numFmtId="41" fontId="77" fillId="6" borderId="29" xfId="4" applyFont="1" applyFill="1" applyBorder="1" applyAlignment="1" applyProtection="1">
      <alignment horizontal="center" vertical="center" shrinkToFit="1"/>
      <protection locked="0"/>
    </xf>
    <xf numFmtId="41" fontId="31" fillId="6" borderId="29" xfId="4" applyFont="1" applyFill="1" applyBorder="1" applyAlignment="1" applyProtection="1">
      <alignment horizontal="center" vertical="center" shrinkToFit="1"/>
      <protection locked="0"/>
    </xf>
    <xf numFmtId="180" fontId="77" fillId="6" borderId="29" xfId="0" applyNumberFormat="1" applyFont="1" applyFill="1" applyBorder="1" applyAlignment="1" applyProtection="1">
      <alignment horizontal="center" vertical="center" shrinkToFit="1"/>
      <protection locked="0"/>
    </xf>
    <xf numFmtId="177" fontId="3" fillId="6" borderId="29" xfId="0" applyNumberFormat="1" applyFont="1" applyFill="1" applyBorder="1" applyAlignment="1" applyProtection="1">
      <alignment horizontal="center" vertical="center" shrinkToFit="1"/>
      <protection locked="0"/>
    </xf>
    <xf numFmtId="20" fontId="3" fillId="6" borderId="29" xfId="0" applyNumberFormat="1" applyFont="1" applyFill="1" applyBorder="1" applyAlignment="1" applyProtection="1">
      <alignment horizontal="center" vertical="center" shrinkToFit="1"/>
      <protection locked="0"/>
    </xf>
    <xf numFmtId="180" fontId="3" fillId="6" borderId="29" xfId="0" applyNumberFormat="1" applyFont="1" applyFill="1" applyBorder="1" applyAlignment="1" applyProtection="1">
      <alignment horizontal="center" vertical="center" shrinkToFit="1"/>
      <protection locked="0"/>
    </xf>
    <xf numFmtId="49" fontId="77" fillId="6" borderId="29" xfId="0" applyNumberFormat="1" applyFont="1" applyFill="1" applyBorder="1" applyAlignment="1" applyProtection="1">
      <alignment horizontal="center" vertical="center" shrinkToFit="1"/>
      <protection locked="0"/>
    </xf>
    <xf numFmtId="49" fontId="31" fillId="6" borderId="29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29" xfId="0" applyNumberFormat="1" applyFont="1" applyBorder="1" applyAlignment="1" applyProtection="1">
      <alignment horizontal="center" vertical="center" shrinkToFit="1"/>
      <protection locked="0"/>
    </xf>
    <xf numFmtId="0" fontId="35" fillId="6" borderId="29" xfId="0" applyFont="1" applyFill="1" applyBorder="1" applyAlignment="1" applyProtection="1">
      <alignment horizontal="center" vertical="center" shrinkToFit="1"/>
      <protection locked="0"/>
    </xf>
    <xf numFmtId="0" fontId="30" fillId="6" borderId="31" xfId="0" applyFont="1" applyFill="1" applyBorder="1" applyAlignment="1" applyProtection="1">
      <alignment horizontal="center" vertical="center" shrinkToFit="1"/>
      <protection locked="0"/>
    </xf>
    <xf numFmtId="0" fontId="3" fillId="21" borderId="93" xfId="0" applyFont="1" applyFill="1" applyBorder="1" applyAlignment="1">
      <alignment horizontal="center" vertical="center"/>
    </xf>
    <xf numFmtId="0" fontId="37" fillId="6" borderId="30" xfId="0" applyFont="1" applyFill="1" applyBorder="1" applyAlignment="1">
      <alignment horizontal="center" vertical="center" shrinkToFit="1"/>
    </xf>
    <xf numFmtId="0" fontId="11" fillId="0" borderId="193" xfId="0" applyFont="1" applyBorder="1" applyAlignment="1" applyProtection="1">
      <alignment horizontal="center" vertical="center" shrinkToFit="1"/>
      <protection locked="0"/>
    </xf>
    <xf numFmtId="0" fontId="11" fillId="0" borderId="194" xfId="0" applyFont="1" applyBorder="1" applyAlignment="1" applyProtection="1">
      <alignment horizontal="center" vertical="center" shrinkToFit="1"/>
      <protection locked="0"/>
    </xf>
    <xf numFmtId="41" fontId="77" fillId="6" borderId="81" xfId="4" applyFont="1" applyFill="1" applyBorder="1" applyAlignment="1" applyProtection="1">
      <alignment horizontal="center" vertical="center" shrinkToFit="1"/>
      <protection locked="0"/>
    </xf>
    <xf numFmtId="0" fontId="31" fillId="0" borderId="31" xfId="0" applyFont="1" applyBorder="1" applyAlignment="1" applyProtection="1">
      <alignment horizontal="center" vertical="center" shrinkToFit="1"/>
      <protection locked="0"/>
    </xf>
    <xf numFmtId="182" fontId="31" fillId="0" borderId="29" xfId="0" applyNumberFormat="1" applyFont="1" applyBorder="1" applyAlignment="1" applyProtection="1">
      <alignment horizontal="center" vertical="center" shrinkToFit="1"/>
      <protection locked="0"/>
    </xf>
    <xf numFmtId="20" fontId="31" fillId="0" borderId="29" xfId="0" applyNumberFormat="1" applyFont="1" applyBorder="1" applyAlignment="1" applyProtection="1">
      <alignment horizontal="center" vertical="center" shrinkToFit="1"/>
      <protection locked="0"/>
    </xf>
    <xf numFmtId="41" fontId="31" fillId="0" borderId="31" xfId="4" applyFont="1" applyFill="1" applyBorder="1" applyAlignment="1" applyProtection="1">
      <alignment horizontal="center" vertical="center" shrinkToFit="1"/>
      <protection locked="0"/>
    </xf>
    <xf numFmtId="0" fontId="35" fillId="0" borderId="31" xfId="0" applyFont="1" applyBorder="1" applyAlignment="1" applyProtection="1">
      <alignment horizontal="center" vertical="center" shrinkToFit="1"/>
      <protection locked="0"/>
    </xf>
    <xf numFmtId="178" fontId="31" fillId="0" borderId="29" xfId="0" applyNumberFormat="1" applyFont="1" applyBorder="1" applyAlignment="1" applyProtection="1">
      <alignment horizontal="center" vertical="center" shrinkToFit="1"/>
      <protection locked="0"/>
    </xf>
    <xf numFmtId="41" fontId="31" fillId="0" borderId="81" xfId="4" applyFont="1" applyFill="1" applyBorder="1" applyAlignment="1" applyProtection="1">
      <alignment horizontal="center" vertical="center" shrinkToFit="1"/>
      <protection locked="0"/>
    </xf>
    <xf numFmtId="0" fontId="78" fillId="0" borderId="31" xfId="0" applyFont="1" applyBorder="1" applyAlignment="1" applyProtection="1">
      <alignment horizontal="center" vertical="center" shrinkToFit="1"/>
      <protection locked="0"/>
    </xf>
    <xf numFmtId="0" fontId="78" fillId="0" borderId="29" xfId="0" applyFont="1" applyBorder="1" applyAlignment="1" applyProtection="1">
      <alignment horizontal="center" vertical="center" shrinkToFit="1"/>
      <protection locked="0"/>
    </xf>
    <xf numFmtId="49" fontId="78" fillId="0" borderId="29" xfId="0" applyNumberFormat="1" applyFont="1" applyBorder="1" applyAlignment="1" applyProtection="1">
      <alignment horizontal="center" vertical="center" shrinkToFit="1"/>
      <protection locked="0"/>
    </xf>
    <xf numFmtId="182" fontId="78" fillId="0" borderId="29" xfId="0" applyNumberFormat="1" applyFont="1" applyBorder="1" applyAlignment="1" applyProtection="1">
      <alignment horizontal="center" vertical="center" shrinkToFit="1"/>
      <protection locked="0"/>
    </xf>
    <xf numFmtId="0" fontId="82" fillId="0" borderId="0" xfId="0" applyFont="1">
      <alignment vertical="center"/>
    </xf>
    <xf numFmtId="0" fontId="11" fillId="6" borderId="195" xfId="0" applyFont="1" applyFill="1" applyBorder="1" applyAlignment="1">
      <alignment horizontal="center" vertical="center" shrinkToFit="1"/>
    </xf>
    <xf numFmtId="0" fontId="11" fillId="6" borderId="196" xfId="0" applyFont="1" applyFill="1" applyBorder="1" applyAlignment="1">
      <alignment horizontal="center" vertical="center" shrinkToFit="1"/>
    </xf>
    <xf numFmtId="0" fontId="31" fillId="6" borderId="31" xfId="0" applyFont="1" applyFill="1" applyBorder="1" applyAlignment="1" applyProtection="1">
      <alignment horizontal="center" vertical="center" shrinkToFit="1"/>
      <protection locked="0"/>
    </xf>
    <xf numFmtId="182" fontId="31" fillId="6" borderId="29" xfId="0" applyNumberFormat="1" applyFont="1" applyFill="1" applyBorder="1" applyAlignment="1" applyProtection="1">
      <alignment horizontal="center" vertical="center" shrinkToFit="1"/>
      <protection locked="0"/>
    </xf>
    <xf numFmtId="180" fontId="31" fillId="0" borderId="29" xfId="0" applyNumberFormat="1" applyFont="1" applyBorder="1" applyAlignment="1" applyProtection="1">
      <alignment horizontal="center" vertical="center" shrinkToFit="1"/>
      <protection locked="0"/>
    </xf>
    <xf numFmtId="177" fontId="31" fillId="0" borderId="29" xfId="0" applyNumberFormat="1" applyFont="1" applyBorder="1" applyAlignment="1" applyProtection="1">
      <alignment horizontal="center" vertical="center" shrinkToFit="1"/>
      <protection locked="0"/>
    </xf>
    <xf numFmtId="49" fontId="81" fillId="0" borderId="29" xfId="0" applyNumberFormat="1" applyFont="1" applyBorder="1" applyAlignment="1" applyProtection="1">
      <alignment horizontal="center" vertical="center" shrinkToFit="1"/>
      <protection locked="0"/>
    </xf>
    <xf numFmtId="0" fontId="31" fillId="0" borderId="177" xfId="0" applyFont="1" applyBorder="1" applyAlignment="1" applyProtection="1">
      <alignment horizontal="center" vertical="center" shrinkToFit="1"/>
      <protection locked="0"/>
    </xf>
    <xf numFmtId="0" fontId="31" fillId="0" borderId="176" xfId="0" applyFont="1" applyBorder="1" applyAlignment="1" applyProtection="1">
      <alignment horizontal="center" vertical="center" shrinkToFit="1"/>
      <protection locked="0"/>
    </xf>
    <xf numFmtId="49" fontId="31" fillId="0" borderId="176" xfId="0" applyNumberFormat="1" applyFont="1" applyBorder="1" applyAlignment="1" applyProtection="1">
      <alignment horizontal="center" vertical="center" shrinkToFit="1"/>
      <protection locked="0"/>
    </xf>
    <xf numFmtId="0" fontId="3" fillId="0" borderId="31" xfId="0" applyFont="1" applyBorder="1" applyAlignment="1">
      <alignment horizontal="center" vertical="center" shrinkToFit="1"/>
    </xf>
    <xf numFmtId="0" fontId="65" fillId="6" borderId="178" xfId="0" applyFont="1" applyFill="1" applyBorder="1">
      <alignment vertical="center"/>
    </xf>
    <xf numFmtId="0" fontId="11" fillId="0" borderId="194" xfId="0" applyFont="1" applyBorder="1" applyAlignment="1">
      <alignment horizontal="center" vertical="center" shrinkToFit="1"/>
    </xf>
    <xf numFmtId="0" fontId="3" fillId="6" borderId="198" xfId="0" applyFont="1" applyFill="1" applyBorder="1" applyAlignment="1" applyProtection="1">
      <alignment horizontal="center" vertical="center" shrinkToFit="1"/>
      <protection locked="0"/>
    </xf>
    <xf numFmtId="0" fontId="3" fillId="0" borderId="199" xfId="0" applyFont="1" applyBorder="1" applyAlignment="1" applyProtection="1">
      <alignment horizontal="center" vertical="center" shrinkToFit="1"/>
      <protection locked="0"/>
    </xf>
    <xf numFmtId="49" fontId="3" fillId="0" borderId="199" xfId="0" applyNumberFormat="1" applyFont="1" applyBorder="1" applyAlignment="1" applyProtection="1">
      <alignment horizontal="center" vertical="center" shrinkToFit="1"/>
      <protection locked="0"/>
    </xf>
    <xf numFmtId="182" fontId="3" fillId="0" borderId="199" xfId="0" applyNumberFormat="1" applyFont="1" applyBorder="1" applyAlignment="1" applyProtection="1">
      <alignment horizontal="center" vertical="center" shrinkToFit="1"/>
      <protection locked="0"/>
    </xf>
    <xf numFmtId="0" fontId="3" fillId="0" borderId="196" xfId="0" applyFont="1" applyBorder="1" applyAlignment="1" applyProtection="1">
      <alignment horizontal="center" vertical="center" shrinkToFit="1"/>
      <protection locked="0"/>
    </xf>
    <xf numFmtId="49" fontId="3" fillId="6" borderId="81" xfId="0" applyNumberFormat="1" applyFont="1" applyFill="1" applyBorder="1" applyAlignment="1" applyProtection="1">
      <alignment horizontal="center" vertical="center" shrinkToFit="1"/>
      <protection locked="0"/>
    </xf>
    <xf numFmtId="20" fontId="3" fillId="0" borderId="29" xfId="4" applyNumberFormat="1" applyFont="1" applyFill="1" applyBorder="1" applyAlignment="1" applyProtection="1">
      <alignment horizontal="center" vertical="center" shrinkToFit="1"/>
      <protection locked="0"/>
    </xf>
    <xf numFmtId="0" fontId="11" fillId="0" borderId="29" xfId="0" applyFont="1" applyBorder="1" applyAlignment="1" applyProtection="1">
      <alignment horizontal="center" vertical="center" shrinkToFit="1"/>
      <protection locked="0"/>
    </xf>
    <xf numFmtId="187" fontId="3" fillId="0" borderId="81" xfId="0" applyNumberFormat="1" applyFont="1" applyBorder="1" applyAlignment="1" applyProtection="1">
      <alignment horizontal="center" vertical="center" shrinkToFit="1"/>
      <protection locked="0"/>
    </xf>
    <xf numFmtId="187" fontId="3" fillId="0" borderId="29" xfId="0" applyNumberFormat="1" applyFont="1" applyBorder="1" applyAlignment="1" applyProtection="1">
      <alignment horizontal="center" vertical="center" shrinkToFit="1"/>
      <protection locked="0"/>
    </xf>
    <xf numFmtId="0" fontId="11" fillId="0" borderId="82" xfId="0" applyFont="1" applyBorder="1" applyAlignment="1">
      <alignment horizontal="center" vertical="center" shrinkToFit="1"/>
    </xf>
    <xf numFmtId="187" fontId="3" fillId="6" borderId="29" xfId="0" applyNumberFormat="1" applyFont="1" applyFill="1" applyBorder="1" applyAlignment="1" applyProtection="1">
      <alignment horizontal="center" vertical="center" shrinkToFit="1"/>
      <protection locked="0"/>
    </xf>
    <xf numFmtId="181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2" fillId="6" borderId="159" xfId="0" applyFont="1" applyFill="1" applyBorder="1">
      <alignment vertical="center"/>
    </xf>
    <xf numFmtId="0" fontId="52" fillId="6" borderId="160" xfId="0" applyFont="1" applyFill="1" applyBorder="1">
      <alignment vertical="center"/>
    </xf>
    <xf numFmtId="0" fontId="55" fillId="6" borderId="28" xfId="0" applyFont="1" applyFill="1" applyBorder="1">
      <alignment vertical="center"/>
    </xf>
    <xf numFmtId="0" fontId="53" fillId="8" borderId="91" xfId="0" applyFont="1" applyFill="1" applyBorder="1">
      <alignment vertical="center"/>
    </xf>
    <xf numFmtId="0" fontId="53" fillId="8" borderId="92" xfId="0" applyFont="1" applyFill="1" applyBorder="1">
      <alignment vertical="center"/>
    </xf>
    <xf numFmtId="41" fontId="77" fillId="0" borderId="29" xfId="4" applyFont="1" applyFill="1" applyBorder="1" applyAlignment="1" applyProtection="1">
      <alignment horizontal="center" vertical="center" shrinkToFit="1"/>
      <protection locked="0"/>
    </xf>
    <xf numFmtId="0" fontId="3" fillId="0" borderId="180" xfId="0" applyFont="1" applyBorder="1" applyAlignment="1" applyProtection="1">
      <alignment horizontal="center" vertical="center" shrinkToFit="1"/>
      <protection locked="0"/>
    </xf>
    <xf numFmtId="0" fontId="3" fillId="0" borderId="172" xfId="0" applyFont="1" applyBorder="1" applyAlignment="1" applyProtection="1">
      <alignment horizontal="center" vertical="center" shrinkToFit="1"/>
      <protection locked="0"/>
    </xf>
    <xf numFmtId="49" fontId="3" fillId="0" borderId="172" xfId="0" applyNumberFormat="1" applyFont="1" applyBorder="1" applyAlignment="1" applyProtection="1">
      <alignment horizontal="center" vertical="center" shrinkToFit="1"/>
      <protection locked="0"/>
    </xf>
    <xf numFmtId="182" fontId="3" fillId="0" borderId="172" xfId="0" applyNumberFormat="1" applyFont="1" applyBorder="1" applyAlignment="1" applyProtection="1">
      <alignment horizontal="center" vertical="center" shrinkToFit="1"/>
      <protection locked="0"/>
    </xf>
    <xf numFmtId="20" fontId="3" fillId="0" borderId="172" xfId="0" applyNumberFormat="1" applyFont="1" applyBorder="1" applyAlignment="1" applyProtection="1">
      <alignment horizontal="center" vertical="center" shrinkToFit="1"/>
      <protection locked="0"/>
    </xf>
    <xf numFmtId="41" fontId="3" fillId="0" borderId="172" xfId="4" applyFont="1" applyFill="1" applyBorder="1" applyAlignment="1" applyProtection="1">
      <alignment horizontal="center" vertical="center" shrinkToFit="1"/>
      <protection locked="0"/>
    </xf>
    <xf numFmtId="0" fontId="76" fillId="0" borderId="0" xfId="0" applyFont="1" applyAlignment="1">
      <alignment horizontal="center" vertical="center"/>
    </xf>
    <xf numFmtId="41" fontId="75" fillId="0" borderId="29" xfId="4" applyFont="1" applyFill="1" applyBorder="1" applyAlignment="1" applyProtection="1">
      <alignment horizontal="center" vertical="center" shrinkToFit="1"/>
      <protection locked="0"/>
    </xf>
    <xf numFmtId="0" fontId="11" fillId="6" borderId="200" xfId="0" applyFont="1" applyFill="1" applyBorder="1" applyAlignment="1">
      <alignment horizontal="center" vertical="center" shrinkToFit="1"/>
    </xf>
    <xf numFmtId="0" fontId="3" fillId="0" borderId="201" xfId="0" applyFont="1" applyBorder="1" applyAlignment="1" applyProtection="1">
      <alignment horizontal="center" vertical="center" shrinkToFit="1"/>
      <protection locked="0"/>
    </xf>
    <xf numFmtId="20" fontId="3" fillId="0" borderId="199" xfId="0" applyNumberFormat="1" applyFont="1" applyBorder="1" applyAlignment="1" applyProtection="1">
      <alignment horizontal="center" vertical="center" shrinkToFit="1"/>
      <protection locked="0"/>
    </xf>
    <xf numFmtId="0" fontId="3" fillId="6" borderId="176" xfId="0" applyFont="1" applyFill="1" applyBorder="1" applyAlignment="1" applyProtection="1">
      <alignment horizontal="center" vertical="center" shrinkToFit="1"/>
      <protection locked="0"/>
    </xf>
    <xf numFmtId="0" fontId="87" fillId="0" borderId="0" xfId="0" applyFont="1" applyAlignment="1">
      <alignment vertical="center" wrapText="1"/>
    </xf>
    <xf numFmtId="49" fontId="33" fillId="6" borderId="29" xfId="0" applyNumberFormat="1" applyFont="1" applyFill="1" applyBorder="1" applyAlignment="1" applyProtection="1">
      <alignment horizontal="center" vertical="center" shrinkToFit="1"/>
      <protection locked="0"/>
    </xf>
    <xf numFmtId="0" fontId="11" fillId="4" borderId="30" xfId="0" applyFont="1" applyFill="1" applyBorder="1" applyAlignment="1">
      <alignment horizontal="center" vertical="center" shrinkToFit="1"/>
    </xf>
    <xf numFmtId="0" fontId="11" fillId="14" borderId="30" xfId="0" applyFont="1" applyFill="1" applyBorder="1" applyAlignment="1">
      <alignment horizontal="center" vertical="center" shrinkToFit="1"/>
    </xf>
    <xf numFmtId="186" fontId="3" fillId="0" borderId="81" xfId="0" applyNumberFormat="1" applyFont="1" applyBorder="1" applyAlignment="1" applyProtection="1">
      <alignment horizontal="center" vertical="center" shrinkToFit="1"/>
      <protection locked="0"/>
    </xf>
    <xf numFmtId="41" fontId="31" fillId="0" borderId="174" xfId="4" applyFont="1" applyFill="1" applyBorder="1" applyAlignment="1" applyProtection="1">
      <alignment horizontal="center" vertical="center" shrinkToFit="1"/>
      <protection locked="0"/>
    </xf>
    <xf numFmtId="49" fontId="31" fillId="6" borderId="176" xfId="0" applyNumberFormat="1" applyFont="1" applyFill="1" applyBorder="1" applyAlignment="1" applyProtection="1">
      <alignment horizontal="center" vertical="center" shrinkToFit="1"/>
      <protection locked="0"/>
    </xf>
    <xf numFmtId="0" fontId="88" fillId="0" borderId="0" xfId="0" applyFont="1">
      <alignment vertical="center"/>
    </xf>
    <xf numFmtId="41" fontId="31" fillId="0" borderId="176" xfId="4" applyFont="1" applyFill="1" applyBorder="1" applyAlignment="1" applyProtection="1">
      <alignment horizontal="center" vertical="center" shrinkToFit="1"/>
      <protection locked="0"/>
    </xf>
    <xf numFmtId="0" fontId="31" fillId="0" borderId="196" xfId="0" applyFont="1" applyBorder="1" applyAlignment="1" applyProtection="1">
      <alignment horizontal="center" vertical="center" shrinkToFit="1"/>
      <protection locked="0"/>
    </xf>
    <xf numFmtId="49" fontId="31" fillId="6" borderId="199" xfId="0" applyNumberFormat="1" applyFont="1" applyFill="1" applyBorder="1" applyAlignment="1" applyProtection="1">
      <alignment horizontal="center" vertical="center" shrinkToFit="1"/>
      <protection locked="0"/>
    </xf>
    <xf numFmtId="177" fontId="31" fillId="6" borderId="29" xfId="0" applyNumberFormat="1" applyFont="1" applyFill="1" applyBorder="1" applyAlignment="1" applyProtection="1">
      <alignment horizontal="center" vertical="center" shrinkToFit="1"/>
      <protection locked="0"/>
    </xf>
    <xf numFmtId="0" fontId="86" fillId="6" borderId="0" xfId="0" applyFont="1" applyFill="1" applyAlignment="1">
      <alignment horizontal="center" vertical="center"/>
    </xf>
    <xf numFmtId="0" fontId="89" fillId="0" borderId="0" xfId="0" applyFont="1" applyAlignment="1">
      <alignment horizontal="center" vertical="center"/>
    </xf>
    <xf numFmtId="41" fontId="3" fillId="0" borderId="199" xfId="4" applyFont="1" applyFill="1" applyBorder="1" applyAlignment="1" applyProtection="1">
      <alignment horizontal="center" vertical="center" shrinkToFit="1"/>
      <protection locked="0"/>
    </xf>
    <xf numFmtId="41" fontId="3" fillId="0" borderId="200" xfId="4" applyFont="1" applyFill="1" applyBorder="1" applyAlignment="1" applyProtection="1">
      <alignment horizontal="center" vertical="center" shrinkToFit="1"/>
      <protection locked="0"/>
    </xf>
    <xf numFmtId="0" fontId="11" fillId="0" borderId="202" xfId="0" applyFont="1" applyBorder="1" applyAlignment="1">
      <alignment horizontal="center" vertical="center" shrinkToFit="1"/>
    </xf>
    <xf numFmtId="0" fontId="3" fillId="4" borderId="31" xfId="0" applyFont="1" applyFill="1" applyBorder="1" applyAlignment="1" applyProtection="1">
      <alignment horizontal="center" vertical="center" shrinkToFit="1"/>
      <protection locked="0"/>
    </xf>
    <xf numFmtId="49" fontId="33" fillId="0" borderId="176" xfId="0" applyNumberFormat="1" applyFont="1" applyBorder="1" applyAlignment="1" applyProtection="1">
      <alignment horizontal="center" vertical="center" shrinkToFit="1"/>
      <protection locked="0"/>
    </xf>
    <xf numFmtId="0" fontId="90" fillId="0" borderId="0" xfId="0" applyFont="1">
      <alignment vertical="center"/>
    </xf>
    <xf numFmtId="0" fontId="11" fillId="4" borderId="174" xfId="0" applyFont="1" applyFill="1" applyBorder="1" applyAlignment="1">
      <alignment horizontal="center" vertical="center" shrinkToFit="1"/>
    </xf>
    <xf numFmtId="0" fontId="3" fillId="6" borderId="29" xfId="0" applyFont="1" applyFill="1" applyBorder="1" applyAlignment="1">
      <alignment horizontal="center" vertical="center" shrinkToFit="1"/>
    </xf>
    <xf numFmtId="178" fontId="3" fillId="0" borderId="31" xfId="0" applyNumberFormat="1" applyFont="1" applyBorder="1" applyAlignment="1" applyProtection="1">
      <alignment horizontal="center" vertical="center" shrinkToFit="1"/>
      <protection locked="0"/>
    </xf>
    <xf numFmtId="0" fontId="3" fillId="6" borderId="196" xfId="0" applyFont="1" applyFill="1" applyBorder="1" applyAlignment="1" applyProtection="1">
      <alignment vertical="center" shrinkToFit="1"/>
      <protection locked="0"/>
    </xf>
    <xf numFmtId="0" fontId="3" fillId="6" borderId="29" xfId="0" applyFont="1" applyFill="1" applyBorder="1" applyAlignment="1" applyProtection="1">
      <alignment vertical="center" shrinkToFit="1"/>
      <protection locked="0"/>
    </xf>
    <xf numFmtId="0" fontId="88" fillId="0" borderId="197" xfId="0" applyFont="1" applyBorder="1">
      <alignment vertical="center"/>
    </xf>
    <xf numFmtId="0" fontId="88" fillId="0" borderId="208" xfId="0" applyFont="1" applyBorder="1">
      <alignment vertical="center"/>
    </xf>
    <xf numFmtId="0" fontId="11" fillId="18" borderId="30" xfId="0" applyFont="1" applyFill="1" applyBorder="1" applyAlignment="1">
      <alignment horizontal="center" vertical="center" shrinkToFit="1"/>
    </xf>
    <xf numFmtId="0" fontId="11" fillId="6" borderId="202" xfId="0" applyFont="1" applyFill="1" applyBorder="1" applyAlignment="1">
      <alignment horizontal="center" vertical="center" shrinkToFit="1"/>
    </xf>
    <xf numFmtId="0" fontId="11" fillId="6" borderId="82" xfId="0" applyFont="1" applyFill="1" applyBorder="1" applyAlignment="1">
      <alignment horizontal="center" vertical="center" shrinkToFit="1"/>
    </xf>
    <xf numFmtId="0" fontId="92" fillId="0" borderId="0" xfId="0" applyFont="1" applyAlignment="1">
      <alignment horizontal="center" vertical="center"/>
    </xf>
    <xf numFmtId="188" fontId="3" fillId="0" borderId="29" xfId="4" applyNumberFormat="1" applyFont="1" applyFill="1" applyBorder="1" applyAlignment="1" applyProtection="1">
      <alignment horizontal="center" vertical="center" shrinkToFit="1"/>
      <protection locked="0"/>
    </xf>
    <xf numFmtId="187" fontId="3" fillId="0" borderId="29" xfId="4" applyNumberFormat="1" applyFont="1" applyFill="1" applyBorder="1" applyAlignment="1" applyProtection="1">
      <alignment horizontal="center" vertical="center" shrinkToFit="1"/>
      <protection locked="0"/>
    </xf>
    <xf numFmtId="187" fontId="31" fillId="0" borderId="29" xfId="4" applyNumberFormat="1" applyFont="1" applyFill="1" applyBorder="1" applyAlignment="1" applyProtection="1">
      <alignment horizontal="center" vertical="center" shrinkToFit="1"/>
      <protection locked="0"/>
    </xf>
    <xf numFmtId="0" fontId="3" fillId="0" borderId="210" xfId="0" applyFont="1" applyBorder="1" applyAlignment="1" applyProtection="1">
      <alignment horizontal="center" vertical="center" shrinkToFit="1"/>
      <protection locked="0"/>
    </xf>
    <xf numFmtId="0" fontId="3" fillId="0" borderId="211" xfId="0" applyFont="1" applyBorder="1" applyAlignment="1" applyProtection="1">
      <alignment horizontal="center" vertical="center" shrinkToFit="1"/>
      <protection locked="0"/>
    </xf>
    <xf numFmtId="49" fontId="3" fillId="0" borderId="211" xfId="0" applyNumberFormat="1" applyFont="1" applyBorder="1" applyAlignment="1" applyProtection="1">
      <alignment horizontal="center" vertical="center" shrinkToFit="1"/>
      <protection locked="0"/>
    </xf>
    <xf numFmtId="182" fontId="3" fillId="0" borderId="211" xfId="0" applyNumberFormat="1" applyFont="1" applyBorder="1" applyAlignment="1" applyProtection="1">
      <alignment horizontal="center" vertical="center" shrinkToFit="1"/>
      <protection locked="0"/>
    </xf>
    <xf numFmtId="20" fontId="3" fillId="0" borderId="211" xfId="0" applyNumberFormat="1" applyFont="1" applyBorder="1" applyAlignment="1" applyProtection="1">
      <alignment horizontal="center" vertical="center" shrinkToFit="1"/>
      <protection locked="0"/>
    </xf>
    <xf numFmtId="41" fontId="3" fillId="0" borderId="211" xfId="4" applyFont="1" applyFill="1" applyBorder="1" applyAlignment="1" applyProtection="1">
      <alignment horizontal="center" vertical="center" shrinkToFit="1"/>
      <protection locked="0"/>
    </xf>
    <xf numFmtId="41" fontId="3" fillId="0" borderId="209" xfId="4" applyFont="1" applyFill="1" applyBorder="1" applyAlignment="1" applyProtection="1">
      <alignment horizontal="center" vertical="center" shrinkToFit="1"/>
      <protection locked="0"/>
    </xf>
    <xf numFmtId="0" fontId="11" fillId="0" borderId="174" xfId="0" applyFont="1" applyBorder="1" applyAlignment="1" applyProtection="1">
      <alignment horizontal="center" vertical="center" shrinkToFit="1"/>
      <protection locked="0"/>
    </xf>
    <xf numFmtId="0" fontId="31" fillId="0" borderId="175" xfId="0" applyFont="1" applyBorder="1" applyAlignment="1" applyProtection="1">
      <alignment horizontal="center" vertical="center" shrinkToFit="1"/>
      <protection locked="0"/>
    </xf>
    <xf numFmtId="0" fontId="31" fillId="6" borderId="176" xfId="0" applyFont="1" applyFill="1" applyBorder="1" applyAlignment="1" applyProtection="1">
      <alignment horizontal="center" vertical="center" shrinkToFit="1"/>
      <protection locked="0"/>
    </xf>
    <xf numFmtId="182" fontId="31" fillId="6" borderId="176" xfId="0" applyNumberFormat="1" applyFont="1" applyFill="1" applyBorder="1" applyAlignment="1" applyProtection="1">
      <alignment horizontal="center" vertical="center" shrinkToFit="1"/>
      <protection locked="0"/>
    </xf>
    <xf numFmtId="0" fontId="92" fillId="0" borderId="197" xfId="0" applyFont="1" applyBorder="1" applyAlignment="1">
      <alignment horizontal="center" vertical="center"/>
    </xf>
    <xf numFmtId="0" fontId="3" fillId="0" borderId="177" xfId="0" applyFont="1" applyBorder="1" applyAlignment="1">
      <alignment horizontal="center" vertical="center" shrinkToFit="1"/>
    </xf>
    <xf numFmtId="0" fontId="11" fillId="14" borderId="174" xfId="0" applyFont="1" applyFill="1" applyBorder="1" applyAlignment="1">
      <alignment horizontal="center" vertical="center" shrinkToFit="1"/>
    </xf>
    <xf numFmtId="49" fontId="33" fillId="0" borderId="81" xfId="0" applyNumberFormat="1" applyFont="1" applyBorder="1" applyAlignment="1" applyProtection="1">
      <alignment horizontal="center" vertical="center" shrinkToFit="1"/>
      <protection locked="0"/>
    </xf>
    <xf numFmtId="0" fontId="31" fillId="4" borderId="29" xfId="0" applyFont="1" applyFill="1" applyBorder="1" applyAlignment="1" applyProtection="1">
      <alignment horizontal="center" vertical="center" shrinkToFit="1"/>
      <protection locked="0"/>
    </xf>
    <xf numFmtId="0" fontId="91" fillId="6" borderId="0" xfId="0" applyFont="1" applyFill="1" applyAlignment="1">
      <alignment horizontal="center" vertical="center"/>
    </xf>
    <xf numFmtId="0" fontId="11" fillId="14" borderId="209" xfId="0" applyFont="1" applyFill="1" applyBorder="1" applyAlignment="1">
      <alignment horizontal="center" vertical="center" shrinkToFit="1"/>
    </xf>
    <xf numFmtId="0" fontId="3" fillId="0" borderId="93" xfId="0" applyFont="1" applyBorder="1" applyAlignment="1">
      <alignment horizontal="center" vertical="center"/>
    </xf>
    <xf numFmtId="0" fontId="96" fillId="0" borderId="0" xfId="0" applyFont="1">
      <alignment vertical="center"/>
    </xf>
    <xf numFmtId="0" fontId="11" fillId="6" borderId="173" xfId="0" applyFont="1" applyFill="1" applyBorder="1" applyAlignment="1">
      <alignment horizontal="center" vertical="center" shrinkToFit="1"/>
    </xf>
    <xf numFmtId="0" fontId="3" fillId="21" borderId="31" xfId="0" applyFont="1" applyFill="1" applyBorder="1" applyAlignment="1" applyProtection="1">
      <alignment horizontal="center" vertical="center" shrinkToFit="1"/>
      <protection locked="0"/>
    </xf>
    <xf numFmtId="0" fontId="11" fillId="22" borderId="30" xfId="0" applyFont="1" applyFill="1" applyBorder="1" applyAlignment="1">
      <alignment horizontal="center" vertical="center" shrinkToFit="1"/>
    </xf>
    <xf numFmtId="0" fontId="11" fillId="23" borderId="30" xfId="0" applyFont="1" applyFill="1" applyBorder="1" applyAlignment="1">
      <alignment horizontal="center" vertical="center" shrinkToFit="1"/>
    </xf>
    <xf numFmtId="0" fontId="3" fillId="23" borderId="31" xfId="0" applyFont="1" applyFill="1" applyBorder="1" applyAlignment="1" applyProtection="1">
      <alignment horizontal="center" vertical="center" shrinkToFit="1"/>
      <protection locked="0"/>
    </xf>
    <xf numFmtId="0" fontId="3" fillId="23" borderId="29" xfId="0" applyFont="1" applyFill="1" applyBorder="1" applyAlignment="1" applyProtection="1">
      <alignment horizontal="center" vertical="center" shrinkToFit="1"/>
      <protection locked="0"/>
    </xf>
    <xf numFmtId="49" fontId="3" fillId="23" borderId="29" xfId="0" applyNumberFormat="1" applyFont="1" applyFill="1" applyBorder="1" applyAlignment="1" applyProtection="1">
      <alignment horizontal="center" vertical="center" shrinkToFit="1"/>
      <protection locked="0"/>
    </xf>
    <xf numFmtId="182" fontId="3" fillId="23" borderId="29" xfId="0" applyNumberFormat="1" applyFont="1" applyFill="1" applyBorder="1" applyAlignment="1" applyProtection="1">
      <alignment horizontal="center" vertical="center" shrinkToFit="1"/>
      <protection locked="0"/>
    </xf>
    <xf numFmtId="41" fontId="3" fillId="23" borderId="29" xfId="4" applyFont="1" applyFill="1" applyBorder="1" applyAlignment="1" applyProtection="1">
      <alignment horizontal="center" vertical="center" shrinkToFit="1"/>
      <protection locked="0"/>
    </xf>
    <xf numFmtId="41" fontId="3" fillId="23" borderId="30" xfId="4" applyFont="1" applyFill="1" applyBorder="1" applyAlignment="1" applyProtection="1">
      <alignment horizontal="center" vertical="center" shrinkToFit="1"/>
      <protection locked="0"/>
    </xf>
    <xf numFmtId="0" fontId="11" fillId="6" borderId="182" xfId="0" applyFont="1" applyFill="1" applyBorder="1" applyAlignment="1" applyProtection="1">
      <alignment horizontal="center" vertical="center" shrinkToFit="1"/>
      <protection locked="0"/>
    </xf>
    <xf numFmtId="0" fontId="3" fillId="24" borderId="29" xfId="0" applyFont="1" applyFill="1" applyBorder="1" applyAlignment="1" applyProtection="1">
      <alignment horizontal="center" vertical="center" shrinkToFit="1"/>
      <protection locked="0"/>
    </xf>
    <xf numFmtId="0" fontId="3" fillId="20" borderId="31" xfId="0" applyFont="1" applyFill="1" applyBorder="1" applyAlignment="1" applyProtection="1">
      <alignment horizontal="center" vertical="center" shrinkToFit="1"/>
      <protection locked="0"/>
    </xf>
    <xf numFmtId="0" fontId="3" fillId="20" borderId="29" xfId="0" applyFont="1" applyFill="1" applyBorder="1" applyAlignment="1" applyProtection="1">
      <alignment horizontal="center" vertical="center" shrinkToFit="1"/>
      <protection locked="0"/>
    </xf>
    <xf numFmtId="49" fontId="3" fillId="20" borderId="29" xfId="0" applyNumberFormat="1" applyFont="1" applyFill="1" applyBorder="1" applyAlignment="1" applyProtection="1">
      <alignment horizontal="center" vertical="center" shrinkToFit="1"/>
      <protection locked="0"/>
    </xf>
    <xf numFmtId="182" fontId="3" fillId="20" borderId="29" xfId="0" applyNumberFormat="1" applyFont="1" applyFill="1" applyBorder="1" applyAlignment="1" applyProtection="1">
      <alignment horizontal="center" vertical="center" shrinkToFit="1"/>
      <protection locked="0"/>
    </xf>
    <xf numFmtId="41" fontId="3" fillId="20" borderId="29" xfId="4" applyFont="1" applyFill="1" applyBorder="1" applyAlignment="1" applyProtection="1">
      <alignment horizontal="center" vertical="center" shrinkToFit="1"/>
      <protection locked="0"/>
    </xf>
    <xf numFmtId="41" fontId="3" fillId="20" borderId="30" xfId="4" applyFont="1" applyFill="1" applyBorder="1" applyAlignment="1" applyProtection="1">
      <alignment horizontal="center" vertical="center" shrinkToFit="1"/>
      <protection locked="0"/>
    </xf>
    <xf numFmtId="178" fontId="3" fillId="0" borderId="29" xfId="4" applyNumberFormat="1" applyFont="1" applyFill="1" applyBorder="1" applyAlignment="1" applyProtection="1">
      <alignment horizontal="center" vertical="center" shrinkToFit="1"/>
      <protection locked="0"/>
    </xf>
    <xf numFmtId="0" fontId="55" fillId="6" borderId="161" xfId="0" applyFont="1" applyFill="1" applyBorder="1" applyAlignment="1">
      <alignment horizontal="center" vertical="center"/>
    </xf>
    <xf numFmtId="0" fontId="96" fillId="6" borderId="0" xfId="0" applyFont="1" applyFill="1">
      <alignment vertical="center"/>
    </xf>
    <xf numFmtId="0" fontId="11" fillId="14" borderId="82" xfId="0" applyFont="1" applyFill="1" applyBorder="1" applyAlignment="1">
      <alignment horizontal="center" vertical="center" shrinkToFit="1"/>
    </xf>
    <xf numFmtId="6" fontId="3" fillId="0" borderId="29" xfId="0" applyNumberFormat="1" applyFont="1" applyBorder="1" applyAlignment="1" applyProtection="1">
      <alignment horizontal="center" vertical="center" shrinkToFit="1"/>
      <protection locked="0"/>
    </xf>
    <xf numFmtId="0" fontId="11" fillId="0" borderId="173" xfId="0" applyFont="1" applyBorder="1" applyAlignment="1">
      <alignment horizontal="center" vertical="center" shrinkToFit="1"/>
    </xf>
    <xf numFmtId="0" fontId="3" fillId="0" borderId="213" xfId="0" applyFont="1" applyBorder="1" applyAlignment="1" applyProtection="1">
      <alignment horizontal="center" vertical="center" shrinkToFit="1"/>
      <protection locked="0"/>
    </xf>
    <xf numFmtId="49" fontId="3" fillId="0" borderId="214" xfId="0" applyNumberFormat="1" applyFont="1" applyBorder="1" applyAlignment="1" applyProtection="1">
      <alignment horizontal="center" vertical="center" shrinkToFit="1"/>
      <protection locked="0"/>
    </xf>
    <xf numFmtId="0" fontId="3" fillId="0" borderId="214" xfId="0" applyFont="1" applyBorder="1" applyAlignment="1" applyProtection="1">
      <alignment horizontal="center" vertical="center" shrinkToFit="1"/>
      <protection locked="0"/>
    </xf>
    <xf numFmtId="182" fontId="3" fillId="0" borderId="214" xfId="0" applyNumberFormat="1" applyFont="1" applyBorder="1" applyAlignment="1" applyProtection="1">
      <alignment horizontal="center" vertical="center" shrinkToFit="1"/>
      <protection locked="0"/>
    </xf>
    <xf numFmtId="41" fontId="3" fillId="0" borderId="214" xfId="4" applyFont="1" applyFill="1" applyBorder="1" applyAlignment="1" applyProtection="1">
      <alignment horizontal="center" vertical="center" shrinkToFit="1"/>
      <protection locked="0"/>
    </xf>
    <xf numFmtId="41" fontId="3" fillId="0" borderId="212" xfId="4" applyFont="1" applyFill="1" applyBorder="1" applyAlignment="1" applyProtection="1">
      <alignment horizontal="center" vertical="center" shrinkToFit="1"/>
      <protection locked="0"/>
    </xf>
    <xf numFmtId="177" fontId="3" fillId="0" borderId="31" xfId="0" applyNumberFormat="1" applyFont="1" applyBorder="1" applyAlignment="1" applyProtection="1">
      <alignment horizontal="center" vertical="center" shrinkToFit="1"/>
      <protection locked="0"/>
    </xf>
    <xf numFmtId="0" fontId="3" fillId="6" borderId="180" xfId="0" applyFont="1" applyFill="1" applyBorder="1" applyAlignment="1" applyProtection="1">
      <alignment horizontal="center" vertical="center" shrinkToFit="1"/>
      <protection locked="0"/>
    </xf>
    <xf numFmtId="0" fontId="3" fillId="6" borderId="172" xfId="0" applyFont="1" applyFill="1" applyBorder="1" applyAlignment="1" applyProtection="1">
      <alignment horizontal="center" vertical="center" shrinkToFit="1"/>
      <protection locked="0"/>
    </xf>
    <xf numFmtId="49" fontId="3" fillId="6" borderId="172" xfId="0" applyNumberFormat="1" applyFont="1" applyFill="1" applyBorder="1" applyAlignment="1" applyProtection="1">
      <alignment horizontal="center" vertical="center" shrinkToFit="1"/>
      <protection locked="0"/>
    </xf>
    <xf numFmtId="41" fontId="3" fillId="6" borderId="172" xfId="4" applyFont="1" applyFill="1" applyBorder="1" applyAlignment="1" applyProtection="1">
      <alignment horizontal="center" vertical="center" shrinkToFit="1"/>
      <protection locked="0"/>
    </xf>
    <xf numFmtId="41" fontId="3" fillId="6" borderId="173" xfId="4" applyFont="1" applyFill="1" applyBorder="1" applyAlignment="1" applyProtection="1">
      <alignment horizontal="center" vertical="center" shrinkToFit="1"/>
      <protection locked="0"/>
    </xf>
    <xf numFmtId="0" fontId="11" fillId="0" borderId="212" xfId="0" applyFont="1" applyBorder="1" applyAlignment="1">
      <alignment horizontal="center" vertical="center" shrinkToFit="1"/>
    </xf>
    <xf numFmtId="20" fontId="3" fillId="0" borderId="214" xfId="0" applyNumberFormat="1" applyFont="1" applyBorder="1" applyAlignment="1" applyProtection="1">
      <alignment horizontal="center" vertical="center" shrinkToFit="1"/>
      <protection locked="0"/>
    </xf>
    <xf numFmtId="20" fontId="3" fillId="6" borderId="214" xfId="0" applyNumberFormat="1" applyFont="1" applyFill="1" applyBorder="1" applyAlignment="1" applyProtection="1">
      <alignment horizontal="center" vertical="center" shrinkToFit="1"/>
      <protection locked="0"/>
    </xf>
    <xf numFmtId="49" fontId="3" fillId="6" borderId="214" xfId="0" applyNumberFormat="1" applyFont="1" applyFill="1" applyBorder="1" applyAlignment="1" applyProtection="1">
      <alignment horizontal="center" vertical="center" shrinkToFit="1"/>
      <protection locked="0"/>
    </xf>
    <xf numFmtId="41" fontId="3" fillId="6" borderId="214" xfId="4" applyFont="1" applyFill="1" applyBorder="1" applyAlignment="1" applyProtection="1">
      <alignment horizontal="center" vertical="center" shrinkToFit="1"/>
      <protection locked="0"/>
    </xf>
    <xf numFmtId="0" fontId="93" fillId="0" borderId="0" xfId="0" applyFont="1">
      <alignment vertical="center"/>
    </xf>
    <xf numFmtId="0" fontId="11" fillId="0" borderId="215" xfId="0" applyFont="1" applyBorder="1" applyAlignment="1">
      <alignment horizontal="center" vertical="center" shrinkToFit="1"/>
    </xf>
    <xf numFmtId="0" fontId="3" fillId="0" borderId="216" xfId="0" applyFont="1" applyBorder="1" applyAlignment="1" applyProtection="1">
      <alignment horizontal="center" vertical="center" shrinkToFit="1"/>
      <protection locked="0"/>
    </xf>
    <xf numFmtId="0" fontId="3" fillId="0" borderId="217" xfId="0" applyFont="1" applyBorder="1" applyAlignment="1" applyProtection="1">
      <alignment horizontal="center" vertical="center" shrinkToFit="1"/>
      <protection locked="0"/>
    </xf>
    <xf numFmtId="49" fontId="3" fillId="0" borderId="217" xfId="0" applyNumberFormat="1" applyFont="1" applyBorder="1" applyAlignment="1" applyProtection="1">
      <alignment horizontal="center" vertical="center" shrinkToFit="1"/>
      <protection locked="0"/>
    </xf>
    <xf numFmtId="41" fontId="3" fillId="0" borderId="217" xfId="4" applyFont="1" applyFill="1" applyBorder="1" applyAlignment="1" applyProtection="1">
      <alignment horizontal="center" vertical="center" shrinkToFit="1"/>
      <protection locked="0"/>
    </xf>
    <xf numFmtId="41" fontId="3" fillId="0" borderId="215" xfId="4" applyFont="1" applyFill="1" applyBorder="1" applyAlignment="1" applyProtection="1">
      <alignment horizontal="center" vertical="center" shrinkToFit="1"/>
      <protection locked="0"/>
    </xf>
    <xf numFmtId="0" fontId="3" fillId="0" borderId="218" xfId="0" applyFont="1" applyBorder="1" applyAlignment="1" applyProtection="1">
      <alignment horizontal="center" vertical="center" shrinkToFit="1"/>
      <protection locked="0"/>
    </xf>
    <xf numFmtId="0" fontId="3" fillId="0" borderId="218" xfId="0" applyFont="1" applyBorder="1" applyAlignment="1">
      <alignment horizontal="center" vertical="center" shrinkToFit="1"/>
    </xf>
    <xf numFmtId="180" fontId="3" fillId="0" borderId="172" xfId="0" applyNumberFormat="1" applyFont="1" applyBorder="1" applyAlignment="1" applyProtection="1">
      <alignment horizontal="center" vertical="center" shrinkToFit="1"/>
      <protection locked="0"/>
    </xf>
    <xf numFmtId="177" fontId="3" fillId="0" borderId="172" xfId="0" applyNumberFormat="1" applyFont="1" applyBorder="1" applyAlignment="1" applyProtection="1">
      <alignment horizontal="center" vertical="center" shrinkToFit="1"/>
      <protection locked="0"/>
    </xf>
    <xf numFmtId="41" fontId="3" fillId="0" borderId="180" xfId="4" applyFont="1" applyFill="1" applyBorder="1" applyAlignment="1" applyProtection="1">
      <alignment horizontal="center" vertical="center" shrinkToFit="1"/>
      <protection locked="0"/>
    </xf>
    <xf numFmtId="177" fontId="3" fillId="0" borderId="173" xfId="0" applyNumberFormat="1" applyFont="1" applyBorder="1" applyAlignment="1" applyProtection="1">
      <alignment horizontal="center" vertical="center" shrinkToFit="1"/>
      <protection locked="0"/>
    </xf>
    <xf numFmtId="0" fontId="11" fillId="0" borderId="219" xfId="0" applyFont="1" applyBorder="1" applyAlignment="1">
      <alignment horizontal="center" vertical="center" shrinkToFit="1"/>
    </xf>
    <xf numFmtId="0" fontId="3" fillId="0" borderId="220" xfId="0" applyFont="1" applyBorder="1" applyAlignment="1" applyProtection="1">
      <alignment horizontal="center" vertical="center" shrinkToFit="1"/>
      <protection locked="0"/>
    </xf>
    <xf numFmtId="0" fontId="3" fillId="0" borderId="221" xfId="0" applyFont="1" applyBorder="1" applyAlignment="1" applyProtection="1">
      <alignment horizontal="center" vertical="center" shrinkToFit="1"/>
      <protection locked="0"/>
    </xf>
    <xf numFmtId="49" fontId="3" fillId="0" borderId="221" xfId="0" applyNumberFormat="1" applyFont="1" applyBorder="1" applyAlignment="1" applyProtection="1">
      <alignment horizontal="center" vertical="center" shrinkToFit="1"/>
      <protection locked="0"/>
    </xf>
    <xf numFmtId="182" fontId="3" fillId="0" borderId="221" xfId="0" applyNumberFormat="1" applyFont="1" applyBorder="1" applyAlignment="1" applyProtection="1">
      <alignment horizontal="center" vertical="center" shrinkToFit="1"/>
      <protection locked="0"/>
    </xf>
    <xf numFmtId="20" fontId="3" fillId="6" borderId="221" xfId="0" applyNumberFormat="1" applyFont="1" applyFill="1" applyBorder="1" applyAlignment="1" applyProtection="1">
      <alignment horizontal="center" vertical="center" shrinkToFit="1"/>
      <protection locked="0"/>
    </xf>
    <xf numFmtId="49" fontId="3" fillId="6" borderId="221" xfId="0" applyNumberFormat="1" applyFont="1" applyFill="1" applyBorder="1" applyAlignment="1" applyProtection="1">
      <alignment horizontal="center" vertical="center" shrinkToFit="1"/>
      <protection locked="0"/>
    </xf>
    <xf numFmtId="41" fontId="3" fillId="6" borderId="221" xfId="4" applyFont="1" applyFill="1" applyBorder="1" applyAlignment="1" applyProtection="1">
      <alignment horizontal="center" vertical="center" shrinkToFit="1"/>
      <protection locked="0"/>
    </xf>
    <xf numFmtId="41" fontId="3" fillId="0" borderId="219" xfId="4" applyFont="1" applyFill="1" applyBorder="1" applyAlignment="1" applyProtection="1">
      <alignment horizontal="center" vertical="center" shrinkToFit="1"/>
      <protection locked="0"/>
    </xf>
    <xf numFmtId="41" fontId="3" fillId="0" borderId="181" xfId="4" applyFont="1" applyFill="1" applyBorder="1" applyAlignment="1" applyProtection="1">
      <alignment horizontal="center" vertical="center" shrinkToFit="1"/>
      <protection locked="0"/>
    </xf>
    <xf numFmtId="41" fontId="3" fillId="0" borderId="182" xfId="4" applyFont="1" applyFill="1" applyBorder="1" applyAlignment="1" applyProtection="1">
      <alignment horizontal="center" vertical="center" shrinkToFit="1"/>
      <protection locked="0"/>
    </xf>
    <xf numFmtId="182" fontId="3" fillId="0" borderId="222" xfId="0" applyNumberFormat="1" applyFont="1" applyBorder="1" applyAlignment="1" applyProtection="1">
      <alignment horizontal="center" vertical="center" shrinkToFit="1"/>
      <protection locked="0"/>
    </xf>
    <xf numFmtId="49" fontId="3" fillId="0" borderId="222" xfId="0" applyNumberFormat="1" applyFont="1" applyBorder="1" applyAlignment="1" applyProtection="1">
      <alignment horizontal="center" vertical="center" shrinkToFit="1"/>
      <protection locked="0"/>
    </xf>
    <xf numFmtId="0" fontId="11" fillId="18" borderId="182" xfId="0" applyFont="1" applyFill="1" applyBorder="1" applyAlignment="1">
      <alignment horizontal="center" vertical="center" shrinkToFit="1"/>
    </xf>
    <xf numFmtId="0" fontId="3" fillId="6" borderId="81" xfId="0" applyFont="1" applyFill="1" applyBorder="1" applyAlignment="1" applyProtection="1">
      <alignment horizontal="center" vertical="center" shrinkToFit="1"/>
      <protection locked="0"/>
    </xf>
    <xf numFmtId="0" fontId="3" fillId="20" borderId="223" xfId="0" applyFont="1" applyFill="1" applyBorder="1" applyAlignment="1" applyProtection="1">
      <alignment horizontal="center" vertical="center" shrinkToFit="1"/>
      <protection locked="0"/>
    </xf>
    <xf numFmtId="0" fontId="3" fillId="20" borderId="214" xfId="0" applyFont="1" applyFill="1" applyBorder="1" applyAlignment="1" applyProtection="1">
      <alignment horizontal="center" vertical="center" shrinkToFit="1"/>
      <protection locked="0"/>
    </xf>
    <xf numFmtId="49" fontId="3" fillId="20" borderId="214" xfId="0" applyNumberFormat="1" applyFont="1" applyFill="1" applyBorder="1" applyAlignment="1" applyProtection="1">
      <alignment horizontal="center" vertical="center" shrinkToFit="1"/>
      <protection locked="0"/>
    </xf>
    <xf numFmtId="182" fontId="3" fillId="20" borderId="214" xfId="0" applyNumberFormat="1" applyFont="1" applyFill="1" applyBorder="1" applyAlignment="1" applyProtection="1">
      <alignment horizontal="center" vertical="center" shrinkToFit="1"/>
      <protection locked="0"/>
    </xf>
    <xf numFmtId="20" fontId="3" fillId="20" borderId="214" xfId="0" applyNumberFormat="1" applyFont="1" applyFill="1" applyBorder="1" applyAlignment="1" applyProtection="1">
      <alignment horizontal="center" vertical="center" shrinkToFit="1"/>
      <protection locked="0"/>
    </xf>
    <xf numFmtId="41" fontId="3" fillId="20" borderId="214" xfId="4" applyFont="1" applyFill="1" applyBorder="1" applyAlignment="1" applyProtection="1">
      <alignment horizontal="center" vertical="center" shrinkToFit="1"/>
      <protection locked="0"/>
    </xf>
    <xf numFmtId="41" fontId="3" fillId="20" borderId="212" xfId="4" applyFont="1" applyFill="1" applyBorder="1" applyAlignment="1" applyProtection="1">
      <alignment horizontal="center" vertical="center" shrinkToFit="1"/>
      <protection locked="0"/>
    </xf>
    <xf numFmtId="0" fontId="98" fillId="0" borderId="30" xfId="0" applyFont="1" applyBorder="1" applyAlignment="1">
      <alignment horizontal="center" vertical="center" shrinkToFit="1"/>
    </xf>
    <xf numFmtId="0" fontId="3" fillId="20" borderId="213" xfId="0" applyFont="1" applyFill="1" applyBorder="1" applyAlignment="1" applyProtection="1">
      <alignment horizontal="center" vertical="center" shrinkToFit="1"/>
      <protection locked="0"/>
    </xf>
    <xf numFmtId="0" fontId="93" fillId="6" borderId="0" xfId="0" applyFont="1" applyFill="1">
      <alignment vertical="center"/>
    </xf>
    <xf numFmtId="182" fontId="3" fillId="6" borderId="172" xfId="0" applyNumberFormat="1" applyFont="1" applyFill="1" applyBorder="1" applyAlignment="1" applyProtection="1">
      <alignment horizontal="center" vertical="center" shrinkToFit="1"/>
      <protection locked="0"/>
    </xf>
    <xf numFmtId="20" fontId="3" fillId="6" borderId="172" xfId="0" applyNumberFormat="1" applyFont="1" applyFill="1" applyBorder="1" applyAlignment="1" applyProtection="1">
      <alignment horizontal="center" vertical="center" shrinkToFit="1"/>
      <protection locked="0"/>
    </xf>
    <xf numFmtId="180" fontId="3" fillId="6" borderId="172" xfId="0" applyNumberFormat="1" applyFont="1" applyFill="1" applyBorder="1" applyAlignment="1" applyProtection="1">
      <alignment horizontal="center" vertical="center" shrinkToFit="1"/>
      <protection locked="0"/>
    </xf>
    <xf numFmtId="41" fontId="3" fillId="6" borderId="224" xfId="4" applyFont="1" applyFill="1" applyBorder="1" applyAlignment="1" applyProtection="1">
      <alignment horizontal="center" vertical="center" shrinkToFit="1"/>
      <protection locked="0"/>
    </xf>
    <xf numFmtId="0" fontId="3" fillId="6" borderId="30" xfId="0" applyFont="1" applyFill="1" applyBorder="1" applyAlignment="1" applyProtection="1">
      <alignment horizontal="center" vertical="center" shrinkToFit="1"/>
      <protection locked="0"/>
    </xf>
    <xf numFmtId="177" fontId="3" fillId="6" borderId="172" xfId="0" applyNumberFormat="1" applyFont="1" applyFill="1" applyBorder="1" applyAlignment="1" applyProtection="1">
      <alignment horizontal="center" vertical="center" shrinkToFit="1"/>
      <protection locked="0"/>
    </xf>
    <xf numFmtId="41" fontId="99" fillId="0" borderId="29" xfId="4" applyFont="1" applyFill="1" applyBorder="1" applyAlignment="1" applyProtection="1">
      <alignment horizontal="center" vertical="center" shrinkToFit="1"/>
      <protection locked="0"/>
    </xf>
    <xf numFmtId="41" fontId="99" fillId="0" borderId="30" xfId="4" applyFont="1" applyFill="1" applyBorder="1" applyAlignment="1" applyProtection="1">
      <alignment horizontal="center" vertical="center" shrinkToFit="1"/>
      <protection locked="0"/>
    </xf>
    <xf numFmtId="0" fontId="99" fillId="0" borderId="31" xfId="0" applyFont="1" applyBorder="1" applyAlignment="1" applyProtection="1">
      <alignment horizontal="center" vertical="center" shrinkToFit="1"/>
      <protection locked="0"/>
    </xf>
    <xf numFmtId="0" fontId="99" fillId="0" borderId="29" xfId="0" applyFont="1" applyBorder="1" applyAlignment="1" applyProtection="1">
      <alignment horizontal="center" vertical="center" shrinkToFit="1"/>
      <protection locked="0"/>
    </xf>
    <xf numFmtId="49" fontId="99" fillId="0" borderId="29" xfId="0" applyNumberFormat="1" applyFont="1" applyBorder="1" applyAlignment="1" applyProtection="1">
      <alignment horizontal="center" vertical="center" shrinkToFit="1"/>
      <protection locked="0"/>
    </xf>
    <xf numFmtId="182" fontId="99" fillId="0" borderId="29" xfId="0" applyNumberFormat="1" applyFont="1" applyBorder="1" applyAlignment="1" applyProtection="1">
      <alignment horizontal="center" vertical="center" shrinkToFit="1"/>
      <protection locked="0"/>
    </xf>
    <xf numFmtId="180" fontId="99" fillId="0" borderId="29" xfId="0" applyNumberFormat="1" applyFont="1" applyBorder="1" applyAlignment="1" applyProtection="1">
      <alignment horizontal="center" vertical="center" shrinkToFit="1"/>
      <protection locked="0"/>
    </xf>
    <xf numFmtId="177" fontId="99" fillId="0" borderId="29" xfId="0" applyNumberFormat="1" applyFont="1" applyBorder="1" applyAlignment="1" applyProtection="1">
      <alignment horizontal="center" vertical="center" shrinkToFit="1"/>
      <protection locked="0"/>
    </xf>
    <xf numFmtId="0" fontId="45" fillId="0" borderId="0" xfId="0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41" fontId="41" fillId="0" borderId="0" xfId="1" applyFont="1" applyAlignment="1">
      <alignment horizontal="center" vertical="center"/>
    </xf>
    <xf numFmtId="41" fontId="43" fillId="0" borderId="0" xfId="1" applyFont="1" applyAlignment="1">
      <alignment horizontal="center" vertical="center"/>
    </xf>
    <xf numFmtId="41" fontId="44" fillId="0" borderId="0" xfId="1" applyFont="1" applyAlignment="1">
      <alignment horizontal="center" vertical="center"/>
    </xf>
    <xf numFmtId="42" fontId="42" fillId="4" borderId="0" xfId="0" applyNumberFormat="1" applyFont="1" applyFill="1" applyAlignment="1">
      <alignment horizontal="center" vertical="center"/>
    </xf>
    <xf numFmtId="42" fontId="49" fillId="0" borderId="0" xfId="0" applyNumberFormat="1" applyFont="1" applyAlignment="1">
      <alignment horizontal="center" vertical="center"/>
    </xf>
    <xf numFmtId="41" fontId="49" fillId="0" borderId="0" xfId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5" fillId="12" borderId="91" xfId="0" applyFont="1" applyFill="1" applyBorder="1" applyAlignment="1">
      <alignment horizontal="center" vertical="center"/>
    </xf>
    <xf numFmtId="0" fontId="65" fillId="12" borderId="95" xfId="0" applyFont="1" applyFill="1" applyBorder="1" applyAlignment="1">
      <alignment horizontal="center" vertical="center"/>
    </xf>
    <xf numFmtId="0" fontId="74" fillId="12" borderId="95" xfId="0" applyFont="1" applyFill="1" applyBorder="1" applyAlignment="1">
      <alignment horizontal="center" vertical="center"/>
    </xf>
    <xf numFmtId="0" fontId="74" fillId="17" borderId="86" xfId="0" applyFont="1" applyFill="1" applyBorder="1" applyAlignment="1">
      <alignment horizontal="center" vertical="center" shrinkToFit="1"/>
    </xf>
    <xf numFmtId="0" fontId="74" fillId="17" borderId="36" xfId="0" applyFont="1" applyFill="1" applyBorder="1" applyAlignment="1">
      <alignment horizontal="center" vertical="center" shrinkToFit="1"/>
    </xf>
    <xf numFmtId="185" fontId="74" fillId="12" borderId="95" xfId="0" applyNumberFormat="1" applyFont="1" applyFill="1" applyBorder="1" applyAlignment="1">
      <alignment horizontal="center" vertical="center"/>
    </xf>
    <xf numFmtId="41" fontId="69" fillId="17" borderId="86" xfId="0" applyNumberFormat="1" applyFont="1" applyFill="1" applyBorder="1" applyAlignment="1">
      <alignment horizontal="center" vertical="center" shrinkToFit="1"/>
    </xf>
    <xf numFmtId="41" fontId="69" fillId="17" borderId="36" xfId="0" applyNumberFormat="1" applyFont="1" applyFill="1" applyBorder="1" applyAlignment="1">
      <alignment horizontal="center" vertical="center" shrinkToFit="1"/>
    </xf>
    <xf numFmtId="0" fontId="74" fillId="12" borderId="91" xfId="0" applyFont="1" applyFill="1" applyBorder="1" applyAlignment="1">
      <alignment horizontal="center" vertical="center"/>
    </xf>
    <xf numFmtId="0" fontId="74" fillId="12" borderId="92" xfId="0" applyFont="1" applyFill="1" applyBorder="1" applyAlignment="1">
      <alignment horizontal="center" vertical="center"/>
    </xf>
    <xf numFmtId="0" fontId="74" fillId="12" borderId="21" xfId="0" applyFont="1" applyFill="1" applyBorder="1" applyAlignment="1">
      <alignment horizontal="center" vertical="center"/>
    </xf>
    <xf numFmtId="0" fontId="74" fillId="12" borderId="9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85" fontId="74" fillId="12" borderId="91" xfId="0" applyNumberFormat="1" applyFont="1" applyFill="1" applyBorder="1" applyAlignment="1">
      <alignment horizontal="center" vertical="center"/>
    </xf>
    <xf numFmtId="185" fontId="74" fillId="12" borderId="92" xfId="0" applyNumberFormat="1" applyFont="1" applyFill="1" applyBorder="1" applyAlignment="1">
      <alignment horizontal="center" vertical="center"/>
    </xf>
    <xf numFmtId="0" fontId="74" fillId="17" borderId="38" xfId="0" applyFont="1" applyFill="1" applyBorder="1" applyAlignment="1">
      <alignment horizontal="center" vertical="center" shrinkToFit="1"/>
    </xf>
    <xf numFmtId="41" fontId="69" fillId="17" borderId="38" xfId="0" applyNumberFormat="1" applyFont="1" applyFill="1" applyBorder="1" applyAlignment="1">
      <alignment horizontal="center" vertical="center" shrinkToFit="1"/>
    </xf>
    <xf numFmtId="0" fontId="65" fillId="17" borderId="184" xfId="0" applyFont="1" applyFill="1" applyBorder="1" applyAlignment="1">
      <alignment horizontal="center" vertical="center" shrinkToFit="1"/>
    </xf>
    <xf numFmtId="0" fontId="65" fillId="17" borderId="0" xfId="0" applyFont="1" applyFill="1" applyAlignment="1">
      <alignment horizontal="center" vertical="center" shrinkToFit="1"/>
    </xf>
    <xf numFmtId="0" fontId="65" fillId="17" borderId="185" xfId="0" applyFont="1" applyFill="1" applyBorder="1" applyAlignment="1">
      <alignment horizontal="center" vertical="center" shrinkToFit="1"/>
    </xf>
    <xf numFmtId="0" fontId="60" fillId="13" borderId="91" xfId="0" applyFont="1" applyFill="1" applyBorder="1" applyAlignment="1">
      <alignment horizontal="center" vertical="center" wrapText="1"/>
    </xf>
    <xf numFmtId="0" fontId="19" fillId="13" borderId="95" xfId="0" applyFont="1" applyFill="1" applyBorder="1" applyAlignment="1">
      <alignment horizontal="center" vertical="center" wrapText="1"/>
    </xf>
    <xf numFmtId="0" fontId="19" fillId="13" borderId="92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41" fontId="3" fillId="12" borderId="33" xfId="1" applyFont="1" applyFill="1" applyBorder="1" applyAlignment="1" applyProtection="1">
      <alignment horizontal="center" vertical="center"/>
    </xf>
    <xf numFmtId="41" fontId="3" fillId="12" borderId="38" xfId="1" applyFont="1" applyFill="1" applyBorder="1" applyAlignment="1" applyProtection="1">
      <alignment horizontal="center" vertical="center"/>
    </xf>
    <xf numFmtId="41" fontId="3" fillId="12" borderId="36" xfId="1" applyFont="1" applyFill="1" applyBorder="1" applyAlignment="1" applyProtection="1">
      <alignment horizontal="center" vertical="center"/>
    </xf>
    <xf numFmtId="41" fontId="3" fillId="12" borderId="37" xfId="1" applyFont="1" applyFill="1" applyBorder="1" applyAlignment="1" applyProtection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41" fontId="10" fillId="0" borderId="40" xfId="1" applyFont="1" applyBorder="1" applyAlignment="1" applyProtection="1">
      <alignment horizontal="center" vertical="center"/>
    </xf>
    <xf numFmtId="41" fontId="31" fillId="0" borderId="26" xfId="1" applyFont="1" applyBorder="1" applyAlignment="1" applyProtection="1">
      <alignment horizontal="center" vertical="center"/>
    </xf>
    <xf numFmtId="41" fontId="31" fillId="0" borderId="40" xfId="1" applyFont="1" applyBorder="1" applyAlignment="1" applyProtection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60" fillId="13" borderId="166" xfId="0" applyFont="1" applyFill="1" applyBorder="1" applyAlignment="1">
      <alignment horizontal="center" vertical="center" wrapText="1"/>
    </xf>
    <xf numFmtId="0" fontId="60" fillId="13" borderId="155" xfId="0" applyFont="1" applyFill="1" applyBorder="1" applyAlignment="1">
      <alignment horizontal="center" vertical="center" wrapText="1"/>
    </xf>
    <xf numFmtId="0" fontId="6" fillId="13" borderId="155" xfId="0" applyFont="1" applyFill="1" applyBorder="1" applyAlignment="1">
      <alignment horizontal="center" vertical="center"/>
    </xf>
    <xf numFmtId="181" fontId="6" fillId="13" borderId="155" xfId="0" applyNumberFormat="1" applyFont="1" applyFill="1" applyBorder="1" applyAlignment="1">
      <alignment horizontal="center" vertical="center"/>
    </xf>
    <xf numFmtId="0" fontId="6" fillId="13" borderId="156" xfId="0" applyFont="1" applyFill="1" applyBorder="1" applyAlignment="1">
      <alignment horizontal="center" vertical="center"/>
    </xf>
    <xf numFmtId="0" fontId="61" fillId="6" borderId="49" xfId="0" applyFont="1" applyFill="1" applyBorder="1" applyAlignment="1">
      <alignment horizontal="center" vertical="center" wrapText="1"/>
    </xf>
    <xf numFmtId="0" fontId="61" fillId="6" borderId="34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/>
    </xf>
    <xf numFmtId="181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37" xfId="0" applyFont="1" applyBorder="1" applyAlignment="1">
      <alignment horizontal="center" vertical="center"/>
    </xf>
    <xf numFmtId="41" fontId="34" fillId="0" borderId="38" xfId="1" applyFont="1" applyBorder="1" applyAlignment="1" applyProtection="1">
      <alignment horizontal="center" vertical="center"/>
    </xf>
    <xf numFmtId="41" fontId="34" fillId="0" borderId="36" xfId="1" applyFont="1" applyBorder="1" applyAlignment="1" applyProtection="1">
      <alignment horizontal="center" vertical="center"/>
    </xf>
    <xf numFmtId="41" fontId="34" fillId="0" borderId="33" xfId="1" applyFont="1" applyBorder="1" applyAlignment="1" applyProtection="1">
      <alignment horizontal="center" vertical="center"/>
    </xf>
    <xf numFmtId="41" fontId="34" fillId="0" borderId="39" xfId="1" applyFont="1" applyBorder="1" applyAlignment="1" applyProtection="1">
      <alignment horizontal="center" vertical="center"/>
    </xf>
    <xf numFmtId="41" fontId="10" fillId="0" borderId="27" xfId="1" applyFont="1" applyBorder="1" applyAlignment="1" applyProtection="1">
      <alignment horizontal="center" vertical="center"/>
    </xf>
    <xf numFmtId="41" fontId="10" fillId="0" borderId="26" xfId="1" applyFont="1" applyBorder="1" applyAlignment="1" applyProtection="1">
      <alignment horizontal="center" vertical="center"/>
    </xf>
    <xf numFmtId="41" fontId="10" fillId="0" borderId="41" xfId="1" applyFont="1" applyBorder="1" applyAlignment="1" applyProtection="1">
      <alignment horizontal="center" vertical="center"/>
    </xf>
    <xf numFmtId="41" fontId="3" fillId="0" borderId="33" xfId="1" applyFont="1" applyBorder="1" applyAlignment="1" applyProtection="1">
      <alignment horizontal="center" vertical="center"/>
    </xf>
    <xf numFmtId="41" fontId="3" fillId="0" borderId="38" xfId="1" applyFont="1" applyBorder="1" applyAlignment="1" applyProtection="1">
      <alignment horizontal="center" vertical="center"/>
    </xf>
    <xf numFmtId="41" fontId="3" fillId="0" borderId="36" xfId="1" applyFont="1" applyBorder="1" applyAlignment="1" applyProtection="1">
      <alignment horizontal="center" vertical="center"/>
    </xf>
    <xf numFmtId="41" fontId="3" fillId="0" borderId="37" xfId="1" applyFont="1" applyBorder="1" applyAlignment="1" applyProtection="1">
      <alignment horizontal="center" vertical="center"/>
    </xf>
    <xf numFmtId="0" fontId="4" fillId="0" borderId="78" xfId="0" applyFont="1" applyBorder="1" applyAlignment="1" applyProtection="1">
      <alignment horizontal="center" vertical="center" shrinkToFit="1"/>
      <protection locked="0"/>
    </xf>
    <xf numFmtId="0" fontId="4" fillId="0" borderId="79" xfId="0" applyFont="1" applyBorder="1" applyAlignment="1" applyProtection="1">
      <alignment horizontal="center" vertical="center" shrinkToFit="1"/>
      <protection locked="0"/>
    </xf>
    <xf numFmtId="0" fontId="4" fillId="0" borderId="83" xfId="0" applyFont="1" applyBorder="1" applyAlignment="1" applyProtection="1">
      <alignment horizontal="center" vertical="center" shrinkToFit="1"/>
      <protection locked="0"/>
    </xf>
    <xf numFmtId="0" fontId="4" fillId="0" borderId="84" xfId="0" applyFont="1" applyBorder="1" applyAlignment="1" applyProtection="1">
      <alignment horizontal="center" vertical="center" shrinkToFit="1"/>
      <protection locked="0"/>
    </xf>
    <xf numFmtId="0" fontId="4" fillId="0" borderId="89" xfId="0" applyFont="1" applyBorder="1" applyAlignment="1" applyProtection="1">
      <alignment horizontal="center" vertical="center" shrinkToFit="1"/>
      <protection locked="0"/>
    </xf>
    <xf numFmtId="0" fontId="4" fillId="0" borderId="90" xfId="0" applyFont="1" applyBorder="1" applyAlignment="1" applyProtection="1">
      <alignment horizontal="center" vertical="center" shrinkToFit="1"/>
      <protection locked="0"/>
    </xf>
    <xf numFmtId="177" fontId="3" fillId="0" borderId="12" xfId="0" applyNumberFormat="1" applyFont="1" applyBorder="1" applyAlignment="1">
      <alignment horizontal="center" vertical="center"/>
    </xf>
    <xf numFmtId="177" fontId="3" fillId="0" borderId="71" xfId="0" applyNumberFormat="1" applyFont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177" fontId="3" fillId="0" borderId="33" xfId="0" applyNumberFormat="1" applyFont="1" applyBorder="1" applyAlignment="1">
      <alignment horizontal="center" vertical="center"/>
    </xf>
    <xf numFmtId="0" fontId="11" fillId="3" borderId="85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41" fontId="11" fillId="0" borderId="9" xfId="1" applyFont="1" applyBorder="1" applyAlignment="1" applyProtection="1">
      <alignment horizontal="right" vertical="center"/>
    </xf>
    <xf numFmtId="41" fontId="11" fillId="0" borderId="10" xfId="1" applyFont="1" applyBorder="1" applyAlignment="1" applyProtection="1">
      <alignment horizontal="right" vertical="center"/>
    </xf>
    <xf numFmtId="41" fontId="11" fillId="0" borderId="14" xfId="1" applyFont="1" applyBorder="1" applyAlignment="1" applyProtection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177" fontId="3" fillId="0" borderId="42" xfId="0" applyNumberFormat="1" applyFont="1" applyBorder="1" applyAlignment="1">
      <alignment horizontal="center" vertical="center"/>
    </xf>
    <xf numFmtId="177" fontId="3" fillId="0" borderId="43" xfId="0" applyNumberFormat="1" applyFont="1" applyBorder="1" applyAlignment="1">
      <alignment horizontal="center" vertical="center"/>
    </xf>
    <xf numFmtId="177" fontId="3" fillId="0" borderId="35" xfId="0" applyNumberFormat="1" applyFont="1" applyBorder="1" applyAlignment="1">
      <alignment horizontal="center" vertical="center"/>
    </xf>
    <xf numFmtId="177" fontId="3" fillId="0" borderId="49" xfId="0" applyNumberFormat="1" applyFont="1" applyBorder="1" applyAlignment="1">
      <alignment horizontal="center" vertical="center"/>
    </xf>
    <xf numFmtId="177" fontId="3" fillId="0" borderId="38" xfId="0" applyNumberFormat="1" applyFont="1" applyBorder="1" applyAlignment="1">
      <alignment horizontal="center" vertical="center"/>
    </xf>
    <xf numFmtId="177" fontId="3" fillId="0" borderId="37" xfId="0" applyNumberFormat="1" applyFont="1" applyBorder="1" applyAlignment="1">
      <alignment horizontal="center" vertical="center"/>
    </xf>
    <xf numFmtId="177" fontId="3" fillId="0" borderId="3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3" fillId="0" borderId="53" xfId="0" applyNumberFormat="1" applyFont="1" applyBorder="1" applyAlignment="1">
      <alignment horizontal="center" vertical="center"/>
    </xf>
    <xf numFmtId="177" fontId="11" fillId="0" borderId="86" xfId="0" applyNumberFormat="1" applyFont="1" applyBorder="1" applyAlignment="1">
      <alignment horizontal="center" vertical="center"/>
    </xf>
    <xf numFmtId="177" fontId="11" fillId="0" borderId="37" xfId="0" applyNumberFormat="1" applyFont="1" applyBorder="1" applyAlignment="1">
      <alignment horizontal="center" vertical="center"/>
    </xf>
    <xf numFmtId="177" fontId="11" fillId="0" borderId="36" xfId="0" applyNumberFormat="1" applyFont="1" applyBorder="1" applyAlignment="1">
      <alignment horizontal="center" vertical="center"/>
    </xf>
    <xf numFmtId="42" fontId="38" fillId="0" borderId="38" xfId="1" applyNumberFormat="1" applyFont="1" applyBorder="1" applyAlignment="1" applyProtection="1">
      <alignment horizontal="center" vertical="center"/>
    </xf>
    <xf numFmtId="42" fontId="38" fillId="0" borderId="37" xfId="1" applyNumberFormat="1" applyFont="1" applyBorder="1" applyAlignment="1" applyProtection="1">
      <alignment horizontal="center" vertical="center"/>
    </xf>
    <xf numFmtId="42" fontId="38" fillId="0" borderId="87" xfId="1" applyNumberFormat="1" applyFont="1" applyBorder="1" applyAlignment="1" applyProtection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4" fillId="3" borderId="88" xfId="0" applyFont="1" applyFill="1" applyBorder="1" applyAlignment="1">
      <alignment horizontal="center" vertical="center"/>
    </xf>
    <xf numFmtId="0" fontId="24" fillId="3" borderId="40" xfId="0" applyFont="1" applyFill="1" applyBorder="1" applyAlignment="1">
      <alignment horizontal="center" vertical="center"/>
    </xf>
    <xf numFmtId="0" fontId="24" fillId="3" borderId="27" xfId="0" applyFont="1" applyFill="1" applyBorder="1" applyAlignment="1">
      <alignment horizontal="center" vertical="center"/>
    </xf>
    <xf numFmtId="42" fontId="28" fillId="0" borderId="26" xfId="1" applyNumberFormat="1" applyFont="1" applyBorder="1" applyAlignment="1" applyProtection="1">
      <alignment horizontal="center" vertical="center"/>
    </xf>
    <xf numFmtId="42" fontId="28" fillId="0" borderId="40" xfId="1" applyNumberFormat="1" applyFont="1" applyBorder="1" applyAlignment="1" applyProtection="1">
      <alignment horizontal="center" vertical="center"/>
    </xf>
    <xf numFmtId="42" fontId="28" fillId="0" borderId="28" xfId="1" applyNumberFormat="1" applyFont="1" applyBorder="1" applyAlignment="1" applyProtection="1">
      <alignment horizontal="center" vertical="center"/>
    </xf>
    <xf numFmtId="177" fontId="3" fillId="10" borderId="33" xfId="0" applyNumberFormat="1" applyFont="1" applyFill="1" applyBorder="1" applyAlignment="1">
      <alignment horizontal="center" vertical="center"/>
    </xf>
    <xf numFmtId="177" fontId="3" fillId="11" borderId="33" xfId="0" applyNumberFormat="1" applyFont="1" applyFill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177" fontId="3" fillId="0" borderId="13" xfId="0" applyNumberFormat="1" applyFont="1" applyBorder="1" applyAlignment="1">
      <alignment horizontal="center" vertical="center"/>
    </xf>
    <xf numFmtId="41" fontId="3" fillId="8" borderId="68" xfId="2" applyNumberFormat="1" applyFont="1" applyFill="1" applyBorder="1" applyAlignment="1" applyProtection="1">
      <alignment horizontal="center" vertical="center"/>
    </xf>
    <xf numFmtId="41" fontId="3" fillId="8" borderId="69" xfId="2" applyNumberFormat="1" applyFont="1" applyFill="1" applyBorder="1" applyAlignment="1" applyProtection="1">
      <alignment horizontal="center" vertical="center"/>
    </xf>
    <xf numFmtId="41" fontId="3" fillId="2" borderId="63" xfId="2" applyNumberFormat="1" applyFont="1" applyBorder="1" applyAlignment="1" applyProtection="1">
      <alignment horizontal="center" vertical="center"/>
    </xf>
    <xf numFmtId="41" fontId="3" fillId="2" borderId="49" xfId="2" applyNumberFormat="1" applyFont="1" applyBorder="1" applyAlignment="1" applyProtection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41" fontId="11" fillId="9" borderId="37" xfId="1" applyFont="1" applyFill="1" applyBorder="1" applyAlignment="1" applyProtection="1">
      <alignment horizontal="center" vertical="center"/>
    </xf>
    <xf numFmtId="41" fontId="11" fillId="8" borderId="37" xfId="1" applyFont="1" applyFill="1" applyBorder="1" applyAlignment="1" applyProtection="1">
      <alignment horizontal="center" vertical="center"/>
    </xf>
    <xf numFmtId="41" fontId="11" fillId="2" borderId="37" xfId="2" applyNumberFormat="1" applyFont="1" applyBorder="1" applyAlignment="1" applyProtection="1">
      <alignment horizontal="center" vertical="center"/>
    </xf>
    <xf numFmtId="41" fontId="11" fillId="2" borderId="36" xfId="2" applyNumberFormat="1" applyFont="1" applyBorder="1" applyAlignment="1" applyProtection="1">
      <alignment horizontal="center" vertical="center"/>
    </xf>
    <xf numFmtId="0" fontId="11" fillId="2" borderId="42" xfId="2" applyFont="1" applyBorder="1" applyAlignment="1" applyProtection="1">
      <alignment horizontal="center" vertical="center"/>
    </xf>
    <xf numFmtId="0" fontId="11" fillId="2" borderId="43" xfId="2" applyFont="1" applyBorder="1" applyAlignment="1" applyProtection="1">
      <alignment horizontal="center" vertical="center"/>
    </xf>
    <xf numFmtId="0" fontId="11" fillId="2" borderId="35" xfId="2" applyFont="1" applyBorder="1" applyAlignment="1" applyProtection="1">
      <alignment horizontal="center" vertical="center"/>
    </xf>
    <xf numFmtId="0" fontId="11" fillId="2" borderId="49" xfId="2" applyFont="1" applyBorder="1" applyAlignment="1" applyProtection="1">
      <alignment horizontal="center" vertical="center"/>
    </xf>
    <xf numFmtId="0" fontId="3" fillId="2" borderId="42" xfId="2" applyFont="1" applyBorder="1" applyAlignment="1" applyProtection="1">
      <alignment horizontal="center" vertical="center"/>
    </xf>
    <xf numFmtId="0" fontId="3" fillId="2" borderId="44" xfId="2" applyFont="1" applyBorder="1" applyAlignment="1" applyProtection="1">
      <alignment horizontal="center" vertical="center"/>
    </xf>
    <xf numFmtId="41" fontId="3" fillId="9" borderId="45" xfId="2" applyNumberFormat="1" applyFont="1" applyFill="1" applyBorder="1" applyAlignment="1" applyProtection="1">
      <alignment horizontal="center" vertical="center"/>
    </xf>
    <xf numFmtId="41" fontId="3" fillId="9" borderId="44" xfId="2" applyNumberFormat="1" applyFont="1" applyFill="1" applyBorder="1" applyAlignment="1" applyProtection="1">
      <alignment horizontal="center" vertical="center"/>
    </xf>
    <xf numFmtId="41" fontId="3" fillId="8" borderId="55" xfId="2" applyNumberFormat="1" applyFont="1" applyFill="1" applyBorder="1" applyAlignment="1" applyProtection="1">
      <alignment horizontal="center" vertical="center"/>
    </xf>
    <xf numFmtId="41" fontId="3" fillId="8" borderId="67" xfId="2" applyNumberFormat="1" applyFont="1" applyFill="1" applyBorder="1" applyAlignment="1" applyProtection="1">
      <alignment horizontal="center" vertical="center"/>
    </xf>
    <xf numFmtId="41" fontId="3" fillId="2" borderId="45" xfId="2" applyNumberFormat="1" applyFont="1" applyBorder="1" applyAlignment="1" applyProtection="1">
      <alignment horizontal="center" vertical="center"/>
    </xf>
    <xf numFmtId="41" fontId="3" fillId="2" borderId="43" xfId="2" applyNumberFormat="1" applyFont="1" applyBorder="1" applyAlignment="1" applyProtection="1">
      <alignment horizontal="center" vertical="center"/>
    </xf>
    <xf numFmtId="0" fontId="3" fillId="2" borderId="35" xfId="2" applyFont="1" applyBorder="1" applyAlignment="1" applyProtection="1">
      <alignment horizontal="center" vertical="center"/>
    </xf>
    <xf numFmtId="0" fontId="3" fillId="2" borderId="52" xfId="2" applyFont="1" applyBorder="1" applyAlignment="1" applyProtection="1">
      <alignment horizontal="center" vertical="center"/>
    </xf>
    <xf numFmtId="41" fontId="3" fillId="9" borderId="52" xfId="2" applyNumberFormat="1" applyFont="1" applyFill="1" applyBorder="1" applyAlignment="1" applyProtection="1">
      <alignment horizontal="center" vertical="center"/>
    </xf>
    <xf numFmtId="0" fontId="11" fillId="2" borderId="12" xfId="2" applyFont="1" applyBorder="1" applyAlignment="1" applyProtection="1">
      <alignment horizontal="center" vertical="center"/>
    </xf>
    <xf numFmtId="0" fontId="11" fillId="2" borderId="13" xfId="2" applyFont="1" applyBorder="1" applyAlignment="1" applyProtection="1">
      <alignment horizontal="center" vertical="center"/>
    </xf>
    <xf numFmtId="0" fontId="3" fillId="2" borderId="12" xfId="2" applyFont="1" applyBorder="1" applyAlignment="1" applyProtection="1">
      <alignment horizontal="center" vertical="center"/>
    </xf>
    <xf numFmtId="0" fontId="3" fillId="2" borderId="57" xfId="2" applyFont="1" applyBorder="1" applyAlignment="1" applyProtection="1">
      <alignment horizontal="center" vertical="center"/>
    </xf>
    <xf numFmtId="41" fontId="3" fillId="9" borderId="59" xfId="2" applyNumberFormat="1" applyFont="1" applyFill="1" applyBorder="1" applyAlignment="1" applyProtection="1">
      <alignment horizontal="center" vertical="center"/>
    </xf>
    <xf numFmtId="41" fontId="3" fillId="9" borderId="57" xfId="2" applyNumberFormat="1" applyFont="1" applyFill="1" applyBorder="1" applyAlignment="1" applyProtection="1">
      <alignment horizontal="center" vertical="center"/>
    </xf>
    <xf numFmtId="41" fontId="3" fillId="8" borderId="59" xfId="2" applyNumberFormat="1" applyFont="1" applyFill="1" applyBorder="1" applyAlignment="1" applyProtection="1">
      <alignment horizontal="center" vertical="center"/>
    </xf>
    <xf numFmtId="41" fontId="3" fillId="8" borderId="57" xfId="2" applyNumberFormat="1" applyFont="1" applyFill="1" applyBorder="1" applyAlignment="1" applyProtection="1">
      <alignment horizontal="center" vertical="center"/>
    </xf>
    <xf numFmtId="41" fontId="3" fillId="2" borderId="60" xfId="2" applyNumberFormat="1" applyFont="1" applyBorder="1" applyAlignment="1" applyProtection="1">
      <alignment horizontal="center" vertical="center"/>
    </xf>
    <xf numFmtId="41" fontId="3" fillId="2" borderId="61" xfId="2" applyNumberFormat="1" applyFont="1" applyBorder="1" applyAlignment="1" applyProtection="1">
      <alignment horizontal="center" vertical="center"/>
    </xf>
    <xf numFmtId="41" fontId="3" fillId="8" borderId="45" xfId="2" applyNumberFormat="1" applyFont="1" applyFill="1" applyBorder="1" applyAlignment="1" applyProtection="1">
      <alignment horizontal="center" vertical="center"/>
    </xf>
    <xf numFmtId="41" fontId="3" fillId="8" borderId="44" xfId="2" applyNumberFormat="1" applyFont="1" applyFill="1" applyBorder="1" applyAlignment="1" applyProtection="1">
      <alignment horizontal="center" vertical="center"/>
    </xf>
    <xf numFmtId="41" fontId="3" fillId="2" borderId="55" xfId="2" applyNumberFormat="1" applyFont="1" applyBorder="1" applyAlignment="1" applyProtection="1">
      <alignment horizontal="center" vertical="center"/>
    </xf>
    <xf numFmtId="41" fontId="3" fillId="2" borderId="56" xfId="2" applyNumberFormat="1" applyFont="1" applyBorder="1" applyAlignment="1" applyProtection="1">
      <alignment horizontal="center" vertical="center"/>
    </xf>
    <xf numFmtId="0" fontId="3" fillId="2" borderId="50" xfId="2" applyFont="1" applyBorder="1" applyAlignment="1" applyProtection="1">
      <alignment horizontal="center" vertical="center"/>
    </xf>
    <xf numFmtId="41" fontId="3" fillId="9" borderId="63" xfId="2" applyNumberFormat="1" applyFont="1" applyFill="1" applyBorder="1" applyAlignment="1" applyProtection="1">
      <alignment horizontal="center" vertical="center"/>
    </xf>
    <xf numFmtId="41" fontId="3" fillId="9" borderId="50" xfId="2" applyNumberFormat="1" applyFont="1" applyFill="1" applyBorder="1" applyAlignment="1" applyProtection="1">
      <alignment horizontal="center" vertical="center"/>
    </xf>
    <xf numFmtId="41" fontId="3" fillId="8" borderId="63" xfId="2" applyNumberFormat="1" applyFont="1" applyFill="1" applyBorder="1" applyAlignment="1" applyProtection="1">
      <alignment horizontal="center" vertical="center"/>
    </xf>
    <xf numFmtId="41" fontId="3" fillId="8" borderId="50" xfId="2" applyNumberFormat="1" applyFont="1" applyFill="1" applyBorder="1" applyAlignment="1" applyProtection="1">
      <alignment horizontal="center" vertical="center"/>
    </xf>
    <xf numFmtId="41" fontId="3" fillId="2" borderId="64" xfId="2" applyNumberFormat="1" applyFont="1" applyBorder="1" applyAlignment="1" applyProtection="1">
      <alignment horizontal="center" vertical="center"/>
    </xf>
    <xf numFmtId="41" fontId="3" fillId="2" borderId="65" xfId="2" applyNumberFormat="1" applyFont="1" applyBorder="1" applyAlignment="1" applyProtection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11" fillId="2" borderId="50" xfId="2" applyFont="1" applyBorder="1" applyAlignment="1" applyProtection="1">
      <alignment horizontal="center" vertical="center"/>
    </xf>
    <xf numFmtId="0" fontId="11" fillId="9" borderId="52" xfId="0" applyFont="1" applyFill="1" applyBorder="1" applyAlignment="1">
      <alignment horizontal="center" vertical="center"/>
    </xf>
    <xf numFmtId="0" fontId="11" fillId="9" borderId="53" xfId="0" applyFont="1" applyFill="1" applyBorder="1" applyAlignment="1">
      <alignment horizontal="center" vertical="center"/>
    </xf>
    <xf numFmtId="0" fontId="11" fillId="8" borderId="52" xfId="0" applyFont="1" applyFill="1" applyBorder="1" applyAlignment="1">
      <alignment horizontal="center" vertical="center"/>
    </xf>
    <xf numFmtId="0" fontId="11" fillId="8" borderId="49" xfId="0" applyFont="1" applyFill="1" applyBorder="1" applyAlignment="1">
      <alignment horizontal="center" vertical="center"/>
    </xf>
    <xf numFmtId="0" fontId="11" fillId="2" borderId="44" xfId="2" applyFont="1" applyBorder="1" applyAlignment="1" applyProtection="1">
      <alignment horizontal="center" vertical="center"/>
    </xf>
    <xf numFmtId="0" fontId="11" fillId="9" borderId="45" xfId="0" applyFont="1" applyFill="1" applyBorder="1" applyAlignment="1">
      <alignment horizontal="center" vertical="center"/>
    </xf>
    <xf numFmtId="0" fontId="11" fillId="9" borderId="46" xfId="0" applyFont="1" applyFill="1" applyBorder="1" applyAlignment="1">
      <alignment horizontal="center" vertical="center"/>
    </xf>
    <xf numFmtId="0" fontId="11" fillId="9" borderId="47" xfId="0" applyFont="1" applyFill="1" applyBorder="1" applyAlignment="1">
      <alignment horizontal="center" vertical="center"/>
    </xf>
    <xf numFmtId="0" fontId="11" fillId="8" borderId="48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0" fontId="11" fillId="8" borderId="43" xfId="0" applyFont="1" applyFill="1" applyBorder="1" applyAlignment="1">
      <alignment horizontal="center" vertical="center"/>
    </xf>
    <xf numFmtId="0" fontId="11" fillId="3" borderId="4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41" fontId="3" fillId="7" borderId="38" xfId="1" applyFont="1" applyFill="1" applyBorder="1" applyAlignment="1" applyProtection="1">
      <alignment horizontal="center" vertical="center"/>
    </xf>
    <xf numFmtId="41" fontId="3" fillId="7" borderId="36" xfId="1" applyFont="1" applyFill="1" applyBorder="1" applyAlignment="1" applyProtection="1">
      <alignment horizontal="center" vertical="center"/>
    </xf>
    <xf numFmtId="41" fontId="11" fillId="7" borderId="33" xfId="1" applyFont="1" applyFill="1" applyBorder="1" applyAlignment="1" applyProtection="1">
      <alignment horizontal="center" vertical="center"/>
    </xf>
    <xf numFmtId="41" fontId="11" fillId="7" borderId="39" xfId="1" applyFont="1" applyFill="1" applyBorder="1" applyAlignment="1" applyProtection="1">
      <alignment horizontal="center" vertical="center"/>
    </xf>
    <xf numFmtId="41" fontId="3" fillId="7" borderId="33" xfId="1" applyFont="1" applyFill="1" applyBorder="1" applyAlignment="1" applyProtection="1">
      <alignment horizontal="center" vertical="center"/>
    </xf>
    <xf numFmtId="41" fontId="37" fillId="0" borderId="25" xfId="1" applyFont="1" applyBorder="1" applyAlignment="1" applyProtection="1">
      <alignment horizontal="center" vertical="center"/>
    </xf>
    <xf numFmtId="41" fontId="37" fillId="0" borderId="41" xfId="1" applyFont="1" applyBorder="1" applyAlignment="1" applyProtection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41" fontId="3" fillId="13" borderId="33" xfId="1" applyFont="1" applyFill="1" applyBorder="1" applyAlignment="1" applyProtection="1">
      <alignment horizontal="center" vertical="center"/>
    </xf>
    <xf numFmtId="41" fontId="3" fillId="13" borderId="39" xfId="1" applyFont="1" applyFill="1" applyBorder="1" applyAlignment="1" applyProtection="1">
      <alignment horizontal="center" vertical="center"/>
    </xf>
    <xf numFmtId="41" fontId="11" fillId="0" borderId="33" xfId="1" applyFont="1" applyBorder="1" applyAlignment="1" applyProtection="1">
      <alignment horizontal="center" vertical="center"/>
    </xf>
    <xf numFmtId="41" fontId="11" fillId="0" borderId="39" xfId="1" applyFont="1" applyBorder="1" applyAlignment="1" applyProtection="1">
      <alignment horizontal="center" vertical="center"/>
    </xf>
    <xf numFmtId="41" fontId="3" fillId="13" borderId="38" xfId="1" applyFont="1" applyFill="1" applyBorder="1" applyAlignment="1" applyProtection="1">
      <alignment horizontal="center" vertical="center"/>
    </xf>
    <xf numFmtId="41" fontId="3" fillId="13" borderId="36" xfId="1" applyFont="1" applyFill="1" applyBorder="1" applyAlignment="1" applyProtection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1" fontId="11" fillId="10" borderId="33" xfId="1" applyFont="1" applyFill="1" applyBorder="1" applyAlignment="1" applyProtection="1">
      <alignment horizontal="center" vertical="center"/>
    </xf>
    <xf numFmtId="41" fontId="11" fillId="10" borderId="39" xfId="1" applyFont="1" applyFill="1" applyBorder="1" applyAlignment="1" applyProtection="1">
      <alignment horizontal="center" vertical="center"/>
    </xf>
    <xf numFmtId="41" fontId="3" fillId="10" borderId="33" xfId="1" applyFont="1" applyFill="1" applyBorder="1" applyAlignment="1" applyProtection="1">
      <alignment horizontal="center" vertical="center"/>
    </xf>
    <xf numFmtId="41" fontId="3" fillId="10" borderId="38" xfId="1" applyFont="1" applyFill="1" applyBorder="1" applyAlignment="1" applyProtection="1">
      <alignment horizontal="center" vertical="center"/>
    </xf>
    <xf numFmtId="41" fontId="3" fillId="10" borderId="36" xfId="1" applyFont="1" applyFill="1" applyBorder="1" applyAlignment="1" applyProtection="1">
      <alignment horizontal="center" vertical="center"/>
    </xf>
    <xf numFmtId="41" fontId="3" fillId="10" borderId="37" xfId="1" applyFont="1" applyFill="1" applyBorder="1" applyAlignment="1" applyProtection="1">
      <alignment horizontal="center" vertical="center"/>
    </xf>
    <xf numFmtId="41" fontId="11" fillId="10" borderId="38" xfId="1" applyFont="1" applyFill="1" applyBorder="1" applyAlignment="1" applyProtection="1">
      <alignment horizontal="center" vertical="center"/>
    </xf>
    <xf numFmtId="41" fontId="11" fillId="10" borderId="36" xfId="1" applyFont="1" applyFill="1" applyBorder="1" applyAlignment="1" applyProtection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1" fontId="11" fillId="12" borderId="38" xfId="1" applyFont="1" applyFill="1" applyBorder="1" applyAlignment="1" applyProtection="1">
      <alignment horizontal="center" vertical="center"/>
    </xf>
    <xf numFmtId="41" fontId="11" fillId="12" borderId="36" xfId="1" applyFont="1" applyFill="1" applyBorder="1" applyAlignment="1" applyProtection="1">
      <alignment horizontal="center" vertical="center"/>
    </xf>
    <xf numFmtId="41" fontId="11" fillId="12" borderId="33" xfId="1" applyFont="1" applyFill="1" applyBorder="1" applyAlignment="1" applyProtection="1">
      <alignment horizontal="center" vertical="center"/>
    </xf>
    <xf numFmtId="41" fontId="11" fillId="12" borderId="39" xfId="1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shrinkToFit="1"/>
      <protection locked="0"/>
    </xf>
    <xf numFmtId="0" fontId="4" fillId="0" borderId="32" xfId="0" applyFont="1" applyBorder="1" applyAlignment="1" applyProtection="1">
      <alignment horizontal="center" vertical="center" shrinkToFit="1"/>
      <protection locked="0"/>
    </xf>
    <xf numFmtId="0" fontId="4" fillId="0" borderId="21" xfId="0" applyFont="1" applyBorder="1" applyAlignment="1" applyProtection="1">
      <alignment horizontal="center" vertical="center" shrinkToFit="1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32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3" borderId="21" xfId="0" applyFont="1" applyFill="1" applyBorder="1" applyAlignment="1" applyProtection="1">
      <alignment horizontal="center" vertical="center"/>
      <protection locked="0"/>
    </xf>
    <xf numFmtId="0" fontId="3" fillId="3" borderId="24" xfId="0" applyFont="1" applyFill="1" applyBorder="1" applyAlignment="1" applyProtection="1">
      <alignment horizontal="center" vertical="center"/>
      <protection locked="0"/>
    </xf>
    <xf numFmtId="41" fontId="31" fillId="0" borderId="27" xfId="1" applyFont="1" applyBorder="1" applyAlignment="1" applyProtection="1">
      <alignment horizontal="center" vertical="center"/>
    </xf>
    <xf numFmtId="41" fontId="31" fillId="14" borderId="91" xfId="1" applyFont="1" applyFill="1" applyBorder="1" applyAlignment="1" applyProtection="1">
      <alignment horizontal="center" vertical="center"/>
    </xf>
    <xf numFmtId="41" fontId="31" fillId="14" borderId="92" xfId="1" applyFont="1" applyFill="1" applyBorder="1" applyAlignment="1" applyProtection="1">
      <alignment horizontal="center" vertical="center"/>
    </xf>
    <xf numFmtId="185" fontId="60" fillId="6" borderId="27" xfId="0" applyNumberFormat="1" applyFont="1" applyFill="1" applyBorder="1" applyAlignment="1">
      <alignment horizontal="center" vertical="center" wrapText="1"/>
    </xf>
    <xf numFmtId="185" fontId="60" fillId="6" borderId="25" xfId="0" applyNumberFormat="1" applyFont="1" applyFill="1" applyBorder="1" applyAlignment="1">
      <alignment horizontal="center" vertical="center" wrapText="1"/>
    </xf>
    <xf numFmtId="185" fontId="6" fillId="6" borderId="25" xfId="0" applyNumberFormat="1" applyFont="1" applyFill="1" applyBorder="1" applyAlignment="1">
      <alignment horizontal="center" vertical="center"/>
    </xf>
    <xf numFmtId="185" fontId="6" fillId="0" borderId="25" xfId="0" applyNumberFormat="1" applyFont="1" applyBorder="1" applyAlignment="1">
      <alignment horizontal="center" vertical="center"/>
    </xf>
    <xf numFmtId="185" fontId="6" fillId="0" borderId="41" xfId="0" applyNumberFormat="1" applyFont="1" applyBorder="1" applyAlignment="1">
      <alignment horizontal="center" vertical="center"/>
    </xf>
    <xf numFmtId="0" fontId="60" fillId="13" borderId="154" xfId="0" applyFont="1" applyFill="1" applyBorder="1" applyAlignment="1">
      <alignment horizontal="center" vertical="center" wrapText="1"/>
    </xf>
    <xf numFmtId="0" fontId="60" fillId="13" borderId="156" xfId="0" applyFont="1" applyFill="1" applyBorder="1" applyAlignment="1">
      <alignment horizontal="center" vertical="center" wrapText="1"/>
    </xf>
    <xf numFmtId="0" fontId="60" fillId="13" borderId="123" xfId="0" applyFont="1" applyFill="1" applyBorder="1" applyAlignment="1">
      <alignment horizontal="center" vertical="center" wrapText="1"/>
    </xf>
    <xf numFmtId="0" fontId="60" fillId="13" borderId="137" xfId="0" applyFont="1" applyFill="1" applyBorder="1" applyAlignment="1">
      <alignment horizontal="center" vertical="center" wrapText="1"/>
    </xf>
    <xf numFmtId="0" fontId="60" fillId="12" borderId="132" xfId="0" applyFont="1" applyFill="1" applyBorder="1" applyAlignment="1">
      <alignment horizontal="center" vertical="center" wrapText="1"/>
    </xf>
    <xf numFmtId="0" fontId="60" fillId="12" borderId="39" xfId="0" applyFont="1" applyFill="1" applyBorder="1" applyAlignment="1">
      <alignment horizontal="center" vertical="center" wrapText="1"/>
    </xf>
    <xf numFmtId="0" fontId="60" fillId="17" borderId="88" xfId="0" applyFont="1" applyFill="1" applyBorder="1" applyAlignment="1">
      <alignment horizontal="center" vertical="center" wrapText="1"/>
    </xf>
    <xf numFmtId="0" fontId="60" fillId="17" borderId="28" xfId="0" applyFont="1" applyFill="1" applyBorder="1" applyAlignment="1">
      <alignment horizontal="center" vertical="center" wrapText="1"/>
    </xf>
    <xf numFmtId="0" fontId="60" fillId="6" borderId="36" xfId="0" applyFont="1" applyFill="1" applyBorder="1" applyAlignment="1">
      <alignment horizontal="center" vertical="center" wrapText="1"/>
    </xf>
    <xf numFmtId="0" fontId="60" fillId="6" borderId="33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/>
    </xf>
    <xf numFmtId="181" fontId="6" fillId="0" borderId="33" xfId="0" applyNumberFormat="1" applyFont="1" applyBorder="1" applyAlignment="1">
      <alignment horizontal="center" vertical="center"/>
    </xf>
    <xf numFmtId="0" fontId="65" fillId="0" borderId="2" xfId="0" applyFont="1" applyBorder="1" applyAlignment="1" applyProtection="1">
      <alignment horizontal="center" vertical="center"/>
      <protection locked="0"/>
    </xf>
    <xf numFmtId="0" fontId="65" fillId="0" borderId="3" xfId="0" applyFont="1" applyBorder="1" applyAlignment="1" applyProtection="1">
      <alignment horizontal="center" vertical="center"/>
      <protection locked="0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4" borderId="12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4" borderId="13" xfId="0" applyFont="1" applyFill="1" applyBorder="1" applyAlignment="1" applyProtection="1">
      <alignment horizontal="center" vertical="center"/>
      <protection locked="0"/>
    </xf>
    <xf numFmtId="0" fontId="6" fillId="4" borderId="23" xfId="0" applyFont="1" applyFill="1" applyBorder="1" applyAlignment="1" applyProtection="1">
      <alignment horizontal="center" vertical="center"/>
      <protection locked="0"/>
    </xf>
    <xf numFmtId="0" fontId="6" fillId="4" borderId="24" xfId="0" applyFont="1" applyFill="1" applyBorder="1" applyAlignment="1" applyProtection="1">
      <alignment horizontal="center" vertical="center"/>
      <protection locked="0"/>
    </xf>
    <xf numFmtId="0" fontId="6" fillId="4" borderId="22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5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177" fontId="3" fillId="6" borderId="24" xfId="0" applyNumberFormat="1" applyFont="1" applyFill="1" applyBorder="1" applyAlignment="1">
      <alignment horizontal="right" vertical="center" indent="1"/>
    </xf>
    <xf numFmtId="0" fontId="3" fillId="6" borderId="22" xfId="0" applyFont="1" applyFill="1" applyBorder="1" applyAlignment="1">
      <alignment horizontal="right" vertical="center" indent="1"/>
    </xf>
    <xf numFmtId="41" fontId="3" fillId="0" borderId="26" xfId="3" applyNumberFormat="1" applyFont="1" applyBorder="1" applyAlignment="1" applyProtection="1">
      <alignment horizontal="center" vertical="center"/>
    </xf>
    <xf numFmtId="41" fontId="3" fillId="0" borderId="40" xfId="3" applyNumberFormat="1" applyFont="1" applyBorder="1" applyAlignment="1" applyProtection="1">
      <alignment horizontal="center" vertical="center"/>
    </xf>
    <xf numFmtId="0" fontId="4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25" xfId="0" applyFont="1" applyFill="1" applyBorder="1" applyAlignment="1" applyProtection="1">
      <alignment horizontal="center" vertical="center" wrapText="1"/>
      <protection locked="0"/>
    </xf>
    <xf numFmtId="0" fontId="14" fillId="3" borderId="0" xfId="0" applyFont="1" applyFill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6" fontId="12" fillId="0" borderId="16" xfId="0" applyNumberFormat="1" applyFont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12" fillId="0" borderId="15" xfId="0" applyNumberFormat="1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2" fontId="10" fillId="0" borderId="4" xfId="3" applyFont="1" applyBorder="1" applyAlignment="1" applyProtection="1">
      <alignment horizontal="center" vertical="center"/>
    </xf>
    <xf numFmtId="42" fontId="10" fillId="0" borderId="3" xfId="3" applyFont="1" applyBorder="1" applyAlignment="1" applyProtection="1">
      <alignment horizontal="center" vertical="center"/>
    </xf>
    <xf numFmtId="42" fontId="10" fillId="0" borderId="5" xfId="3" applyFont="1" applyBorder="1" applyAlignment="1" applyProtection="1">
      <alignment horizontal="center" vertical="center"/>
    </xf>
    <xf numFmtId="42" fontId="10" fillId="0" borderId="23" xfId="3" applyFont="1" applyBorder="1" applyAlignment="1" applyProtection="1">
      <alignment horizontal="center" vertical="center"/>
    </xf>
    <xf numFmtId="42" fontId="10" fillId="0" borderId="24" xfId="3" applyFont="1" applyBorder="1" applyAlignment="1" applyProtection="1">
      <alignment horizontal="center" vertical="center"/>
    </xf>
    <xf numFmtId="42" fontId="10" fillId="0" borderId="22" xfId="3" applyFont="1" applyBorder="1" applyAlignment="1" applyProtection="1">
      <alignment horizontal="center" vertical="center"/>
    </xf>
    <xf numFmtId="176" fontId="6" fillId="0" borderId="23" xfId="0" applyNumberFormat="1" applyFont="1" applyBorder="1" applyAlignment="1" applyProtection="1">
      <alignment horizontal="center" vertical="center"/>
      <protection locked="0"/>
    </xf>
    <xf numFmtId="176" fontId="6" fillId="0" borderId="24" xfId="0" applyNumberFormat="1" applyFont="1" applyBorder="1" applyAlignment="1" applyProtection="1">
      <alignment horizontal="center" vertical="center"/>
      <protection locked="0"/>
    </xf>
    <xf numFmtId="42" fontId="12" fillId="4" borderId="9" xfId="3" applyFont="1" applyFill="1" applyBorder="1" applyAlignment="1" applyProtection="1">
      <alignment horizontal="center" vertical="center"/>
      <protection locked="0"/>
    </xf>
    <xf numFmtId="42" fontId="12" fillId="4" borderId="10" xfId="3" applyFont="1" applyFill="1" applyBorder="1" applyAlignment="1" applyProtection="1">
      <alignment horizontal="center" vertical="center"/>
      <protection locked="0"/>
    </xf>
    <xf numFmtId="42" fontId="12" fillId="4" borderId="14" xfId="3" applyFont="1" applyFill="1" applyBorder="1" applyAlignment="1" applyProtection="1">
      <alignment horizontal="center" vertical="center"/>
      <protection locked="0"/>
    </xf>
    <xf numFmtId="0" fontId="6" fillId="0" borderId="3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right" vertical="center"/>
    </xf>
    <xf numFmtId="177" fontId="3" fillId="0" borderId="27" xfId="0" applyNumberFormat="1" applyFont="1" applyBorder="1" applyAlignment="1">
      <alignment horizontal="right" vertical="center"/>
    </xf>
    <xf numFmtId="0" fontId="74" fillId="12" borderId="206" xfId="0" applyFont="1" applyFill="1" applyBorder="1" applyAlignment="1">
      <alignment horizontal="center" vertical="center"/>
    </xf>
    <xf numFmtId="0" fontId="74" fillId="12" borderId="207" xfId="0" applyFont="1" applyFill="1" applyBorder="1" applyAlignment="1">
      <alignment horizontal="center" vertical="center"/>
    </xf>
    <xf numFmtId="177" fontId="3" fillId="6" borderId="26" xfId="0" applyNumberFormat="1" applyFont="1" applyFill="1" applyBorder="1" applyAlignment="1">
      <alignment horizontal="right" vertical="center" indent="1"/>
    </xf>
    <xf numFmtId="177" fontId="3" fillId="6" borderId="40" xfId="0" applyNumberFormat="1" applyFont="1" applyFill="1" applyBorder="1" applyAlignment="1">
      <alignment horizontal="right" vertical="center" indent="1"/>
    </xf>
    <xf numFmtId="177" fontId="3" fillId="6" borderId="27" xfId="0" applyNumberFormat="1" applyFont="1" applyFill="1" applyBorder="1" applyAlignment="1">
      <alignment horizontal="right" vertical="center" indent="1"/>
    </xf>
    <xf numFmtId="41" fontId="3" fillId="0" borderId="204" xfId="3" applyNumberFormat="1" applyFont="1" applyBorder="1" applyAlignment="1" applyProtection="1">
      <alignment horizontal="center" vertical="center"/>
    </xf>
    <xf numFmtId="41" fontId="3" fillId="0" borderId="205" xfId="3" applyNumberFormat="1" applyFont="1" applyBorder="1" applyAlignment="1" applyProtection="1">
      <alignment horizontal="center" vertical="center"/>
    </xf>
    <xf numFmtId="0" fontId="65" fillId="12" borderId="192" xfId="0" applyFont="1" applyFill="1" applyBorder="1" applyAlignment="1">
      <alignment horizontal="center" vertical="center"/>
    </xf>
    <xf numFmtId="0" fontId="65" fillId="0" borderId="91" xfId="0" applyFont="1" applyBorder="1" applyAlignment="1" applyProtection="1">
      <alignment horizontal="center" vertical="center"/>
      <protection locked="0"/>
    </xf>
    <xf numFmtId="0" fontId="65" fillId="0" borderId="95" xfId="0" applyFont="1" applyBorder="1" applyAlignment="1" applyProtection="1">
      <alignment horizontal="center" vertical="center"/>
      <protection locked="0"/>
    </xf>
    <xf numFmtId="0" fontId="65" fillId="0" borderId="92" xfId="0" applyFont="1" applyBorder="1" applyAlignment="1" applyProtection="1">
      <alignment horizontal="center" vertical="center"/>
      <protection locked="0"/>
    </xf>
    <xf numFmtId="0" fontId="9" fillId="5" borderId="5" xfId="0" applyFont="1" applyFill="1" applyBorder="1" applyAlignment="1" applyProtection="1">
      <alignment horizontal="center" vertical="center" wrapText="1"/>
      <protection locked="0"/>
    </xf>
    <xf numFmtId="0" fontId="9" fillId="5" borderId="21" xfId="0" applyFont="1" applyFill="1" applyBorder="1" applyAlignment="1" applyProtection="1">
      <alignment horizontal="center" vertical="center" wrapText="1"/>
      <protection locked="0"/>
    </xf>
    <xf numFmtId="0" fontId="9" fillId="5" borderId="22" xfId="0" applyFont="1" applyFill="1" applyBorder="1" applyAlignment="1" applyProtection="1">
      <alignment horizontal="center" vertical="center" wrapText="1"/>
      <protection locked="0"/>
    </xf>
    <xf numFmtId="0" fontId="11" fillId="3" borderId="6" xfId="0" applyFont="1" applyFill="1" applyBorder="1" applyAlignment="1">
      <alignment horizontal="center" vertical="center"/>
    </xf>
    <xf numFmtId="0" fontId="11" fillId="3" borderId="203" xfId="0" applyFont="1" applyFill="1" applyBorder="1" applyAlignment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3" fillId="3" borderId="22" xfId="0" applyFont="1" applyFill="1" applyBorder="1" applyAlignment="1" applyProtection="1">
      <alignment horizontal="center" vertical="center"/>
      <protection locked="0"/>
    </xf>
    <xf numFmtId="176" fontId="57" fillId="6" borderId="91" xfId="0" applyNumberFormat="1" applyFont="1" applyFill="1" applyBorder="1" applyAlignment="1">
      <alignment horizontal="center" vertical="center"/>
    </xf>
    <xf numFmtId="176" fontId="57" fillId="6" borderId="92" xfId="0" applyNumberFormat="1" applyFont="1" applyFill="1" applyBorder="1" applyAlignment="1">
      <alignment horizontal="center" vertical="center"/>
    </xf>
    <xf numFmtId="0" fontId="52" fillId="6" borderId="32" xfId="0" applyFont="1" applyFill="1" applyBorder="1" applyAlignment="1">
      <alignment horizontal="center" vertical="center"/>
    </xf>
    <xf numFmtId="0" fontId="52" fillId="6" borderId="0" xfId="0" applyFont="1" applyFill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32" xfId="0" applyFont="1" applyBorder="1" applyAlignment="1">
      <alignment horizontal="center" vertical="center"/>
    </xf>
    <xf numFmtId="9" fontId="55" fillId="6" borderId="162" xfId="0" applyNumberFormat="1" applyFont="1" applyFill="1" applyBorder="1" applyAlignment="1">
      <alignment horizontal="center" vertical="center" wrapText="1"/>
    </xf>
    <xf numFmtId="9" fontId="55" fillId="6" borderId="139" xfId="0" applyNumberFormat="1" applyFont="1" applyFill="1" applyBorder="1" applyAlignment="1">
      <alignment horizontal="center" vertical="center" wrapText="1"/>
    </xf>
    <xf numFmtId="0" fontId="54" fillId="6" borderId="85" xfId="0" applyFont="1" applyFill="1" applyBorder="1" applyAlignment="1">
      <alignment horizontal="center" vertical="center"/>
    </xf>
    <xf numFmtId="0" fontId="54" fillId="6" borderId="14" xfId="0" applyFont="1" applyFill="1" applyBorder="1" applyAlignment="1">
      <alignment horizontal="center" vertical="center"/>
    </xf>
    <xf numFmtId="0" fontId="55" fillId="6" borderId="88" xfId="0" applyFont="1" applyFill="1" applyBorder="1" applyAlignment="1">
      <alignment horizontal="center" vertical="center"/>
    </xf>
    <xf numFmtId="0" fontId="55" fillId="6" borderId="28" xfId="0" applyFont="1" applyFill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17" borderId="85" xfId="0" applyFont="1" applyFill="1" applyBorder="1" applyAlignment="1">
      <alignment horizontal="center" vertical="center"/>
    </xf>
    <xf numFmtId="0" fontId="41" fillId="17" borderId="10" xfId="0" applyFont="1" applyFill="1" applyBorder="1" applyAlignment="1">
      <alignment horizontal="center" vertical="center"/>
    </xf>
    <xf numFmtId="0" fontId="41" fillId="17" borderId="14" xfId="0" applyFont="1" applyFill="1" applyBorder="1" applyAlignment="1">
      <alignment horizontal="center" vertical="center"/>
    </xf>
    <xf numFmtId="42" fontId="42" fillId="17" borderId="119" xfId="0" applyNumberFormat="1" applyFont="1" applyFill="1" applyBorder="1" applyAlignment="1">
      <alignment horizontal="center" vertical="center"/>
    </xf>
    <xf numFmtId="42" fontId="42" fillId="17" borderId="139" xfId="0" applyNumberFormat="1" applyFont="1" applyFill="1" applyBorder="1" applyAlignment="1">
      <alignment horizontal="center" vertical="center"/>
    </xf>
    <xf numFmtId="42" fontId="43" fillId="17" borderId="119" xfId="0" applyNumberFormat="1" applyFont="1" applyFill="1" applyBorder="1" applyAlignment="1">
      <alignment horizontal="center" vertical="center"/>
    </xf>
    <xf numFmtId="42" fontId="43" fillId="17" borderId="139" xfId="0" applyNumberFormat="1" applyFont="1" applyFill="1" applyBorder="1" applyAlignment="1">
      <alignment horizontal="center" vertical="center"/>
    </xf>
    <xf numFmtId="0" fontId="41" fillId="0" borderId="86" xfId="0" applyFont="1" applyBorder="1" applyAlignment="1">
      <alignment horizontal="center" vertical="center" wrapText="1"/>
    </xf>
    <xf numFmtId="0" fontId="41" fillId="0" borderId="87" xfId="0" applyFont="1" applyBorder="1" applyAlignment="1">
      <alignment horizontal="center" vertical="center" wrapText="1"/>
    </xf>
    <xf numFmtId="0" fontId="41" fillId="0" borderId="121" xfId="0" applyFont="1" applyBorder="1" applyAlignment="1">
      <alignment horizontal="center" vertical="center" wrapText="1"/>
    </xf>
    <xf numFmtId="0" fontId="41" fillId="0" borderId="122" xfId="0" applyFont="1" applyBorder="1" applyAlignment="1">
      <alignment horizontal="center" vertical="center" wrapText="1"/>
    </xf>
    <xf numFmtId="0" fontId="41" fillId="0" borderId="86" xfId="0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/>
    </xf>
    <xf numFmtId="0" fontId="41" fillId="0" borderId="38" xfId="0" applyFont="1" applyBorder="1" applyAlignment="1">
      <alignment horizontal="center" vertical="center"/>
    </xf>
    <xf numFmtId="42" fontId="42" fillId="0" borderId="42" xfId="0" applyNumberFormat="1" applyFont="1" applyBorder="1" applyAlignment="1">
      <alignment horizontal="center" vertical="center" wrapText="1"/>
    </xf>
    <xf numFmtId="42" fontId="42" fillId="0" borderId="35" xfId="0" applyNumberFormat="1" applyFont="1" applyBorder="1" applyAlignment="1">
      <alignment horizontal="center" vertical="center" wrapText="1"/>
    </xf>
    <xf numFmtId="0" fontId="41" fillId="0" borderId="127" xfId="0" applyFont="1" applyBorder="1" applyAlignment="1">
      <alignment horizontal="center" vertical="center" wrapText="1"/>
    </xf>
    <xf numFmtId="0" fontId="41" fillId="0" borderId="123" xfId="0" applyFont="1" applyBorder="1" applyAlignment="1">
      <alignment horizontal="center" vertical="center" wrapText="1"/>
    </xf>
    <xf numFmtId="0" fontId="41" fillId="0" borderId="70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0" fontId="41" fillId="0" borderId="109" xfId="0" applyFont="1" applyBorder="1" applyAlignment="1">
      <alignment horizontal="center" vertical="center"/>
    </xf>
    <xf numFmtId="0" fontId="41" fillId="0" borderId="110" xfId="0" applyFont="1" applyBorder="1" applyAlignment="1">
      <alignment horizontal="center" vertical="center"/>
    </xf>
    <xf numFmtId="0" fontId="41" fillId="0" borderId="111" xfId="0" applyFont="1" applyBorder="1" applyAlignment="1">
      <alignment horizontal="center" vertical="center"/>
    </xf>
    <xf numFmtId="0" fontId="41" fillId="0" borderId="124" xfId="0" applyFont="1" applyBorder="1" applyAlignment="1">
      <alignment horizontal="center" vertical="center"/>
    </xf>
    <xf numFmtId="0" fontId="41" fillId="0" borderId="52" xfId="0" applyFont="1" applyBorder="1" applyAlignment="1">
      <alignment horizontal="center" vertical="center"/>
    </xf>
    <xf numFmtId="0" fontId="41" fillId="0" borderId="125" xfId="0" applyFont="1" applyBorder="1" applyAlignment="1">
      <alignment horizontal="center" vertical="center"/>
    </xf>
    <xf numFmtId="0" fontId="41" fillId="0" borderId="103" xfId="0" applyFont="1" applyBorder="1" applyAlignment="1">
      <alignment horizontal="center" vertical="center"/>
    </xf>
    <xf numFmtId="0" fontId="41" fillId="0" borderId="104" xfId="0" applyFont="1" applyBorder="1" applyAlignment="1">
      <alignment horizontal="center" vertical="center"/>
    </xf>
    <xf numFmtId="0" fontId="41" fillId="0" borderId="112" xfId="0" applyFont="1" applyBorder="1" applyAlignment="1">
      <alignment horizontal="center" vertical="center"/>
    </xf>
    <xf numFmtId="0" fontId="41" fillId="0" borderId="113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114" xfId="0" applyFont="1" applyBorder="1" applyAlignment="1">
      <alignment horizontal="center" vertical="center"/>
    </xf>
    <xf numFmtId="42" fontId="40" fillId="0" borderId="0" xfId="0" applyNumberFormat="1" applyFont="1" applyAlignment="1">
      <alignment horizontal="center" vertical="center"/>
    </xf>
    <xf numFmtId="42" fontId="40" fillId="0" borderId="98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1" fillId="0" borderId="101" xfId="0" applyFont="1" applyBorder="1" applyAlignment="1">
      <alignment horizontal="center" vertical="center"/>
    </xf>
    <xf numFmtId="0" fontId="41" fillId="0" borderId="102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20" xfId="0" applyFont="1" applyBorder="1" applyAlignment="1">
      <alignment horizontal="center" vertical="center"/>
    </xf>
    <xf numFmtId="0" fontId="41" fillId="0" borderId="131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42" fontId="41" fillId="0" borderId="105" xfId="0" applyNumberFormat="1" applyFont="1" applyBorder="1" applyAlignment="1">
      <alignment horizontal="center" vertical="center"/>
    </xf>
    <xf numFmtId="42" fontId="41" fillId="0" borderId="106" xfId="0" applyNumberFormat="1" applyFont="1" applyBorder="1" applyAlignment="1">
      <alignment horizontal="center" vertical="center"/>
    </xf>
    <xf numFmtId="0" fontId="41" fillId="0" borderId="188" xfId="0" applyFont="1" applyBorder="1" applyAlignment="1">
      <alignment horizontal="center" vertical="center"/>
    </xf>
    <xf numFmtId="0" fontId="41" fillId="0" borderId="189" xfId="0" applyFont="1" applyBorder="1" applyAlignment="1">
      <alignment horizontal="center" vertical="center"/>
    </xf>
    <xf numFmtId="0" fontId="41" fillId="0" borderId="104" xfId="0" applyFont="1" applyBorder="1" applyAlignment="1">
      <alignment horizontal="center" vertical="center" wrapText="1"/>
    </xf>
    <xf numFmtId="0" fontId="41" fillId="0" borderId="107" xfId="0" applyFont="1" applyBorder="1" applyAlignment="1">
      <alignment horizontal="center" vertical="center" wrapText="1"/>
    </xf>
    <xf numFmtId="0" fontId="41" fillId="0" borderId="108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41" fillId="0" borderId="87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9" borderId="117" xfId="0" applyFont="1" applyFill="1" applyBorder="1" applyAlignment="1">
      <alignment horizontal="center" vertical="center"/>
    </xf>
    <xf numFmtId="0" fontId="46" fillId="9" borderId="74" xfId="0" applyFont="1" applyFill="1" applyBorder="1" applyAlignment="1">
      <alignment horizontal="center" vertical="center"/>
    </xf>
    <xf numFmtId="0" fontId="46" fillId="9" borderId="34" xfId="0" applyFont="1" applyFill="1" applyBorder="1" applyAlignment="1">
      <alignment horizontal="center" vertical="center"/>
    </xf>
    <xf numFmtId="0" fontId="46" fillId="9" borderId="118" xfId="0" applyFont="1" applyFill="1" applyBorder="1" applyAlignment="1">
      <alignment horizontal="center" vertical="center"/>
    </xf>
    <xf numFmtId="0" fontId="46" fillId="9" borderId="129" xfId="0" applyFont="1" applyFill="1" applyBorder="1" applyAlignment="1">
      <alignment horizontal="center" vertical="center"/>
    </xf>
    <xf numFmtId="0" fontId="46" fillId="9" borderId="137" xfId="0" applyFont="1" applyFill="1" applyBorder="1" applyAlignment="1">
      <alignment horizontal="center" vertical="center"/>
    </xf>
    <xf numFmtId="0" fontId="41" fillId="0" borderId="119" xfId="0" applyFont="1" applyBorder="1" applyAlignment="1">
      <alignment horizontal="center" vertical="center" wrapText="1"/>
    </xf>
    <xf numFmtId="0" fontId="41" fillId="0" borderId="142" xfId="0" applyFont="1" applyBorder="1" applyAlignment="1">
      <alignment horizontal="center" vertical="center" wrapText="1"/>
    </xf>
    <xf numFmtId="0" fontId="41" fillId="4" borderId="167" xfId="0" applyFont="1" applyFill="1" applyBorder="1" applyAlignment="1">
      <alignment horizontal="center" vertical="center" wrapText="1"/>
    </xf>
    <xf numFmtId="0" fontId="41" fillId="4" borderId="168" xfId="0" applyFont="1" applyFill="1" applyBorder="1" applyAlignment="1">
      <alignment horizontal="center" vertical="center" wrapText="1"/>
    </xf>
    <xf numFmtId="0" fontId="41" fillId="9" borderId="119" xfId="0" applyFont="1" applyFill="1" applyBorder="1" applyAlignment="1">
      <alignment horizontal="center" vertical="center"/>
    </xf>
    <xf numFmtId="0" fontId="41" fillId="9" borderId="130" xfId="0" applyFont="1" applyFill="1" applyBorder="1" applyAlignment="1">
      <alignment horizontal="center" vertical="center"/>
    </xf>
    <xf numFmtId="0" fontId="41" fillId="9" borderId="139" xfId="0" applyFont="1" applyFill="1" applyBorder="1" applyAlignment="1">
      <alignment horizontal="center" vertical="center"/>
    </xf>
    <xf numFmtId="42" fontId="62" fillId="0" borderId="119" xfId="0" applyNumberFormat="1" applyFont="1" applyBorder="1" applyAlignment="1">
      <alignment horizontal="center" vertical="center" wrapText="1"/>
    </xf>
    <xf numFmtId="42" fontId="62" fillId="0" borderId="130" xfId="0" applyNumberFormat="1" applyFont="1" applyBorder="1" applyAlignment="1">
      <alignment horizontal="center" vertical="center" wrapText="1"/>
    </xf>
    <xf numFmtId="42" fontId="62" fillId="0" borderId="139" xfId="0" applyNumberFormat="1" applyFont="1" applyBorder="1" applyAlignment="1">
      <alignment horizontal="center" vertical="center" wrapText="1"/>
    </xf>
    <xf numFmtId="0" fontId="41" fillId="17" borderId="115" xfId="0" applyFont="1" applyFill="1" applyBorder="1" applyAlignment="1">
      <alignment horizontal="center" vertical="center"/>
    </xf>
    <xf numFmtId="0" fontId="41" fillId="17" borderId="6" xfId="0" applyFont="1" applyFill="1" applyBorder="1" applyAlignment="1">
      <alignment horizontal="center" vertical="center"/>
    </xf>
    <xf numFmtId="0" fontId="41" fillId="17" borderId="4" xfId="0" applyFont="1" applyFill="1" applyBorder="1" applyAlignment="1">
      <alignment horizontal="center" vertical="center"/>
    </xf>
    <xf numFmtId="0" fontId="41" fillId="17" borderId="7" xfId="0" applyFont="1" applyFill="1" applyBorder="1" applyAlignment="1">
      <alignment horizontal="center" vertical="center"/>
    </xf>
    <xf numFmtId="0" fontId="46" fillId="9" borderId="116" xfId="0" applyFont="1" applyFill="1" applyBorder="1" applyAlignment="1">
      <alignment horizontal="center" vertical="center"/>
    </xf>
    <xf numFmtId="0" fontId="46" fillId="9" borderId="128" xfId="0" applyFont="1" applyFill="1" applyBorder="1" applyAlignment="1">
      <alignment horizontal="center" vertical="center"/>
    </xf>
    <xf numFmtId="0" fontId="46" fillId="9" borderId="140" xfId="0" applyFont="1" applyFill="1" applyBorder="1" applyAlignment="1">
      <alignment horizontal="center" vertical="center"/>
    </xf>
    <xf numFmtId="0" fontId="41" fillId="0" borderId="126" xfId="0" applyFont="1" applyBorder="1" applyAlignment="1">
      <alignment horizontal="center" vertical="center"/>
    </xf>
    <xf numFmtId="0" fontId="41" fillId="0" borderId="137" xfId="0" applyFont="1" applyBorder="1" applyAlignment="1">
      <alignment horizontal="center" vertical="center"/>
    </xf>
  </cellXfs>
  <cellStyles count="10">
    <cellStyle name="메모" xfId="2" builtinId="10"/>
    <cellStyle name="쉼표 [0]" xfId="1" builtinId="6"/>
    <cellStyle name="쉼표 [0] 2" xfId="4" xr:uid="{00000000-0005-0000-0000-000002000000}"/>
    <cellStyle name="쉼표 [0] 2 2" xfId="9" xr:uid="{00000000-0005-0000-0000-000002000000}"/>
    <cellStyle name="쉼표 [0] 3" xfId="7" xr:uid="{00000000-0005-0000-0000-000032000000}"/>
    <cellStyle name="좋음" xfId="5" builtinId="26"/>
    <cellStyle name="통화 [0] 2" xfId="3" xr:uid="{00000000-0005-0000-0000-000004000000}"/>
    <cellStyle name="통화 [0] 2 2" xfId="8" xr:uid="{00000000-0005-0000-0000-000004000000}"/>
    <cellStyle name="표준" xfId="0" builtinId="0"/>
    <cellStyle name="표준 2" xfId="6" xr:uid="{25882A6A-ED29-4FDD-B6FA-4208AEF61BC9}"/>
  </cellStyles>
  <dxfs count="761">
    <dxf>
      <font>
        <color rgb="FF9C0006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1.%2025&#45380;8&#50900;%20II%20&#54032;&#47588;&#51068;&#48372;-&#44536;&#46972;&#524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14999847407452621"/>
  </sheetPr>
  <dimension ref="A1:BJ89"/>
  <sheetViews>
    <sheetView view="pageBreakPreview" topLeftCell="AA1" zoomScale="25" zoomScaleNormal="25" zoomScaleSheetLayoutView="25" workbookViewId="0">
      <pane ySplit="7" topLeftCell="A8" activePane="bottomLeft" state="frozen"/>
      <selection activeCell="G27" sqref="G27"/>
      <selection pane="bottomLeft" activeCell="BD16" sqref="BD16:BE16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43.3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156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45901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952725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11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371500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'1'!AA1</f>
        <v>45901</v>
      </c>
      <c r="AM2" s="863"/>
      <c r="AN2" s="863"/>
      <c r="AO2" s="864"/>
      <c r="AP2" s="865" t="s">
        <v>10</v>
      </c>
      <c r="AQ2" s="866"/>
      <c r="AR2" s="866"/>
      <c r="AS2" s="863">
        <f>AA1+1</f>
        <v>45902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952725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371500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6</v>
      </c>
      <c r="O4" s="299">
        <f>SUM(COUNTIF(B8:B67,{201,202,203,205,206,207,208,209,506,507,508,509,601,602,603,605,606,607,608,609}))</f>
        <v>0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178</v>
      </c>
      <c r="AG5" s="354" t="s">
        <v>179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-1</v>
      </c>
      <c r="D6" s="356">
        <f>AN31</f>
        <v>3</v>
      </c>
      <c r="E6" s="356">
        <f>AP31</f>
        <v>7</v>
      </c>
      <c r="F6" s="356">
        <f>AR31</f>
        <v>1</v>
      </c>
      <c r="G6" s="356">
        <f>AS31</f>
        <v>7</v>
      </c>
      <c r="H6" s="356">
        <f>AU31</f>
        <v>4</v>
      </c>
      <c r="I6" s="356">
        <f>AW31</f>
        <v>5</v>
      </c>
      <c r="J6" s="356">
        <f>AX31</f>
        <v>0</v>
      </c>
      <c r="K6" s="606"/>
      <c r="L6" s="607"/>
      <c r="M6" s="356"/>
      <c r="N6" s="606">
        <f>C6+D6+E6+F6+G6+H6+I6+J6+K6</f>
        <v>26</v>
      </c>
      <c r="O6" s="602"/>
      <c r="P6" s="599">
        <f>C2</f>
        <v>952725</v>
      </c>
      <c r="Q6" s="600"/>
      <c r="R6" s="300">
        <f>AN14+AN15</f>
        <v>0</v>
      </c>
      <c r="S6" s="300">
        <f>AZ14+AZ15</f>
        <v>0</v>
      </c>
      <c r="T6" s="300">
        <f>AR14+AR15</f>
        <v>86000</v>
      </c>
      <c r="U6" s="609">
        <f>AS60</f>
        <v>120000</v>
      </c>
      <c r="V6" s="600"/>
      <c r="W6" s="609">
        <f>AS61</f>
        <v>255000</v>
      </c>
      <c r="X6" s="600"/>
      <c r="Y6" s="609">
        <f>AS62</f>
        <v>0</v>
      </c>
      <c r="Z6" s="600"/>
      <c r="AA6" s="300">
        <f>AS63</f>
        <v>0</v>
      </c>
      <c r="AB6" s="300">
        <f>AS66</f>
        <v>397800</v>
      </c>
      <c r="AC6" s="300">
        <f>AS67</f>
        <v>0</v>
      </c>
      <c r="AD6" s="300">
        <f>SUMIFS(O7:O47,C7:C47,"트립")</f>
        <v>93925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375" t="s">
        <v>75</v>
      </c>
      <c r="C7" s="194" t="s">
        <v>13</v>
      </c>
      <c r="D7" s="194" t="s">
        <v>131</v>
      </c>
      <c r="E7" s="194" t="s">
        <v>132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132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1210</v>
      </c>
      <c r="C8" s="230" t="s">
        <v>191</v>
      </c>
      <c r="D8" s="231" t="s">
        <v>204</v>
      </c>
      <c r="E8" s="215"/>
      <c r="F8" s="231" t="s">
        <v>325</v>
      </c>
      <c r="G8" s="232" t="s">
        <v>163</v>
      </c>
      <c r="H8" s="215" t="s">
        <v>164</v>
      </c>
      <c r="I8" s="215" t="s">
        <v>165</v>
      </c>
      <c r="J8" s="233" t="s">
        <v>189</v>
      </c>
      <c r="K8" s="215"/>
      <c r="L8" s="234"/>
      <c r="M8" s="234"/>
      <c r="N8" s="234"/>
      <c r="O8" s="218">
        <v>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319">
        <v>308</v>
      </c>
      <c r="C9" s="230" t="s">
        <v>70</v>
      </c>
      <c r="D9" s="231" t="s">
        <v>205</v>
      </c>
      <c r="E9" s="214"/>
      <c r="F9" s="231" t="s">
        <v>55</v>
      </c>
      <c r="G9" s="232" t="s">
        <v>173</v>
      </c>
      <c r="H9" s="215" t="s">
        <v>164</v>
      </c>
      <c r="I9" s="215" t="s">
        <v>165</v>
      </c>
      <c r="J9" s="233" t="s">
        <v>189</v>
      </c>
      <c r="K9" s="215"/>
      <c r="L9" s="234"/>
      <c r="M9" s="234"/>
      <c r="N9" s="234"/>
      <c r="O9" s="218">
        <v>397800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319">
        <v>309</v>
      </c>
      <c r="C10" s="230" t="s">
        <v>70</v>
      </c>
      <c r="D10" s="231" t="s">
        <v>206</v>
      </c>
      <c r="E10" s="214"/>
      <c r="F10" s="231" t="s">
        <v>55</v>
      </c>
      <c r="G10" s="232" t="s">
        <v>173</v>
      </c>
      <c r="H10" s="215" t="s">
        <v>164</v>
      </c>
      <c r="I10" s="215" t="s">
        <v>165</v>
      </c>
      <c r="J10" s="233" t="s">
        <v>189</v>
      </c>
      <c r="K10" s="215"/>
      <c r="L10" s="234"/>
      <c r="M10" s="234"/>
      <c r="N10" s="234"/>
      <c r="O10" s="218">
        <v>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80000</v>
      </c>
      <c r="AS10" s="627"/>
      <c r="AT10" s="625">
        <f>COUNTA($O$8:$O$67)</f>
        <v>10</v>
      </c>
      <c r="AU10" s="625"/>
      <c r="AV10" s="625">
        <f>SUM(O8:O67)</f>
        <v>866725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11</v>
      </c>
      <c r="BC10" s="799"/>
      <c r="BD10" s="800">
        <f>SUM(AN10+AR10+AV10+AZ10)</f>
        <v>946725</v>
      </c>
      <c r="BE10" s="801"/>
    </row>
    <row r="11" spans="1:58" ht="64.5" customHeight="1" x14ac:dyDescent="0.3">
      <c r="A11" s="228">
        <v>4</v>
      </c>
      <c r="B11" s="319">
        <v>805</v>
      </c>
      <c r="C11" s="230" t="s">
        <v>207</v>
      </c>
      <c r="D11" s="231" t="s">
        <v>208</v>
      </c>
      <c r="E11" s="214" t="s">
        <v>318</v>
      </c>
      <c r="F11" s="231" t="s">
        <v>167</v>
      </c>
      <c r="G11" s="232" t="s">
        <v>209</v>
      </c>
      <c r="H11" s="215" t="s">
        <v>164</v>
      </c>
      <c r="I11" s="215" t="s">
        <v>165</v>
      </c>
      <c r="J11" s="215" t="s">
        <v>210</v>
      </c>
      <c r="K11" s="215" t="s">
        <v>319</v>
      </c>
      <c r="L11" s="234"/>
      <c r="M11" s="234"/>
      <c r="N11" s="234"/>
      <c r="O11" s="218">
        <v>130000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1216</v>
      </c>
      <c r="C12" s="230" t="s">
        <v>301</v>
      </c>
      <c r="D12" s="437" t="s">
        <v>317</v>
      </c>
      <c r="E12" s="214" t="s">
        <v>331</v>
      </c>
      <c r="F12" s="231" t="s">
        <v>302</v>
      </c>
      <c r="G12" s="232" t="s">
        <v>163</v>
      </c>
      <c r="H12" s="215" t="s">
        <v>164</v>
      </c>
      <c r="I12" s="215" t="s">
        <v>165</v>
      </c>
      <c r="J12" s="215" t="s">
        <v>299</v>
      </c>
      <c r="K12" s="215"/>
      <c r="L12" s="234"/>
      <c r="M12" s="234"/>
      <c r="N12" s="234"/>
      <c r="O12" s="218">
        <v>93925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319"/>
      <c r="C13" s="318" t="s">
        <v>394</v>
      </c>
      <c r="D13" s="251" t="s">
        <v>303</v>
      </c>
      <c r="E13" s="438" t="s">
        <v>314</v>
      </c>
      <c r="F13" s="251"/>
      <c r="G13" s="331" t="s">
        <v>283</v>
      </c>
      <c r="H13" s="217" t="s">
        <v>164</v>
      </c>
      <c r="I13" s="217" t="s">
        <v>165</v>
      </c>
      <c r="J13" s="217" t="s">
        <v>304</v>
      </c>
      <c r="K13" s="217"/>
      <c r="L13" s="254"/>
      <c r="M13" s="254">
        <v>80000</v>
      </c>
      <c r="N13" s="254"/>
      <c r="O13" s="224"/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19">
        <v>1115</v>
      </c>
      <c r="C14" s="318" t="s">
        <v>281</v>
      </c>
      <c r="D14" s="251" t="s">
        <v>306</v>
      </c>
      <c r="E14" s="231" t="s">
        <v>296</v>
      </c>
      <c r="F14" s="251" t="s">
        <v>325</v>
      </c>
      <c r="G14" s="232" t="s">
        <v>283</v>
      </c>
      <c r="H14" s="215" t="s">
        <v>164</v>
      </c>
      <c r="I14" s="215" t="s">
        <v>165</v>
      </c>
      <c r="J14" s="215" t="s">
        <v>304</v>
      </c>
      <c r="K14" s="215"/>
      <c r="L14" s="234"/>
      <c r="M14" s="302"/>
      <c r="N14" s="234"/>
      <c r="O14" s="218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80000</v>
      </c>
      <c r="AS14" s="653"/>
      <c r="AT14" s="653">
        <f t="shared" ref="AT14" si="1">SUM(AT10:AU11)</f>
        <v>10</v>
      </c>
      <c r="AU14" s="653"/>
      <c r="AV14" s="653">
        <f>SUM(AV10:AW13)</f>
        <v>866725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11</v>
      </c>
      <c r="BC14" s="655"/>
      <c r="BD14" s="782">
        <f>SUM(BD10:BE13)</f>
        <v>946725</v>
      </c>
      <c r="BE14" s="783"/>
    </row>
    <row r="15" spans="1:58" ht="64.5" customHeight="1" thickBot="1" x14ac:dyDescent="0.35">
      <c r="A15" s="228">
        <v>8</v>
      </c>
      <c r="B15" s="319">
        <v>1116</v>
      </c>
      <c r="C15" s="230" t="s">
        <v>292</v>
      </c>
      <c r="D15" s="251" t="s">
        <v>320</v>
      </c>
      <c r="E15" s="215" t="s">
        <v>296</v>
      </c>
      <c r="F15" s="251"/>
      <c r="G15" s="232" t="s">
        <v>283</v>
      </c>
      <c r="H15" s="215" t="s">
        <v>164</v>
      </c>
      <c r="I15" s="215" t="s">
        <v>165</v>
      </c>
      <c r="J15" s="233" t="s">
        <v>304</v>
      </c>
      <c r="K15" s="215" t="s">
        <v>319</v>
      </c>
      <c r="L15" s="234"/>
      <c r="M15" s="302"/>
      <c r="N15" s="234"/>
      <c r="O15" s="220">
        <v>60000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71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3</v>
      </c>
      <c r="AQ15" s="633"/>
      <c r="AR15" s="632">
        <f>AR24</f>
        <v>6000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3</v>
      </c>
      <c r="BC15" s="633"/>
      <c r="BD15" s="776">
        <f>SUM(AN15+AR15+AV15+AZ15)</f>
        <v>6000</v>
      </c>
      <c r="BE15" s="777"/>
    </row>
    <row r="16" spans="1:58" ht="64.5" customHeight="1" thickBot="1" x14ac:dyDescent="0.35">
      <c r="A16" s="228">
        <v>9</v>
      </c>
      <c r="B16" s="319">
        <v>809</v>
      </c>
      <c r="C16" s="230" t="s">
        <v>281</v>
      </c>
      <c r="D16" s="251" t="s">
        <v>322</v>
      </c>
      <c r="E16" s="231"/>
      <c r="F16" s="251" t="s">
        <v>289</v>
      </c>
      <c r="G16" s="232" t="s">
        <v>283</v>
      </c>
      <c r="H16" s="215" t="s">
        <v>164</v>
      </c>
      <c r="I16" s="215" t="s">
        <v>165</v>
      </c>
      <c r="J16" s="233" t="s">
        <v>189</v>
      </c>
      <c r="K16" s="215"/>
      <c r="L16" s="234"/>
      <c r="M16" s="302"/>
      <c r="N16" s="234"/>
      <c r="O16" s="224">
        <v>65000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952725</v>
      </c>
      <c r="BE16" s="652"/>
      <c r="BF16" s="10"/>
    </row>
    <row r="17" spans="1:62" ht="64.5" customHeight="1" thickBot="1" x14ac:dyDescent="0.35">
      <c r="A17" s="228">
        <v>10</v>
      </c>
      <c r="B17" s="319">
        <v>902</v>
      </c>
      <c r="C17" s="230" t="s">
        <v>191</v>
      </c>
      <c r="D17" s="251" t="s">
        <v>323</v>
      </c>
      <c r="E17" s="215"/>
      <c r="F17" s="251" t="s">
        <v>324</v>
      </c>
      <c r="G17" s="232" t="s">
        <v>283</v>
      </c>
      <c r="H17" s="215" t="s">
        <v>164</v>
      </c>
      <c r="I17" s="215" t="s">
        <v>165</v>
      </c>
      <c r="J17" s="233" t="s">
        <v>189</v>
      </c>
      <c r="K17" s="215"/>
      <c r="L17" s="234"/>
      <c r="M17" s="302"/>
      <c r="N17" s="234"/>
      <c r="O17" s="220">
        <v>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19">
        <v>1114</v>
      </c>
      <c r="C18" s="230" t="s">
        <v>292</v>
      </c>
      <c r="D18" s="251" t="s">
        <v>328</v>
      </c>
      <c r="E18" s="215" t="s">
        <v>296</v>
      </c>
      <c r="F18" s="251" t="s">
        <v>325</v>
      </c>
      <c r="G18" s="232" t="s">
        <v>283</v>
      </c>
      <c r="H18" s="215" t="s">
        <v>164</v>
      </c>
      <c r="I18" s="215" t="s">
        <v>165</v>
      </c>
      <c r="J18" s="215" t="s">
        <v>299</v>
      </c>
      <c r="K18" s="215" t="s">
        <v>319</v>
      </c>
      <c r="L18" s="234"/>
      <c r="M18" s="302"/>
      <c r="N18" s="234"/>
      <c r="O18" s="218">
        <v>60000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76"/>
      <c r="C19" s="230"/>
      <c r="D19" s="251"/>
      <c r="E19" s="215"/>
      <c r="F19" s="251"/>
      <c r="G19" s="232"/>
      <c r="H19" s="215"/>
      <c r="I19" s="215"/>
      <c r="J19" s="233"/>
      <c r="K19" s="215"/>
      <c r="L19" s="234"/>
      <c r="M19" s="302"/>
      <c r="N19" s="234"/>
      <c r="O19" s="218"/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19"/>
      <c r="C20" s="230"/>
      <c r="D20" s="251"/>
      <c r="E20" s="215"/>
      <c r="F20" s="251"/>
      <c r="G20" s="232"/>
      <c r="H20" s="215"/>
      <c r="I20" s="215"/>
      <c r="J20" s="233"/>
      <c r="K20" s="215"/>
      <c r="L20" s="234"/>
      <c r="M20" s="302"/>
      <c r="N20" s="234"/>
      <c r="O20" s="218"/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3</v>
      </c>
      <c r="AQ20" s="655"/>
      <c r="AR20" s="654">
        <f>AP20*2000</f>
        <v>6000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3</v>
      </c>
      <c r="AY20" s="647"/>
      <c r="AZ20" s="648">
        <f>SUM(AJ20+AN20+AR20+AV20)</f>
        <v>6000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19"/>
      <c r="C21" s="230"/>
      <c r="D21" s="251"/>
      <c r="E21" s="215"/>
      <c r="F21" s="251"/>
      <c r="G21" s="232"/>
      <c r="H21" s="215"/>
      <c r="I21" s="215"/>
      <c r="J21" s="233"/>
      <c r="K21" s="215"/>
      <c r="L21" s="234"/>
      <c r="M21" s="302"/>
      <c r="N21" s="234"/>
      <c r="O21" s="218"/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19"/>
      <c r="C22" s="230"/>
      <c r="D22" s="251"/>
      <c r="E22" s="215"/>
      <c r="F22" s="251"/>
      <c r="G22" s="232"/>
      <c r="H22" s="215"/>
      <c r="I22" s="215"/>
      <c r="J22" s="233"/>
      <c r="K22" s="215"/>
      <c r="L22" s="234"/>
      <c r="M22" s="302"/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19"/>
      <c r="C23" s="230"/>
      <c r="D23" s="251"/>
      <c r="E23" s="217"/>
      <c r="F23" s="251"/>
      <c r="G23" s="232"/>
      <c r="H23" s="215"/>
      <c r="I23" s="215"/>
      <c r="J23" s="215"/>
      <c r="K23" s="215"/>
      <c r="L23" s="234"/>
      <c r="M23" s="302"/>
      <c r="N23" s="23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19"/>
      <c r="C24" s="230"/>
      <c r="D24" s="251"/>
      <c r="E24" s="215"/>
      <c r="F24" s="251"/>
      <c r="G24" s="232"/>
      <c r="H24" s="215"/>
      <c r="I24" s="215"/>
      <c r="J24" s="215"/>
      <c r="K24" s="215"/>
      <c r="L24" s="234"/>
      <c r="M24" s="302"/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3</v>
      </c>
      <c r="AQ24" s="655"/>
      <c r="AR24" s="654">
        <f>SUM(AR20:AS23)</f>
        <v>6000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3</v>
      </c>
      <c r="AY24" s="647"/>
      <c r="AZ24" s="648">
        <f>SUM(AZ20:BA23)</f>
        <v>6000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19"/>
      <c r="C25" s="230"/>
      <c r="D25" s="251"/>
      <c r="E25" s="215"/>
      <c r="F25" s="251"/>
      <c r="G25" s="232"/>
      <c r="H25" s="215"/>
      <c r="I25" s="215"/>
      <c r="J25" s="215"/>
      <c r="K25" s="215"/>
      <c r="L25" s="303"/>
      <c r="M25" s="302"/>
      <c r="N25" s="234"/>
      <c r="O25" s="220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19"/>
      <c r="C26" s="318"/>
      <c r="D26" s="251"/>
      <c r="E26" s="215"/>
      <c r="F26" s="251"/>
      <c r="G26" s="232"/>
      <c r="H26" s="215"/>
      <c r="I26" s="215"/>
      <c r="J26" s="215"/>
      <c r="K26" s="215"/>
      <c r="L26" s="303"/>
      <c r="M26" s="302"/>
      <c r="N26" s="234"/>
      <c r="O26" s="220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319"/>
      <c r="C27" s="374"/>
      <c r="D27" s="251"/>
      <c r="E27" s="215"/>
      <c r="F27" s="251"/>
      <c r="G27" s="232"/>
      <c r="H27" s="215"/>
      <c r="I27" s="215"/>
      <c r="J27" s="215"/>
      <c r="K27" s="215"/>
      <c r="L27" s="303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319"/>
      <c r="C28" s="230"/>
      <c r="D28" s="251"/>
      <c r="E28" s="215"/>
      <c r="F28" s="251"/>
      <c r="G28" s="232"/>
      <c r="H28" s="215"/>
      <c r="I28" s="215"/>
      <c r="J28" s="215"/>
      <c r="K28" s="238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319"/>
      <c r="C29" s="230"/>
      <c r="D29" s="373"/>
      <c r="E29" s="372"/>
      <c r="F29" s="373"/>
      <c r="G29" s="232"/>
      <c r="H29" s="215"/>
      <c r="I29" s="215"/>
      <c r="J29" s="215"/>
      <c r="K29" s="215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9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/>
      <c r="C30" s="230"/>
      <c r="D30" s="230"/>
      <c r="E30" s="215"/>
      <c r="F30" s="251"/>
      <c r="G30" s="232"/>
      <c r="H30" s="215"/>
      <c r="I30" s="215"/>
      <c r="J30" s="215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6</v>
      </c>
      <c r="AM30" s="828"/>
      <c r="AN30" s="829">
        <f>COUNTIF(F8:F67,"b")</f>
        <v>1</v>
      </c>
      <c r="AO30" s="829"/>
      <c r="AP30" s="830">
        <f>COUNTIF(F8:F67,"at")</f>
        <v>3</v>
      </c>
      <c r="AQ30" s="830"/>
      <c r="AR30" s="323">
        <f>COUNTIF(F8:F67,"aD")</f>
        <v>1</v>
      </c>
      <c r="AS30" s="830">
        <f>COUNTIF(F8:F67,"sd")</f>
        <v>2</v>
      </c>
      <c r="AT30" s="830"/>
      <c r="AU30" s="830">
        <f>COUNTIF(F8:F67,"st")</f>
        <v>1</v>
      </c>
      <c r="AV30" s="830"/>
      <c r="AW30" s="324">
        <f>COUNTIF(F8:F67,"v")</f>
        <v>0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/>
      <c r="C31" s="318"/>
      <c r="D31" s="231"/>
      <c r="E31" s="215"/>
      <c r="F31" s="251"/>
      <c r="G31" s="232"/>
      <c r="H31" s="215"/>
      <c r="I31" s="215"/>
      <c r="J31" s="215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-1</v>
      </c>
      <c r="AM31" s="815"/>
      <c r="AN31" s="816">
        <f>AN29-AN30</f>
        <v>3</v>
      </c>
      <c r="AO31" s="816"/>
      <c r="AP31" s="817">
        <f>AP29-AP30</f>
        <v>7</v>
      </c>
      <c r="AQ31" s="817"/>
      <c r="AR31" s="322">
        <f>AR29-AR30</f>
        <v>1</v>
      </c>
      <c r="AS31" s="817">
        <f>AS29-AS30</f>
        <v>7</v>
      </c>
      <c r="AT31" s="817"/>
      <c r="AU31" s="817">
        <f>AU29-AU30</f>
        <v>4</v>
      </c>
      <c r="AV31" s="817"/>
      <c r="AW31" s="322">
        <f>AW29-AW30</f>
        <v>5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19"/>
      <c r="C32" s="230"/>
      <c r="D32" s="231"/>
      <c r="E32" s="215"/>
      <c r="F32" s="251"/>
      <c r="G32" s="232"/>
      <c r="H32" s="215"/>
      <c r="I32" s="215"/>
      <c r="J32" s="215"/>
      <c r="K32" s="215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/>
      <c r="C33" s="230"/>
      <c r="D33" s="231"/>
      <c r="E33" s="215"/>
      <c r="F33" s="251"/>
      <c r="G33" s="232"/>
      <c r="H33" s="215"/>
      <c r="I33" s="215"/>
      <c r="J33" s="215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/>
      <c r="C34" s="230"/>
      <c r="D34" s="231"/>
      <c r="E34" s="215"/>
      <c r="F34" s="251"/>
      <c r="G34" s="232"/>
      <c r="H34" s="215"/>
      <c r="I34" s="215"/>
      <c r="J34" s="215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19"/>
      <c r="C35" s="230"/>
      <c r="D35" s="231"/>
      <c r="E35" s="214"/>
      <c r="F35" s="251"/>
      <c r="G35" s="232"/>
      <c r="H35" s="215"/>
      <c r="I35" s="215"/>
      <c r="J35" s="215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319"/>
      <c r="C36" s="230"/>
      <c r="D36" s="231"/>
      <c r="E36" s="214"/>
      <c r="F36" s="25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319"/>
      <c r="C37" s="230"/>
      <c r="D37" s="231"/>
      <c r="E37" s="215"/>
      <c r="F37" s="251"/>
      <c r="G37" s="232"/>
      <c r="H37" s="215"/>
      <c r="I37" s="215"/>
      <c r="J37" s="215"/>
      <c r="K37" s="215"/>
      <c r="L37" s="234"/>
      <c r="M37" s="234"/>
      <c r="N37" s="234"/>
      <c r="O37" s="220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319"/>
      <c r="C38" s="230"/>
      <c r="D38" s="231"/>
      <c r="E38" s="215"/>
      <c r="F38" s="25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319"/>
      <c r="C39" s="230"/>
      <c r="D39" s="231"/>
      <c r="E39" s="231"/>
      <c r="F39" s="251"/>
      <c r="G39" s="232"/>
      <c r="H39" s="215"/>
      <c r="I39" s="215"/>
      <c r="J39" s="215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19"/>
      <c r="C40" s="230"/>
      <c r="D40" s="231"/>
      <c r="E40" s="215"/>
      <c r="F40" s="251"/>
      <c r="G40" s="232"/>
      <c r="H40" s="215"/>
      <c r="I40" s="215"/>
      <c r="J40" s="233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19"/>
      <c r="C41" s="230"/>
      <c r="D41" s="231"/>
      <c r="E41" s="217"/>
      <c r="F41" s="231"/>
      <c r="G41" s="232"/>
      <c r="H41" s="215"/>
      <c r="I41" s="215"/>
      <c r="J41" s="233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319"/>
      <c r="C42" s="230"/>
      <c r="D42" s="231"/>
      <c r="E42" s="215"/>
      <c r="F42" s="231"/>
      <c r="G42" s="232"/>
      <c r="H42" s="215"/>
      <c r="I42" s="215"/>
      <c r="J42" s="237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319">
        <v>303</v>
      </c>
      <c r="C43" s="230" t="s">
        <v>281</v>
      </c>
      <c r="D43" s="231" t="s">
        <v>295</v>
      </c>
      <c r="E43" s="215" t="s">
        <v>296</v>
      </c>
      <c r="F43" s="231" t="s">
        <v>289</v>
      </c>
      <c r="G43" s="232" t="s">
        <v>291</v>
      </c>
      <c r="H43" s="215" t="s">
        <v>164</v>
      </c>
      <c r="I43" s="215" t="s">
        <v>165</v>
      </c>
      <c r="J43" s="233" t="s">
        <v>189</v>
      </c>
      <c r="K43" s="217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319">
        <v>307</v>
      </c>
      <c r="C44" s="230" t="s">
        <v>50</v>
      </c>
      <c r="D44" s="231" t="s">
        <v>297</v>
      </c>
      <c r="E44" s="215"/>
      <c r="F44" s="231" t="s">
        <v>277</v>
      </c>
      <c r="G44" s="232" t="s">
        <v>280</v>
      </c>
      <c r="H44" s="215" t="s">
        <v>278</v>
      </c>
      <c r="I44" s="215" t="s">
        <v>279</v>
      </c>
      <c r="J44" s="233" t="s">
        <v>276</v>
      </c>
      <c r="K44" s="215"/>
      <c r="L44" s="234"/>
      <c r="M44" s="234"/>
      <c r="N44" s="234"/>
      <c r="O44" s="218"/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319">
        <v>1206</v>
      </c>
      <c r="C45" s="230" t="s">
        <v>135</v>
      </c>
      <c r="D45" s="263" t="s">
        <v>253</v>
      </c>
      <c r="E45" s="215" t="s">
        <v>254</v>
      </c>
      <c r="F45" s="231" t="s">
        <v>255</v>
      </c>
      <c r="G45" s="232" t="s">
        <v>256</v>
      </c>
      <c r="H45" s="215" t="s">
        <v>164</v>
      </c>
      <c r="I45" s="215" t="s">
        <v>165</v>
      </c>
      <c r="J45" s="215" t="s">
        <v>189</v>
      </c>
      <c r="K45" s="215"/>
      <c r="L45" s="234"/>
      <c r="M45" s="234"/>
      <c r="N45" s="234"/>
      <c r="O45" s="218"/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319">
        <v>702</v>
      </c>
      <c r="C46" s="230" t="s">
        <v>70</v>
      </c>
      <c r="D46" s="231" t="s">
        <v>235</v>
      </c>
      <c r="E46" s="215"/>
      <c r="F46" s="231" t="s">
        <v>168</v>
      </c>
      <c r="G46" s="232" t="s">
        <v>236</v>
      </c>
      <c r="H46" s="215" t="s">
        <v>164</v>
      </c>
      <c r="I46" s="215" t="s">
        <v>165</v>
      </c>
      <c r="J46" s="215" t="s">
        <v>189</v>
      </c>
      <c r="K46" s="215"/>
      <c r="L46" s="234"/>
      <c r="M46" s="234"/>
      <c r="N46" s="234"/>
      <c r="O46" s="218"/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433">
        <v>305</v>
      </c>
      <c r="C47" s="434" t="s">
        <v>73</v>
      </c>
      <c r="D47" s="406" t="s">
        <v>194</v>
      </c>
      <c r="E47" s="407"/>
      <c r="F47" s="406" t="s">
        <v>55</v>
      </c>
      <c r="G47" s="408" t="s">
        <v>197</v>
      </c>
      <c r="H47" s="407" t="s">
        <v>164</v>
      </c>
      <c r="I47" s="407" t="s">
        <v>165</v>
      </c>
      <c r="J47" s="435" t="s">
        <v>193</v>
      </c>
      <c r="K47" s="407"/>
      <c r="L47" s="279"/>
      <c r="M47" s="279"/>
      <c r="N47" s="279"/>
      <c r="O47" s="280"/>
      <c r="P47" s="281">
        <v>40</v>
      </c>
      <c r="Q47" s="273"/>
      <c r="R47" s="274"/>
      <c r="S47" s="276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7"/>
      <c r="H48" s="266"/>
      <c r="I48" s="266"/>
      <c r="J48" s="266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3</v>
      </c>
      <c r="BB54" s="681"/>
      <c r="BC54" s="679">
        <f>AZ24</f>
        <v>6000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3</v>
      </c>
      <c r="BB55" s="681"/>
      <c r="BC55" s="679">
        <f>SUM(BC53:BE54)</f>
        <v>6000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3</v>
      </c>
      <c r="AQ60" s="56">
        <f>SUMIF($C$8:$C$72, $AK60, $L$8:$L$72)+SUMIF($C$8:$C$72, $AK60, $M$8:$M$72)+SUMIF($C$8:$C$72, $AK60, $N$8:$N$72)+SUMIF($C$8:$C$72, $AK60, $O$8:$O$72)</f>
        <v>120000</v>
      </c>
      <c r="AR60" s="57">
        <f>AQ60*0.9</f>
        <v>108000</v>
      </c>
      <c r="AS60" s="58">
        <f t="shared" ref="AS60:AS70" si="4">SUM(AN60+AQ60)</f>
        <v>120000</v>
      </c>
      <c r="AT60" s="59">
        <f t="shared" ref="AT60:AT70" si="5">AO60+AR60</f>
        <v>108000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5</v>
      </c>
      <c r="AQ61" s="56">
        <f t="shared" ref="AQ61:AQ70" si="8">SUMIF($C$8:$C$72, $AK61, $L$8:$L$72)+SUMIF($C$8:$C$72, $AK61, $M$8:$M$72)+SUMIF($C$8:$C$72, $AK61, $N$8:$N$72)+SUMIF($C$8:$C$72, $AK61, $O$8:$O$72)</f>
        <v>255000</v>
      </c>
      <c r="AR61" s="57">
        <f t="shared" ref="AR61:AR70" si="9">AQ61*0.9</f>
        <v>229500</v>
      </c>
      <c r="AS61" s="58">
        <f t="shared" si="4"/>
        <v>255000</v>
      </c>
      <c r="AT61" s="59">
        <f t="shared" si="5"/>
        <v>229500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49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397800</v>
      </c>
      <c r="AR66" s="57">
        <f t="shared" si="9"/>
        <v>358020</v>
      </c>
      <c r="AS66" s="58">
        <f t="shared" si="4"/>
        <v>397800</v>
      </c>
      <c r="AT66" s="59">
        <f t="shared" si="5"/>
        <v>358020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0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/>
      <c r="D68" s="251"/>
      <c r="E68" s="217"/>
      <c r="F68" s="250"/>
      <c r="G68" s="251"/>
      <c r="H68" s="217"/>
      <c r="I68" s="217"/>
      <c r="J68" s="217"/>
      <c r="K68" s="217"/>
      <c r="L68" s="253"/>
      <c r="M68" s="253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93925</v>
      </c>
      <c r="AR68" s="57">
        <f t="shared" si="9"/>
        <v>84532.5</v>
      </c>
      <c r="AS68" s="58">
        <f t="shared" si="4"/>
        <v>93925</v>
      </c>
      <c r="AT68" s="59">
        <f t="shared" si="5"/>
        <v>84532.5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866725</v>
      </c>
      <c r="BD68" s="656"/>
      <c r="BE68" s="655"/>
    </row>
    <row r="69" spans="1:57" ht="64.5" customHeight="1" x14ac:dyDescent="0.3">
      <c r="A69" s="659"/>
      <c r="B69" s="660"/>
      <c r="C69" s="230"/>
      <c r="D69" s="251"/>
      <c r="E69" s="217"/>
      <c r="F69" s="250"/>
      <c r="G69" s="251"/>
      <c r="H69" s="217"/>
      <c r="I69" s="217"/>
      <c r="J69" s="217"/>
      <c r="K69" s="217"/>
      <c r="L69" s="254"/>
      <c r="M69" s="254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30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6000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952725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13</v>
      </c>
      <c r="AQ73" s="22">
        <f t="shared" si="10"/>
        <v>866725</v>
      </c>
      <c r="AR73" s="23">
        <f t="shared" si="10"/>
        <v>780052.5</v>
      </c>
      <c r="AS73" s="24">
        <f t="shared" si="10"/>
        <v>866725</v>
      </c>
      <c r="AT73" s="25">
        <f t="shared" si="10"/>
        <v>780052.5</v>
      </c>
      <c r="AU73" s="692" t="s">
        <v>58</v>
      </c>
      <c r="AV73" s="693"/>
      <c r="AW73" s="693"/>
      <c r="AX73" s="693"/>
      <c r="AY73" s="694"/>
      <c r="AZ73" s="695">
        <f>AS58+AT73</f>
        <v>780052.5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sortState xmlns:xlrd2="http://schemas.microsoft.com/office/spreadsheetml/2017/richdata2" ref="B8:O32">
    <sortCondition ref="C8:C32"/>
  </sortState>
  <mergeCells count="307">
    <mergeCell ref="AZ15:BA15"/>
    <mergeCell ref="AR15:AS15"/>
    <mergeCell ref="AV15:AW15"/>
    <mergeCell ref="AL15:AM15"/>
    <mergeCell ref="AI18:AJ24"/>
    <mergeCell ref="AK18:AK19"/>
    <mergeCell ref="AL18:AO18"/>
    <mergeCell ref="AP18:AS18"/>
    <mergeCell ref="AT18:AW18"/>
    <mergeCell ref="AV24:AW24"/>
    <mergeCell ref="AV19:AW19"/>
    <mergeCell ref="AZ20:BA20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AL20:AM20"/>
    <mergeCell ref="AN20:AO20"/>
    <mergeCell ref="AP20:AQ20"/>
    <mergeCell ref="AR20:AS20"/>
    <mergeCell ref="AZ30:BA30"/>
    <mergeCell ref="AP28:AQ28"/>
    <mergeCell ref="AP29:AQ29"/>
    <mergeCell ref="AP30:AQ30"/>
    <mergeCell ref="AU28:AV28"/>
    <mergeCell ref="AU29:AV29"/>
    <mergeCell ref="AU30:AV30"/>
    <mergeCell ref="AX28:AY28"/>
    <mergeCell ref="AX29:AY29"/>
    <mergeCell ref="AX30:AY30"/>
    <mergeCell ref="A1:O1"/>
    <mergeCell ref="S1:Y3"/>
    <mergeCell ref="AI1:BE1"/>
    <mergeCell ref="A2:B3"/>
    <mergeCell ref="G2:G3"/>
    <mergeCell ref="H2:L2"/>
    <mergeCell ref="M2:M3"/>
    <mergeCell ref="H3:L3"/>
    <mergeCell ref="N3:O3"/>
    <mergeCell ref="N2:O2"/>
    <mergeCell ref="Z2:Z3"/>
    <mergeCell ref="AI2:AK2"/>
    <mergeCell ref="BA2:BE2"/>
    <mergeCell ref="AL2:AO2"/>
    <mergeCell ref="AP2:AR2"/>
    <mergeCell ref="C2:F3"/>
    <mergeCell ref="AS2:AY2"/>
    <mergeCell ref="AA1:AG1"/>
    <mergeCell ref="AB2:AG2"/>
    <mergeCell ref="AB3:AG3"/>
    <mergeCell ref="P68:Q76"/>
    <mergeCell ref="P1:R3"/>
    <mergeCell ref="AX15:AY15"/>
    <mergeCell ref="BD16:BE16"/>
    <mergeCell ref="BB16:BC16"/>
    <mergeCell ref="AL31:AM31"/>
    <mergeCell ref="AN31:AO31"/>
    <mergeCell ref="AP31:AQ31"/>
    <mergeCell ref="AS31:AT31"/>
    <mergeCell ref="AU31:AV31"/>
    <mergeCell ref="AX31:AY31"/>
    <mergeCell ref="AZ31:BA31"/>
    <mergeCell ref="AJ28:AK28"/>
    <mergeCell ref="AJ29:AK29"/>
    <mergeCell ref="AJ30:AK30"/>
    <mergeCell ref="AJ31:AK31"/>
    <mergeCell ref="AL30:AM30"/>
    <mergeCell ref="AN30:AO30"/>
    <mergeCell ref="AS30:AT30"/>
    <mergeCell ref="BB8:BE8"/>
    <mergeCell ref="AL9:AM9"/>
    <mergeCell ref="AP9:AQ9"/>
    <mergeCell ref="AR9:AS9"/>
    <mergeCell ref="AT9:AU9"/>
    <mergeCell ref="BB9:BC9"/>
    <mergeCell ref="BD9:BE9"/>
    <mergeCell ref="AL8:AO8"/>
    <mergeCell ref="AP8:AS8"/>
    <mergeCell ref="AT8:AW8"/>
    <mergeCell ref="AX8:BA8"/>
    <mergeCell ref="AZ10:BA10"/>
    <mergeCell ref="BB10:BC10"/>
    <mergeCell ref="BD10:BE10"/>
    <mergeCell ref="AR10:AS10"/>
    <mergeCell ref="AT10:AU10"/>
    <mergeCell ref="AV10:AW10"/>
    <mergeCell ref="AX10:AY10"/>
    <mergeCell ref="AV9:AW9"/>
    <mergeCell ref="AX9:AY9"/>
    <mergeCell ref="AZ9:BA9"/>
    <mergeCell ref="BB13:BC13"/>
    <mergeCell ref="BD11:BE11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BD12:BE12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AX13:AY13"/>
    <mergeCell ref="AZ13:BA13"/>
    <mergeCell ref="BB15:BC15"/>
    <mergeCell ref="BD15:BE15"/>
    <mergeCell ref="AX19:AY19"/>
    <mergeCell ref="AZ19:BA19"/>
    <mergeCell ref="BD13:BE13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AL13:AM13"/>
    <mergeCell ref="AN13:AO13"/>
    <mergeCell ref="AP13:AQ13"/>
    <mergeCell ref="AR13:AS13"/>
    <mergeCell ref="AT13:AU13"/>
    <mergeCell ref="AV13:AW13"/>
    <mergeCell ref="AR19:AS19"/>
    <mergeCell ref="AT19:AU19"/>
    <mergeCell ref="AX18:BA18"/>
    <mergeCell ref="AX22:AY22"/>
    <mergeCell ref="AZ22:BA22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AL22:AM22"/>
    <mergeCell ref="AN22:AO22"/>
    <mergeCell ref="AP22:AQ22"/>
    <mergeCell ref="AR22:AS22"/>
    <mergeCell ref="AT22:AU22"/>
    <mergeCell ref="AV22:AW22"/>
    <mergeCell ref="AW51:BB51"/>
    <mergeCell ref="BC51:BE52"/>
    <mergeCell ref="AK52:AL52"/>
    <mergeCell ref="AN52:AO52"/>
    <mergeCell ref="AQ52:AR52"/>
    <mergeCell ref="AW52:AZ52"/>
    <mergeCell ref="BA52:BB52"/>
    <mergeCell ref="AI51:AJ52"/>
    <mergeCell ref="AK51:AL51"/>
    <mergeCell ref="AM51:AO51"/>
    <mergeCell ref="AP51:AR51"/>
    <mergeCell ref="AS51:AT52"/>
    <mergeCell ref="AU51:AV52"/>
    <mergeCell ref="AW54:AZ54"/>
    <mergeCell ref="BA54:BB54"/>
    <mergeCell ref="BC54:BE54"/>
    <mergeCell ref="AK53:AL53"/>
    <mergeCell ref="AN53:AO53"/>
    <mergeCell ref="AQ53:AR53"/>
    <mergeCell ref="AS53:AT53"/>
    <mergeCell ref="AU53:AV55"/>
    <mergeCell ref="AK55:AL55"/>
    <mergeCell ref="AN55:AO55"/>
    <mergeCell ref="AQ55:AR55"/>
    <mergeCell ref="AS55:AT55"/>
    <mergeCell ref="AQ57:AR57"/>
    <mergeCell ref="AS57:AT57"/>
    <mergeCell ref="AI58:AL58"/>
    <mergeCell ref="AN58:AO58"/>
    <mergeCell ref="AQ58:AR58"/>
    <mergeCell ref="AS58:AT58"/>
    <mergeCell ref="AW55:AZ55"/>
    <mergeCell ref="BA55:BB55"/>
    <mergeCell ref="BC55:BE55"/>
    <mergeCell ref="AI56:AJ57"/>
    <mergeCell ref="AK56:AL56"/>
    <mergeCell ref="AN56:AO56"/>
    <mergeCell ref="AQ56:AR56"/>
    <mergeCell ref="AS56:AT56"/>
    <mergeCell ref="AK57:AL57"/>
    <mergeCell ref="AN57:AO57"/>
    <mergeCell ref="AI53:AJ55"/>
    <mergeCell ref="AW53:AZ53"/>
    <mergeCell ref="BA53:BB53"/>
    <mergeCell ref="BC53:BE53"/>
    <mergeCell ref="AK54:AL54"/>
    <mergeCell ref="AN54:AO54"/>
    <mergeCell ref="AQ54:AR54"/>
    <mergeCell ref="AS54:AT54"/>
    <mergeCell ref="AK62:AL62"/>
    <mergeCell ref="AW62:BA62"/>
    <mergeCell ref="BB62:BE62"/>
    <mergeCell ref="AK63:AL63"/>
    <mergeCell ref="AW63:BA63"/>
    <mergeCell ref="BB63:BE63"/>
    <mergeCell ref="AI59:AJ72"/>
    <mergeCell ref="AU59:AV63"/>
    <mergeCell ref="AW59:BA59"/>
    <mergeCell ref="BB59:BE59"/>
    <mergeCell ref="AK60:AL60"/>
    <mergeCell ref="AW60:BA60"/>
    <mergeCell ref="BB60:BE60"/>
    <mergeCell ref="AK61:AL61"/>
    <mergeCell ref="AW61:BA61"/>
    <mergeCell ref="BB61:BE61"/>
    <mergeCell ref="AK67:AL67"/>
    <mergeCell ref="AK69:AL69"/>
    <mergeCell ref="AK70:AL70"/>
    <mergeCell ref="AK71:AL71"/>
    <mergeCell ref="A68:B76"/>
    <mergeCell ref="AK68:AL68"/>
    <mergeCell ref="AU68:AY68"/>
    <mergeCell ref="AZ68:BB68"/>
    <mergeCell ref="BC68:BE68"/>
    <mergeCell ref="AU71:AY71"/>
    <mergeCell ref="AZ71:BE71"/>
    <mergeCell ref="AK64:AL64"/>
    <mergeCell ref="AU64:AV65"/>
    <mergeCell ref="AW64:BA64"/>
    <mergeCell ref="BB64:BE64"/>
    <mergeCell ref="AK65:AL65"/>
    <mergeCell ref="AW65:BA65"/>
    <mergeCell ref="BB65:BE65"/>
    <mergeCell ref="AI74:AJ74"/>
    <mergeCell ref="AK72:AL72"/>
    <mergeCell ref="AU72:AY72"/>
    <mergeCell ref="AZ72:BE72"/>
    <mergeCell ref="AI73:AJ73"/>
    <mergeCell ref="AU73:AY73"/>
    <mergeCell ref="AZ73:BE73"/>
    <mergeCell ref="AK66:AL66"/>
    <mergeCell ref="AZ67:BB67"/>
    <mergeCell ref="BC67:BE67"/>
    <mergeCell ref="AL7:AM7"/>
    <mergeCell ref="AN7:AP7"/>
    <mergeCell ref="AL28:AM28"/>
    <mergeCell ref="AN28:AO28"/>
    <mergeCell ref="AS28:AT28"/>
    <mergeCell ref="AZ28:BA28"/>
    <mergeCell ref="AL29:AM29"/>
    <mergeCell ref="AN29:AO29"/>
    <mergeCell ref="AS29:AT29"/>
    <mergeCell ref="AZ29:BA29"/>
    <mergeCell ref="AX24:AY24"/>
    <mergeCell ref="AZ24:BA24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T20:AU20"/>
    <mergeCell ref="AV20:AW20"/>
    <mergeCell ref="AX20:AY20"/>
    <mergeCell ref="AJ27:AO27"/>
    <mergeCell ref="AL19:AM19"/>
    <mergeCell ref="AP19:AQ19"/>
    <mergeCell ref="AI8:AJ14"/>
    <mergeCell ref="AK8:AK9"/>
    <mergeCell ref="AL10:AM10"/>
    <mergeCell ref="AN10:AO10"/>
    <mergeCell ref="AP10:AQ10"/>
    <mergeCell ref="AI25:AJ25"/>
    <mergeCell ref="AN25:AO25"/>
    <mergeCell ref="AP25:AQ25"/>
    <mergeCell ref="AI15:AJ15"/>
    <mergeCell ref="AN15:AO15"/>
    <mergeCell ref="AP15:AQ15"/>
    <mergeCell ref="AL4:AP4"/>
    <mergeCell ref="A4:M4"/>
    <mergeCell ref="A5:B5"/>
    <mergeCell ref="P5:Q5"/>
    <mergeCell ref="A6:B6"/>
    <mergeCell ref="P6:Q6"/>
    <mergeCell ref="K5:L5"/>
    <mergeCell ref="N5:O5"/>
    <mergeCell ref="AL5:AP5"/>
    <mergeCell ref="K6:L6"/>
    <mergeCell ref="N6:O6"/>
    <mergeCell ref="AL6:AP6"/>
    <mergeCell ref="U5:V5"/>
    <mergeCell ref="W5:X5"/>
    <mergeCell ref="Y5:Z5"/>
    <mergeCell ref="U6:V6"/>
    <mergeCell ref="W6:X6"/>
    <mergeCell ref="Y6:Z6"/>
    <mergeCell ref="P4:AE4"/>
  </mergeCells>
  <phoneticPr fontId="2" type="noConversion"/>
  <conditionalFormatting sqref="C8:C65">
    <cfRule type="cellIs" dxfId="760" priority="1" operator="equal">
      <formula>"여기어때"</formula>
    </cfRule>
    <cfRule type="cellIs" dxfId="759" priority="2" operator="equal">
      <formula>"야놀자"</formula>
    </cfRule>
  </conditionalFormatting>
  <conditionalFormatting sqref="C67:C70">
    <cfRule type="cellIs" dxfId="758" priority="17" operator="equal">
      <formula>"여기어때"</formula>
    </cfRule>
    <cfRule type="cellIs" dxfId="757" priority="18" operator="equal">
      <formula>"야놀자"</formula>
    </cfRule>
  </conditionalFormatting>
  <conditionalFormatting sqref="D30">
    <cfRule type="cellIs" dxfId="756" priority="109" operator="equal">
      <formula>"여기어때"</formula>
    </cfRule>
    <cfRule type="cellIs" dxfId="755" priority="110" operator="equal">
      <formula>"야놀자"</formula>
    </cfRule>
  </conditionalFormatting>
  <conditionalFormatting sqref="R8:R66">
    <cfRule type="cellIs" dxfId="754" priority="231" operator="equal">
      <formula>"여기어때"</formula>
    </cfRule>
    <cfRule type="cellIs" dxfId="753" priority="232" operator="equal">
      <formula>"야놀자"</formula>
    </cfRule>
  </conditionalFormatting>
  <conditionalFormatting sqref="R73">
    <cfRule type="cellIs" dxfId="752" priority="557" operator="equal">
      <formula>"여기어때"</formula>
    </cfRule>
    <cfRule type="cellIs" dxfId="751" priority="558" operator="equal">
      <formula>"야놀자"</formula>
    </cfRule>
  </conditionalFormatting>
  <conditionalFormatting sqref="AL30:AM30">
    <cfRule type="cellIs" dxfId="750" priority="100" operator="greaterThan">
      <formula>$AL$29</formula>
    </cfRule>
    <cfRule type="cellIs" dxfId="749" priority="108" operator="equal">
      <formula>$AL$29</formula>
    </cfRule>
  </conditionalFormatting>
  <conditionalFormatting sqref="AN30:AO30">
    <cfRule type="cellIs" dxfId="748" priority="99" operator="greaterThan">
      <formula>$AN$29</formula>
    </cfRule>
    <cfRule type="cellIs" dxfId="747" priority="107" operator="equal">
      <formula>$AN$29</formula>
    </cfRule>
  </conditionalFormatting>
  <conditionalFormatting sqref="AP30:AQ30">
    <cfRule type="cellIs" dxfId="746" priority="98" operator="greaterThan">
      <formula>$AP$29</formula>
    </cfRule>
    <cfRule type="cellIs" dxfId="745" priority="106" operator="equal">
      <formula>$AP$29</formula>
    </cfRule>
  </conditionalFormatting>
  <conditionalFormatting sqref="AR30">
    <cfRule type="cellIs" dxfId="744" priority="97" operator="greaterThan">
      <formula>$AR$29</formula>
    </cfRule>
    <cfRule type="cellIs" dxfId="743" priority="105" operator="equal">
      <formula>$AR$29</formula>
    </cfRule>
  </conditionalFormatting>
  <conditionalFormatting sqref="AS30:AT30">
    <cfRule type="cellIs" dxfId="742" priority="96" operator="greaterThan">
      <formula>$AS$29</formula>
    </cfRule>
    <cfRule type="cellIs" dxfId="741" priority="104" operator="equal">
      <formula>$AS$29</formula>
    </cfRule>
  </conditionalFormatting>
  <conditionalFormatting sqref="AU30:AV30">
    <cfRule type="cellIs" dxfId="740" priority="95" operator="greaterThan">
      <formula>$AU$29</formula>
    </cfRule>
    <cfRule type="cellIs" dxfId="739" priority="103" operator="equal">
      <formula>$AU$29</formula>
    </cfRule>
  </conditionalFormatting>
  <conditionalFormatting sqref="AW30">
    <cfRule type="cellIs" dxfId="738" priority="94" operator="greaterThan">
      <formula>$AW$29</formula>
    </cfRule>
    <cfRule type="cellIs" dxfId="737" priority="102" operator="equal">
      <formula>$AW$29</formula>
    </cfRule>
  </conditionalFormatting>
  <conditionalFormatting sqref="AX30:AY30">
    <cfRule type="cellIs" dxfId="736" priority="93" operator="greaterThan">
      <formula>$AX$29</formula>
    </cfRule>
    <cfRule type="cellIs" dxfId="735" priority="101" operator="equal">
      <formula>$AX$29</formula>
    </cfRule>
  </conditionalFormatting>
  <dataValidations count="1">
    <dataValidation type="list" allowBlank="1" showInputMessage="1" showErrorMessage="1" sqref="A8:A67 P8:P67 C75:C76 C66 C71:C73" xr:uid="{00000000-0002-0000-0000-000000000000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L48" sqref="L48"/>
      <selection pane="bottomLeft" activeCell="J30" sqref="J30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356</v>
      </c>
      <c r="T1" s="834"/>
      <c r="U1" s="834"/>
      <c r="V1" s="834"/>
      <c r="W1" s="834"/>
      <c r="X1" s="834"/>
      <c r="Y1" s="835"/>
      <c r="Z1" s="1" t="s">
        <v>2</v>
      </c>
      <c r="AA1" s="873">
        <v>45902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929000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19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371500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'2'!AA1</f>
        <v>45902</v>
      </c>
      <c r="AM2" s="863"/>
      <c r="AN2" s="863"/>
      <c r="AO2" s="864"/>
      <c r="AP2" s="865" t="s">
        <v>10</v>
      </c>
      <c r="AQ2" s="866"/>
      <c r="AR2" s="866"/>
      <c r="AS2" s="863">
        <f>AA1+1</f>
        <v>45903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양동근 대체 / 김선우 야간 / 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929000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371500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7</v>
      </c>
      <c r="O4" s="299">
        <f>SUM(COUNTIF(B8:B67,{201,202,203,205,206,207,208,209,506,507,508,509,601,602,603,605,606,607,608,609}))</f>
        <v>0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4</v>
      </c>
      <c r="E6" s="356">
        <f>AP31</f>
        <v>7</v>
      </c>
      <c r="F6" s="356">
        <f>AR31</f>
        <v>1</v>
      </c>
      <c r="G6" s="356">
        <f>AS31</f>
        <v>3</v>
      </c>
      <c r="H6" s="356">
        <f>AU31</f>
        <v>4</v>
      </c>
      <c r="I6" s="356">
        <f>AW31</f>
        <v>3</v>
      </c>
      <c r="J6" s="356">
        <f>AX31</f>
        <v>0</v>
      </c>
      <c r="K6" s="606"/>
      <c r="L6" s="607"/>
      <c r="M6" s="356"/>
      <c r="N6" s="606">
        <f>C6+D6+E6+F6+G6+H6+I6+J6+K6</f>
        <v>22</v>
      </c>
      <c r="O6" s="602"/>
      <c r="P6" s="599">
        <f>C2</f>
        <v>929000</v>
      </c>
      <c r="Q6" s="600"/>
      <c r="R6" s="300">
        <f>AN14+AN15</f>
        <v>0</v>
      </c>
      <c r="S6" s="300">
        <f>AZ14+AZ15</f>
        <v>0</v>
      </c>
      <c r="T6" s="300">
        <f>AR14+AR15</f>
        <v>4000</v>
      </c>
      <c r="U6" s="609">
        <f>AS60</f>
        <v>285000</v>
      </c>
      <c r="V6" s="600"/>
      <c r="W6" s="609">
        <f>AS61</f>
        <v>575000</v>
      </c>
      <c r="X6" s="600"/>
      <c r="Y6" s="609">
        <f>AS62</f>
        <v>65000</v>
      </c>
      <c r="Z6" s="600"/>
      <c r="AA6" s="300">
        <f>AS63</f>
        <v>0</v>
      </c>
      <c r="AB6" s="300">
        <f>AS66</f>
        <v>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188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303</v>
      </c>
      <c r="C8" s="230" t="s">
        <v>265</v>
      </c>
      <c r="D8" s="231" t="s">
        <v>266</v>
      </c>
      <c r="E8" s="215" t="s">
        <v>267</v>
      </c>
      <c r="F8" s="231" t="s">
        <v>289</v>
      </c>
      <c r="G8" s="232" t="s">
        <v>264</v>
      </c>
      <c r="H8" s="215" t="s">
        <v>268</v>
      </c>
      <c r="I8" s="215" t="s">
        <v>269</v>
      </c>
      <c r="J8" s="215" t="s">
        <v>189</v>
      </c>
      <c r="K8" s="215"/>
      <c r="L8" s="234"/>
      <c r="M8" s="302"/>
      <c r="N8" s="234"/>
      <c r="O8" s="218">
        <v>60000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907</v>
      </c>
      <c r="C9" s="230" t="s">
        <v>272</v>
      </c>
      <c r="D9" s="231" t="s">
        <v>273</v>
      </c>
      <c r="E9" s="215" t="s">
        <v>318</v>
      </c>
      <c r="F9" s="231" t="s">
        <v>167</v>
      </c>
      <c r="G9" s="232" t="s">
        <v>163</v>
      </c>
      <c r="H9" s="215" t="s">
        <v>164</v>
      </c>
      <c r="I9" s="215" t="s">
        <v>165</v>
      </c>
      <c r="J9" s="233" t="s">
        <v>271</v>
      </c>
      <c r="K9" s="215"/>
      <c r="L9" s="234"/>
      <c r="M9" s="234"/>
      <c r="N9" s="234"/>
      <c r="O9" s="218">
        <v>65000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1004</v>
      </c>
      <c r="C10" s="230" t="s">
        <v>73</v>
      </c>
      <c r="D10" s="231" t="s">
        <v>313</v>
      </c>
      <c r="E10" s="215" t="s">
        <v>318</v>
      </c>
      <c r="F10" s="231" t="s">
        <v>324</v>
      </c>
      <c r="G10" s="232" t="s">
        <v>283</v>
      </c>
      <c r="H10" s="215" t="s">
        <v>164</v>
      </c>
      <c r="I10" s="215" t="s">
        <v>165</v>
      </c>
      <c r="J10" s="215" t="s">
        <v>304</v>
      </c>
      <c r="K10" s="215"/>
      <c r="L10" s="234"/>
      <c r="M10" s="234"/>
      <c r="N10" s="234"/>
      <c r="O10" s="218">
        <v>65000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19</v>
      </c>
      <c r="AU10" s="625"/>
      <c r="AV10" s="625">
        <f>SUM(O8:O67)</f>
        <v>925000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19</v>
      </c>
      <c r="BC10" s="799"/>
      <c r="BD10" s="800">
        <f>SUM(AN10+AR10+AV10+AZ10)</f>
        <v>925000</v>
      </c>
      <c r="BE10" s="801"/>
    </row>
    <row r="11" spans="1:58" ht="64.5" customHeight="1" x14ac:dyDescent="0.3">
      <c r="A11" s="228">
        <v>4</v>
      </c>
      <c r="B11" s="229">
        <v>1206</v>
      </c>
      <c r="C11" s="230" t="s">
        <v>73</v>
      </c>
      <c r="D11" s="231" t="s">
        <v>315</v>
      </c>
      <c r="E11" s="231"/>
      <c r="F11" s="231" t="s">
        <v>316</v>
      </c>
      <c r="G11" s="232" t="s">
        <v>283</v>
      </c>
      <c r="H11" s="215" t="s">
        <v>164</v>
      </c>
      <c r="I11" s="215" t="s">
        <v>165</v>
      </c>
      <c r="J11" s="215" t="s">
        <v>304</v>
      </c>
      <c r="K11" s="215" t="s">
        <v>319</v>
      </c>
      <c r="L11" s="234"/>
      <c r="M11" s="234"/>
      <c r="N11" s="234"/>
      <c r="O11" s="220">
        <v>70000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1107</v>
      </c>
      <c r="C12" s="230" t="s">
        <v>292</v>
      </c>
      <c r="D12" s="231" t="s">
        <v>321</v>
      </c>
      <c r="E12" s="215" t="s">
        <v>318</v>
      </c>
      <c r="F12" s="231" t="s">
        <v>324</v>
      </c>
      <c r="G12" s="232" t="s">
        <v>283</v>
      </c>
      <c r="H12" s="215" t="s">
        <v>285</v>
      </c>
      <c r="I12" s="215" t="s">
        <v>286</v>
      </c>
      <c r="J12" s="215" t="s">
        <v>304</v>
      </c>
      <c r="K12" s="215"/>
      <c r="L12" s="234"/>
      <c r="M12" s="302"/>
      <c r="N12" s="234"/>
      <c r="O12" s="220">
        <v>65000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307</v>
      </c>
      <c r="C13" s="230" t="s">
        <v>73</v>
      </c>
      <c r="D13" s="231" t="s">
        <v>322</v>
      </c>
      <c r="E13" s="215"/>
      <c r="F13" s="231" t="s">
        <v>289</v>
      </c>
      <c r="G13" s="232" t="s">
        <v>283</v>
      </c>
      <c r="H13" s="215" t="s">
        <v>285</v>
      </c>
      <c r="I13" s="215" t="s">
        <v>286</v>
      </c>
      <c r="J13" s="233" t="s">
        <v>304</v>
      </c>
      <c r="K13" s="215"/>
      <c r="L13" s="234"/>
      <c r="M13" s="302"/>
      <c r="N13" s="234"/>
      <c r="O13" s="224">
        <v>65000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1214</v>
      </c>
      <c r="C14" s="230" t="s">
        <v>73</v>
      </c>
      <c r="D14" s="231" t="s">
        <v>337</v>
      </c>
      <c r="E14" s="215" t="s">
        <v>166</v>
      </c>
      <c r="F14" s="231" t="s">
        <v>325</v>
      </c>
      <c r="G14" s="232" t="s">
        <v>283</v>
      </c>
      <c r="H14" s="215" t="s">
        <v>285</v>
      </c>
      <c r="I14" s="215" t="s">
        <v>286</v>
      </c>
      <c r="J14" s="233" t="s">
        <v>304</v>
      </c>
      <c r="K14" s="215"/>
      <c r="L14" s="234"/>
      <c r="M14" s="302"/>
      <c r="N14" s="234"/>
      <c r="O14" s="220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19</v>
      </c>
      <c r="AU14" s="653"/>
      <c r="AV14" s="653">
        <f>SUM(AV10:AW13)</f>
        <v>925000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19</v>
      </c>
      <c r="BC14" s="655"/>
      <c r="BD14" s="782">
        <f>SUM(BD10:BE13)</f>
        <v>925000</v>
      </c>
      <c r="BE14" s="783"/>
    </row>
    <row r="15" spans="1:58" ht="64.5" customHeight="1" thickBot="1" x14ac:dyDescent="0.35">
      <c r="A15" s="228">
        <v>8</v>
      </c>
      <c r="B15" s="229">
        <v>902</v>
      </c>
      <c r="C15" s="230" t="s">
        <v>73</v>
      </c>
      <c r="D15" s="231" t="s">
        <v>338</v>
      </c>
      <c r="E15" s="215" t="s">
        <v>318</v>
      </c>
      <c r="F15" s="231" t="s">
        <v>324</v>
      </c>
      <c r="G15" s="232" t="s">
        <v>283</v>
      </c>
      <c r="H15" s="215" t="s">
        <v>285</v>
      </c>
      <c r="I15" s="215" t="s">
        <v>286</v>
      </c>
      <c r="J15" s="233" t="s">
        <v>335</v>
      </c>
      <c r="K15" s="215"/>
      <c r="L15" s="234"/>
      <c r="M15" s="302"/>
      <c r="N15" s="234"/>
      <c r="O15" s="218">
        <v>65000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229">
        <v>701</v>
      </c>
      <c r="C16" s="230" t="s">
        <v>292</v>
      </c>
      <c r="D16" s="231" t="s">
        <v>341</v>
      </c>
      <c r="E16" s="215"/>
      <c r="F16" s="231" t="s">
        <v>294</v>
      </c>
      <c r="G16" s="232" t="s">
        <v>283</v>
      </c>
      <c r="H16" s="215" t="s">
        <v>285</v>
      </c>
      <c r="I16" s="215" t="s">
        <v>286</v>
      </c>
      <c r="J16" s="233" t="s">
        <v>335</v>
      </c>
      <c r="K16" s="215"/>
      <c r="L16" s="234"/>
      <c r="M16" s="302"/>
      <c r="N16" s="234"/>
      <c r="O16" s="218">
        <v>80000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929000</v>
      </c>
      <c r="BE16" s="652"/>
      <c r="BF16" s="10"/>
    </row>
    <row r="17" spans="1:62" ht="64.5" customHeight="1" thickBot="1" x14ac:dyDescent="0.35">
      <c r="A17" s="228">
        <v>10</v>
      </c>
      <c r="B17" s="229">
        <v>1110</v>
      </c>
      <c r="C17" s="230" t="s">
        <v>74</v>
      </c>
      <c r="D17" s="231" t="s">
        <v>342</v>
      </c>
      <c r="E17" s="215"/>
      <c r="F17" s="231" t="s">
        <v>294</v>
      </c>
      <c r="G17" s="232" t="s">
        <v>283</v>
      </c>
      <c r="H17" s="215" t="s">
        <v>285</v>
      </c>
      <c r="I17" s="215" t="s">
        <v>286</v>
      </c>
      <c r="J17" s="233" t="s">
        <v>335</v>
      </c>
      <c r="K17" s="215"/>
      <c r="L17" s="234"/>
      <c r="M17" s="302"/>
      <c r="N17" s="234"/>
      <c r="O17" s="218">
        <v>80000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1111</v>
      </c>
      <c r="C18" s="230" t="s">
        <v>281</v>
      </c>
      <c r="D18" s="231" t="s">
        <v>344</v>
      </c>
      <c r="E18" s="215" t="s">
        <v>166</v>
      </c>
      <c r="F18" s="231"/>
      <c r="G18" s="232" t="s">
        <v>283</v>
      </c>
      <c r="H18" s="215" t="s">
        <v>285</v>
      </c>
      <c r="I18" s="215" t="s">
        <v>286</v>
      </c>
      <c r="J18" s="215" t="s">
        <v>299</v>
      </c>
      <c r="K18" s="215"/>
      <c r="L18" s="234"/>
      <c r="M18" s="302"/>
      <c r="N18" s="234"/>
      <c r="O18" s="218">
        <v>60000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809</v>
      </c>
      <c r="C19" s="230" t="s">
        <v>281</v>
      </c>
      <c r="D19" s="231" t="s">
        <v>346</v>
      </c>
      <c r="E19" s="215" t="s">
        <v>318</v>
      </c>
      <c r="F19" s="231" t="s">
        <v>324</v>
      </c>
      <c r="G19" s="232" t="s">
        <v>283</v>
      </c>
      <c r="H19" s="215" t="s">
        <v>285</v>
      </c>
      <c r="I19" s="215" t="s">
        <v>286</v>
      </c>
      <c r="J19" s="215" t="s">
        <v>299</v>
      </c>
      <c r="K19" s="215"/>
      <c r="L19" s="234"/>
      <c r="M19" s="302"/>
      <c r="N19" s="234"/>
      <c r="O19" s="218">
        <v>65000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1115</v>
      </c>
      <c r="C20" s="230" t="s">
        <v>281</v>
      </c>
      <c r="D20" s="231" t="s">
        <v>347</v>
      </c>
      <c r="E20" s="215" t="s">
        <v>166</v>
      </c>
      <c r="F20" s="231" t="s">
        <v>325</v>
      </c>
      <c r="G20" s="232" t="s">
        <v>283</v>
      </c>
      <c r="H20" s="215" t="s">
        <v>285</v>
      </c>
      <c r="I20" s="215" t="s">
        <v>286</v>
      </c>
      <c r="J20" s="215" t="s">
        <v>299</v>
      </c>
      <c r="K20" s="215"/>
      <c r="L20" s="234"/>
      <c r="M20" s="234"/>
      <c r="N20" s="234"/>
      <c r="O20" s="218">
        <v>60000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1215</v>
      </c>
      <c r="C21" s="230" t="s">
        <v>73</v>
      </c>
      <c r="D21" s="231" t="s">
        <v>350</v>
      </c>
      <c r="E21" s="215" t="s">
        <v>363</v>
      </c>
      <c r="F21" s="231" t="s">
        <v>325</v>
      </c>
      <c r="G21" s="232" t="s">
        <v>283</v>
      </c>
      <c r="H21" s="215" t="s">
        <v>285</v>
      </c>
      <c r="I21" s="215" t="s">
        <v>286</v>
      </c>
      <c r="J21" s="215" t="s">
        <v>299</v>
      </c>
      <c r="K21" s="215" t="s">
        <v>319</v>
      </c>
      <c r="L21" s="234"/>
      <c r="M21" s="302"/>
      <c r="N21" s="234"/>
      <c r="O21" s="218">
        <v>65000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/>
      <c r="C22" s="230"/>
      <c r="D22" s="231"/>
      <c r="E22" s="215"/>
      <c r="F22" s="231"/>
      <c r="G22" s="232"/>
      <c r="H22" s="215"/>
      <c r="I22" s="215"/>
      <c r="J22" s="215"/>
      <c r="K22" s="215"/>
      <c r="L22" s="303"/>
      <c r="M22" s="302"/>
      <c r="N22" s="234"/>
      <c r="O22" s="220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/>
      <c r="C23" s="230"/>
      <c r="D23" s="251"/>
      <c r="E23" s="231"/>
      <c r="F23" s="251"/>
      <c r="G23" s="232"/>
      <c r="H23" s="215"/>
      <c r="I23" s="215"/>
      <c r="J23" s="215"/>
      <c r="K23" s="215"/>
      <c r="L23" s="303"/>
      <c r="M23" s="234"/>
      <c r="N23" s="23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/>
      <c r="C24" s="230"/>
      <c r="D24" s="231"/>
      <c r="E24" s="215"/>
      <c r="F24" s="231"/>
      <c r="G24" s="232"/>
      <c r="H24" s="215"/>
      <c r="I24" s="215"/>
      <c r="J24" s="215"/>
      <c r="K24" s="238"/>
      <c r="L24" s="234"/>
      <c r="M24" s="234"/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41"/>
      <c r="E25" s="372"/>
      <c r="F25" s="241"/>
      <c r="G25" s="232"/>
      <c r="H25" s="215"/>
      <c r="I25" s="215"/>
      <c r="J25" s="215"/>
      <c r="K25" s="215"/>
      <c r="L25" s="234"/>
      <c r="M25" s="234"/>
      <c r="N25" s="234"/>
      <c r="O25" s="218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/>
      <c r="C26" s="230"/>
      <c r="D26" s="231"/>
      <c r="E26" s="215"/>
      <c r="F26" s="231"/>
      <c r="G26" s="232"/>
      <c r="H26" s="215"/>
      <c r="I26" s="215"/>
      <c r="J26" s="215"/>
      <c r="K26" s="215"/>
      <c r="L26" s="234"/>
      <c r="M26" s="234"/>
      <c r="N26" s="23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/>
      <c r="C27" s="230"/>
      <c r="D27" s="230"/>
      <c r="E27" s="215"/>
      <c r="F27" s="231"/>
      <c r="G27" s="232"/>
      <c r="H27" s="215"/>
      <c r="I27" s="215"/>
      <c r="J27" s="215"/>
      <c r="K27" s="215"/>
      <c r="L27" s="234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215"/>
      <c r="F28" s="231"/>
      <c r="G28" s="232"/>
      <c r="H28" s="215"/>
      <c r="I28" s="215"/>
      <c r="J28" s="215"/>
      <c r="K28" s="215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31"/>
      <c r="E29" s="215"/>
      <c r="F29" s="231"/>
      <c r="G29" s="232"/>
      <c r="H29" s="215"/>
      <c r="I29" s="215"/>
      <c r="J29" s="215"/>
      <c r="K29" s="215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9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1"/>
      <c r="E30" s="215"/>
      <c r="F30" s="231"/>
      <c r="G30" s="232"/>
      <c r="H30" s="215"/>
      <c r="I30" s="215"/>
      <c r="J30" s="215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0</v>
      </c>
      <c r="AO30" s="829"/>
      <c r="AP30" s="830">
        <f>COUNTIF(F8:F67,"at")</f>
        <v>3</v>
      </c>
      <c r="AQ30" s="830"/>
      <c r="AR30" s="323">
        <f>COUNTIF(F8:F67,"aD")</f>
        <v>1</v>
      </c>
      <c r="AS30" s="830">
        <f>COUNTIF(F8:F67,"sd")</f>
        <v>6</v>
      </c>
      <c r="AT30" s="830"/>
      <c r="AU30" s="830">
        <f>COUNTIF(F8:F67,"st")</f>
        <v>1</v>
      </c>
      <c r="AV30" s="830"/>
      <c r="AW30" s="324">
        <f>COUNTIF(F8:F67,"v")</f>
        <v>2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5"/>
      <c r="F31" s="231"/>
      <c r="G31" s="232"/>
      <c r="H31" s="215"/>
      <c r="I31" s="215"/>
      <c r="J31" s="215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4</v>
      </c>
      <c r="AO31" s="816"/>
      <c r="AP31" s="817">
        <f>AP29-AP30</f>
        <v>7</v>
      </c>
      <c r="AQ31" s="817"/>
      <c r="AR31" s="322">
        <f>AR29-AR30</f>
        <v>1</v>
      </c>
      <c r="AS31" s="817">
        <f>AS29-AS30</f>
        <v>3</v>
      </c>
      <c r="AT31" s="817"/>
      <c r="AU31" s="817">
        <f>AU29-AU30</f>
        <v>4</v>
      </c>
      <c r="AV31" s="817"/>
      <c r="AW31" s="322">
        <f>AW29-AW30</f>
        <v>3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232"/>
      <c r="H32" s="215"/>
      <c r="I32" s="215"/>
      <c r="J32" s="215"/>
      <c r="K32" s="215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232"/>
      <c r="H33" s="215"/>
      <c r="I33" s="215"/>
      <c r="J33" s="215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15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15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215"/>
      <c r="L37" s="234"/>
      <c r="M37" s="234"/>
      <c r="N37" s="234"/>
      <c r="O37" s="220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33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15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33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41"/>
      <c r="E41" s="372"/>
      <c r="F41" s="24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302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702</v>
      </c>
      <c r="C43" s="230" t="s">
        <v>70</v>
      </c>
      <c r="D43" s="231" t="s">
        <v>235</v>
      </c>
      <c r="E43" s="215"/>
      <c r="F43" s="231" t="s">
        <v>168</v>
      </c>
      <c r="G43" s="232" t="s">
        <v>237</v>
      </c>
      <c r="H43" s="215" t="s">
        <v>164</v>
      </c>
      <c r="I43" s="215" t="s">
        <v>165</v>
      </c>
      <c r="J43" s="215" t="s">
        <v>189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805</v>
      </c>
      <c r="C44" s="230" t="s">
        <v>207</v>
      </c>
      <c r="D44" s="231" t="s">
        <v>208</v>
      </c>
      <c r="E44" s="214"/>
      <c r="F44" s="231" t="s">
        <v>167</v>
      </c>
      <c r="G44" s="232" t="s">
        <v>211</v>
      </c>
      <c r="H44" s="215" t="s">
        <v>164</v>
      </c>
      <c r="I44" s="215" t="s">
        <v>165</v>
      </c>
      <c r="J44" s="215" t="s">
        <v>210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308</v>
      </c>
      <c r="C45" s="230" t="s">
        <v>70</v>
      </c>
      <c r="D45" s="231" t="s">
        <v>205</v>
      </c>
      <c r="E45" s="214"/>
      <c r="F45" s="231" t="s">
        <v>55</v>
      </c>
      <c r="G45" s="232" t="s">
        <v>174</v>
      </c>
      <c r="H45" s="215" t="s">
        <v>164</v>
      </c>
      <c r="I45" s="215" t="s">
        <v>165</v>
      </c>
      <c r="J45" s="233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309</v>
      </c>
      <c r="C46" s="230" t="s">
        <v>70</v>
      </c>
      <c r="D46" s="231" t="s">
        <v>206</v>
      </c>
      <c r="E46" s="214"/>
      <c r="F46" s="231" t="s">
        <v>55</v>
      </c>
      <c r="G46" s="232" t="s">
        <v>174</v>
      </c>
      <c r="H46" s="215" t="s">
        <v>164</v>
      </c>
      <c r="I46" s="215" t="s">
        <v>165</v>
      </c>
      <c r="J46" s="233" t="s">
        <v>189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273">
        <v>305</v>
      </c>
      <c r="C47" s="285" t="s">
        <v>73</v>
      </c>
      <c r="D47" s="275" t="s">
        <v>194</v>
      </c>
      <c r="E47" s="276"/>
      <c r="F47" s="275" t="s">
        <v>55</v>
      </c>
      <c r="G47" s="277" t="s">
        <v>198</v>
      </c>
      <c r="H47" s="276" t="s">
        <v>164</v>
      </c>
      <c r="I47" s="276" t="s">
        <v>165</v>
      </c>
      <c r="J47" s="278" t="s">
        <v>193</v>
      </c>
      <c r="K47" s="276"/>
      <c r="L47" s="279"/>
      <c r="M47" s="279"/>
      <c r="N47" s="279"/>
      <c r="O47" s="280">
        <v>0</v>
      </c>
      <c r="P47" s="281">
        <v>40</v>
      </c>
      <c r="Q47" s="273"/>
      <c r="R47" s="274"/>
      <c r="S47" s="275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7"/>
      <c r="H48" s="266"/>
      <c r="I48" s="266"/>
      <c r="J48" s="266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4</v>
      </c>
      <c r="AQ60" s="56">
        <f>SUMIF($C$8:$C$72, $AK60, $L$8:$L$72)+SUMIF($C$8:$C$72, $AK60, $M$8:$M$72)+SUMIF($C$8:$C$72, $AK60, $N$8:$N$72)+SUMIF($C$8:$C$72, $AK60, $O$8:$O$72)</f>
        <v>285000</v>
      </c>
      <c r="AR60" s="57">
        <f>AQ60*0.9</f>
        <v>256500</v>
      </c>
      <c r="AS60" s="58">
        <f t="shared" ref="AS60:AS70" si="4">SUM(AN60+AQ60)</f>
        <v>285000</v>
      </c>
      <c r="AT60" s="59">
        <f t="shared" ref="AT60:AT70" si="5">AO60+AR60</f>
        <v>256500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11</v>
      </c>
      <c r="AQ61" s="56">
        <f t="shared" ref="AQ61:AQ70" si="8">SUMIF($C$8:$C$72, $AK61, $L$8:$L$72)+SUMIF($C$8:$C$72, $AK61, $M$8:$M$72)+SUMIF($C$8:$C$72, $AK61, $N$8:$N$72)+SUMIF($C$8:$C$72, $AK61, $O$8:$O$72)</f>
        <v>575000</v>
      </c>
      <c r="AR61" s="57">
        <f t="shared" ref="AR61:AR70" si="9">AQ61*0.9</f>
        <v>517500</v>
      </c>
      <c r="AS61" s="58">
        <f t="shared" si="4"/>
        <v>575000</v>
      </c>
      <c r="AT61" s="59">
        <f t="shared" si="5"/>
        <v>517500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65000</v>
      </c>
      <c r="AR62" s="57">
        <f t="shared" si="9"/>
        <v>58500</v>
      </c>
      <c r="AS62" s="58">
        <f t="shared" si="4"/>
        <v>65000</v>
      </c>
      <c r="AT62" s="59">
        <f t="shared" si="5"/>
        <v>58500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0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0</v>
      </c>
      <c r="AR66" s="57">
        <f t="shared" si="9"/>
        <v>0</v>
      </c>
      <c r="AS66" s="58">
        <f t="shared" si="4"/>
        <v>0</v>
      </c>
      <c r="AT66" s="59">
        <f t="shared" si="5"/>
        <v>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0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1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925000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929000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19</v>
      </c>
      <c r="AQ73" s="22">
        <f t="shared" si="10"/>
        <v>925000</v>
      </c>
      <c r="AR73" s="23">
        <f t="shared" si="10"/>
        <v>832500</v>
      </c>
      <c r="AS73" s="24">
        <f t="shared" si="10"/>
        <v>925000</v>
      </c>
      <c r="AT73" s="25">
        <f t="shared" si="10"/>
        <v>832500</v>
      </c>
      <c r="AU73" s="692" t="s">
        <v>58</v>
      </c>
      <c r="AV73" s="693"/>
      <c r="AW73" s="693"/>
      <c r="AX73" s="693"/>
      <c r="AY73" s="694"/>
      <c r="AZ73" s="695">
        <f>AS58+AT73</f>
        <v>832500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1000000}"/>
  <sortState xmlns:xlrd2="http://schemas.microsoft.com/office/spreadsheetml/2017/richdata2" ref="Q8:AC32">
    <sortCondition ref="R8:R32"/>
  </sortState>
  <mergeCells count="307">
    <mergeCell ref="AU71:AY71"/>
    <mergeCell ref="AZ71:BE71"/>
    <mergeCell ref="AK72:AL72"/>
    <mergeCell ref="AU72:AY72"/>
    <mergeCell ref="AZ72:BE72"/>
    <mergeCell ref="AI73:AJ73"/>
    <mergeCell ref="AU73:AY73"/>
    <mergeCell ref="AZ73:BE73"/>
    <mergeCell ref="AS55:AT55"/>
    <mergeCell ref="AW55:AZ55"/>
    <mergeCell ref="BA55:BB55"/>
    <mergeCell ref="BC55:BE55"/>
    <mergeCell ref="AI56:AJ57"/>
    <mergeCell ref="AK56:AL56"/>
    <mergeCell ref="AN56:AO56"/>
    <mergeCell ref="AQ56:AR56"/>
    <mergeCell ref="AS56:AT56"/>
    <mergeCell ref="AK57:AL57"/>
    <mergeCell ref="AN57:AO57"/>
    <mergeCell ref="AQ57:AR57"/>
    <mergeCell ref="AS57:AT57"/>
    <mergeCell ref="BB62:BE62"/>
    <mergeCell ref="AU68:AY68"/>
    <mergeCell ref="AZ68:BB68"/>
    <mergeCell ref="AJ29:AK29"/>
    <mergeCell ref="AL29:AM29"/>
    <mergeCell ref="AJ30:AK30"/>
    <mergeCell ref="AL30:AM30"/>
    <mergeCell ref="AN30:AO30"/>
    <mergeCell ref="AP30:AQ30"/>
    <mergeCell ref="AI53:AJ55"/>
    <mergeCell ref="AK53:AL53"/>
    <mergeCell ref="AN53:AO53"/>
    <mergeCell ref="AQ53:AR53"/>
    <mergeCell ref="AK55:AL55"/>
    <mergeCell ref="AN55:AO55"/>
    <mergeCell ref="AQ55:AR55"/>
    <mergeCell ref="AK54:AL54"/>
    <mergeCell ref="AN54:AO54"/>
    <mergeCell ref="AQ54:AR54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P19:AQ19"/>
    <mergeCell ref="AR19:AS19"/>
    <mergeCell ref="AT19:AU19"/>
    <mergeCell ref="AV19:AW19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AL21:AM21"/>
    <mergeCell ref="AN21:AO21"/>
    <mergeCell ref="AT13:AU13"/>
    <mergeCell ref="AV13:AW13"/>
    <mergeCell ref="AX13:AY13"/>
    <mergeCell ref="AZ13:BA13"/>
    <mergeCell ref="BB13:BC13"/>
    <mergeCell ref="BD13:BE13"/>
    <mergeCell ref="BB14:BC14"/>
    <mergeCell ref="BD14:BE14"/>
    <mergeCell ref="AI15:AJ15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P14:AQ14"/>
    <mergeCell ref="AR14:AS14"/>
    <mergeCell ref="AT14:AU14"/>
    <mergeCell ref="AV14:AW14"/>
    <mergeCell ref="AX14:AY14"/>
    <mergeCell ref="AZ14:BA14"/>
    <mergeCell ref="AZ9:BA9"/>
    <mergeCell ref="BB9:BC9"/>
    <mergeCell ref="BD9:BE9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A1:AG1"/>
    <mergeCell ref="AI1:BE1"/>
    <mergeCell ref="AB2:AG2"/>
    <mergeCell ref="AI2:AK2"/>
    <mergeCell ref="AL2:AO2"/>
    <mergeCell ref="AP2:AR2"/>
    <mergeCell ref="AS2:AY2"/>
    <mergeCell ref="BA2:BE2"/>
    <mergeCell ref="AB3:AG3"/>
    <mergeCell ref="AL8:AO8"/>
    <mergeCell ref="AP8:AS8"/>
    <mergeCell ref="AL11:AM11"/>
    <mergeCell ref="AN11:AO11"/>
    <mergeCell ref="AP11:AQ11"/>
    <mergeCell ref="AR11:AS11"/>
    <mergeCell ref="AL12:AM12"/>
    <mergeCell ref="AN12:AO12"/>
    <mergeCell ref="AP12:AQ12"/>
    <mergeCell ref="AR12:AS12"/>
    <mergeCell ref="AL14:AM14"/>
    <mergeCell ref="AN14:AO14"/>
    <mergeCell ref="AL13:AM13"/>
    <mergeCell ref="AN13:AO13"/>
    <mergeCell ref="AP13:AQ13"/>
    <mergeCell ref="AR13:AS13"/>
    <mergeCell ref="AI25:AJ25"/>
    <mergeCell ref="AN25:AO25"/>
    <mergeCell ref="AP25:AQ25"/>
    <mergeCell ref="AR25:AS25"/>
    <mergeCell ref="AL22:AM22"/>
    <mergeCell ref="AN22:AO22"/>
    <mergeCell ref="AL24:AM24"/>
    <mergeCell ref="AN24:AO24"/>
    <mergeCell ref="AR24:AS24"/>
    <mergeCell ref="A68:B76"/>
    <mergeCell ref="P68:Q76"/>
    <mergeCell ref="AI58:AL58"/>
    <mergeCell ref="AN58:AO58"/>
    <mergeCell ref="AQ58:AR58"/>
    <mergeCell ref="AS58:AT58"/>
    <mergeCell ref="AI59:AJ72"/>
    <mergeCell ref="AK60:AL60"/>
    <mergeCell ref="AK61:AL61"/>
    <mergeCell ref="AK62:AL62"/>
    <mergeCell ref="AK63:AL63"/>
    <mergeCell ref="AK70:AL70"/>
    <mergeCell ref="AK66:AL66"/>
    <mergeCell ref="AK67:AL67"/>
    <mergeCell ref="AI74:AJ74"/>
    <mergeCell ref="AK71:AL71"/>
    <mergeCell ref="AK68:AL68"/>
    <mergeCell ref="AS30:AT30"/>
    <mergeCell ref="AU30:AV30"/>
    <mergeCell ref="AX30:AY30"/>
    <mergeCell ref="AZ30:BA30"/>
    <mergeCell ref="BB16:BC16"/>
    <mergeCell ref="AP21:AQ21"/>
    <mergeCell ref="AR21:AS21"/>
    <mergeCell ref="AT21:AU21"/>
    <mergeCell ref="AV21:AW21"/>
    <mergeCell ref="AX21:AY21"/>
    <mergeCell ref="AZ21:BA21"/>
    <mergeCell ref="AP22:AQ22"/>
    <mergeCell ref="AR22:AS22"/>
    <mergeCell ref="AT22:AU22"/>
    <mergeCell ref="AV22:AW22"/>
    <mergeCell ref="AX22:AY22"/>
    <mergeCell ref="AZ22:BA22"/>
    <mergeCell ref="AP23:AQ23"/>
    <mergeCell ref="AR23:AS23"/>
    <mergeCell ref="AT23:AU23"/>
    <mergeCell ref="AV23:AW23"/>
    <mergeCell ref="AX23:AY23"/>
    <mergeCell ref="AZ23:BA23"/>
    <mergeCell ref="AP24:AQ24"/>
    <mergeCell ref="AT8:AW8"/>
    <mergeCell ref="AX8:BA8"/>
    <mergeCell ref="BB8:BE8"/>
    <mergeCell ref="AL9:AM9"/>
    <mergeCell ref="AP9:AQ9"/>
    <mergeCell ref="Z2:Z3"/>
    <mergeCell ref="U5:V5"/>
    <mergeCell ref="W5:X5"/>
    <mergeCell ref="Y5:Z5"/>
    <mergeCell ref="U6:V6"/>
    <mergeCell ref="W6:X6"/>
    <mergeCell ref="Y6:Z6"/>
    <mergeCell ref="AR9:AS9"/>
    <mergeCell ref="P4:AE4"/>
    <mergeCell ref="AL4:AP4"/>
    <mergeCell ref="AL5:AP5"/>
    <mergeCell ref="AL6:AP6"/>
    <mergeCell ref="AL7:AM7"/>
    <mergeCell ref="AN7:AP7"/>
    <mergeCell ref="AI8:AJ14"/>
    <mergeCell ref="AK8:AK9"/>
    <mergeCell ref="AT9:AU9"/>
    <mergeCell ref="AV9:AW9"/>
    <mergeCell ref="AX9:AY9"/>
    <mergeCell ref="A1:O1"/>
    <mergeCell ref="P1:R3"/>
    <mergeCell ref="S1:Y3"/>
    <mergeCell ref="A2:B3"/>
    <mergeCell ref="C2:F3"/>
    <mergeCell ref="G2:G3"/>
    <mergeCell ref="H2:L2"/>
    <mergeCell ref="M2:M3"/>
    <mergeCell ref="H3:L3"/>
    <mergeCell ref="N3:O3"/>
    <mergeCell ref="N2:O2"/>
    <mergeCell ref="A4:M4"/>
    <mergeCell ref="A5:B5"/>
    <mergeCell ref="P5:Q5"/>
    <mergeCell ref="A6:B6"/>
    <mergeCell ref="P6:Q6"/>
    <mergeCell ref="K5:L5"/>
    <mergeCell ref="N5:O5"/>
    <mergeCell ref="K6:L6"/>
    <mergeCell ref="N6:O6"/>
    <mergeCell ref="AT11:AU11"/>
    <mergeCell ref="AV11:AW11"/>
    <mergeCell ref="AX11:AY11"/>
    <mergeCell ref="AZ11:BA11"/>
    <mergeCell ref="BB11:BC11"/>
    <mergeCell ref="BD11:BE11"/>
    <mergeCell ref="AT12:AU12"/>
    <mergeCell ref="AV12:AW12"/>
    <mergeCell ref="AX12:AY12"/>
    <mergeCell ref="AZ12:BA12"/>
    <mergeCell ref="BB12:BC12"/>
    <mergeCell ref="BD12:BE12"/>
    <mergeCell ref="AT24:AU24"/>
    <mergeCell ref="AV24:AW24"/>
    <mergeCell ref="AX24:AY24"/>
    <mergeCell ref="AL23:AM23"/>
    <mergeCell ref="AN23:AO23"/>
    <mergeCell ref="AZ24:BA24"/>
    <mergeCell ref="AN29:AO29"/>
    <mergeCell ref="AP29:AQ29"/>
    <mergeCell ref="AS29:AT29"/>
    <mergeCell ref="AU29:AV29"/>
    <mergeCell ref="AX29:AY29"/>
    <mergeCell ref="AZ29:BA29"/>
    <mergeCell ref="AV25:AW25"/>
    <mergeCell ref="AX25:AY25"/>
    <mergeCell ref="AZ25:BA25"/>
    <mergeCell ref="AJ27:AO27"/>
    <mergeCell ref="AJ28:AK28"/>
    <mergeCell ref="AL28:AM28"/>
    <mergeCell ref="AN28:AO28"/>
    <mergeCell ref="AP28:AQ28"/>
    <mergeCell ref="AS28:AT28"/>
    <mergeCell ref="AU28:AV28"/>
    <mergeCell ref="AX28:AY28"/>
    <mergeCell ref="AZ28:BA28"/>
    <mergeCell ref="AZ31:BA31"/>
    <mergeCell ref="AI51:AJ52"/>
    <mergeCell ref="AK51:AL51"/>
    <mergeCell ref="AM51:AO51"/>
    <mergeCell ref="AP51:AR51"/>
    <mergeCell ref="AS51:AT52"/>
    <mergeCell ref="AU51:AV52"/>
    <mergeCell ref="AW51:BB51"/>
    <mergeCell ref="AJ31:AK31"/>
    <mergeCell ref="AL31:AM31"/>
    <mergeCell ref="AN31:AO31"/>
    <mergeCell ref="AP31:AQ31"/>
    <mergeCell ref="AS31:AT31"/>
    <mergeCell ref="AU31:AV31"/>
    <mergeCell ref="AX31:AY31"/>
    <mergeCell ref="BC51:BE52"/>
    <mergeCell ref="AK52:AL52"/>
    <mergeCell ref="AN52:AO52"/>
    <mergeCell ref="AQ52:AR52"/>
    <mergeCell ref="AW52:AZ52"/>
    <mergeCell ref="BA52:BB52"/>
    <mergeCell ref="AS53:AT53"/>
    <mergeCell ref="AU53:AV55"/>
    <mergeCell ref="AZ67:BB67"/>
    <mergeCell ref="BC67:BE67"/>
    <mergeCell ref="AW53:AZ53"/>
    <mergeCell ref="BA53:BB53"/>
    <mergeCell ref="BC53:BE53"/>
    <mergeCell ref="AS54:AT54"/>
    <mergeCell ref="AW54:AZ54"/>
    <mergeCell ref="BA54:BB54"/>
    <mergeCell ref="BC54:BE54"/>
    <mergeCell ref="BC68:BE68"/>
    <mergeCell ref="AK69:AL69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AU59:AV63"/>
    <mergeCell ref="AW59:BA59"/>
    <mergeCell ref="BB59:BE59"/>
    <mergeCell ref="AW60:BA60"/>
    <mergeCell ref="BB60:BE60"/>
    <mergeCell ref="AW61:BA61"/>
    <mergeCell ref="BB61:BE61"/>
    <mergeCell ref="AW62:BA62"/>
  </mergeCells>
  <phoneticPr fontId="2" type="noConversion"/>
  <conditionalFormatting sqref="C8:C67">
    <cfRule type="cellIs" dxfId="734" priority="1" operator="equal">
      <formula>"여기어때"</formula>
    </cfRule>
    <cfRule type="cellIs" dxfId="733" priority="2" operator="equal">
      <formula>"야놀자"</formula>
    </cfRule>
  </conditionalFormatting>
  <conditionalFormatting sqref="D27:D30">
    <cfRule type="cellIs" dxfId="732" priority="31" operator="equal">
      <formula>"여기어때"</formula>
    </cfRule>
    <cfRule type="cellIs" dxfId="731" priority="32" operator="equal">
      <formula>"야놀자"</formula>
    </cfRule>
  </conditionalFormatting>
  <conditionalFormatting sqref="R8:R66">
    <cfRule type="cellIs" dxfId="730" priority="167" operator="equal">
      <formula>"여기어때"</formula>
    </cfRule>
    <cfRule type="cellIs" dxfId="729" priority="168" operator="equal">
      <formula>"야놀자"</formula>
    </cfRule>
  </conditionalFormatting>
  <conditionalFormatting sqref="R73">
    <cfRule type="cellIs" dxfId="728" priority="169" operator="equal">
      <formula>"여기어때"</formula>
    </cfRule>
    <cfRule type="cellIs" dxfId="727" priority="170" operator="equal">
      <formula>"야놀자"</formula>
    </cfRule>
  </conditionalFormatting>
  <conditionalFormatting sqref="AL30:AM30">
    <cfRule type="cellIs" dxfId="726" priority="154" operator="greaterThan">
      <formula>$AL$29</formula>
    </cfRule>
    <cfRule type="cellIs" dxfId="725" priority="162" operator="equal">
      <formula>$AL$29</formula>
    </cfRule>
  </conditionalFormatting>
  <conditionalFormatting sqref="AN30:AO30">
    <cfRule type="cellIs" dxfId="724" priority="153" operator="greaterThan">
      <formula>$AN$29</formula>
    </cfRule>
    <cfRule type="cellIs" dxfId="723" priority="161" operator="equal">
      <formula>$AN$29</formula>
    </cfRule>
  </conditionalFormatting>
  <conditionalFormatting sqref="AP30:AQ30">
    <cfRule type="cellIs" dxfId="722" priority="152" operator="greaterThan">
      <formula>$AP$29</formula>
    </cfRule>
    <cfRule type="cellIs" dxfId="721" priority="160" operator="equal">
      <formula>$AP$29</formula>
    </cfRule>
  </conditionalFormatting>
  <conditionalFormatting sqref="AR30">
    <cfRule type="cellIs" dxfId="720" priority="151" operator="greaterThan">
      <formula>$AR$29</formula>
    </cfRule>
    <cfRule type="cellIs" dxfId="719" priority="159" operator="equal">
      <formula>$AR$29</formula>
    </cfRule>
  </conditionalFormatting>
  <conditionalFormatting sqref="AS30:AT30">
    <cfRule type="cellIs" dxfId="718" priority="150" operator="greaterThan">
      <formula>$AS$29</formula>
    </cfRule>
    <cfRule type="cellIs" dxfId="717" priority="158" operator="equal">
      <formula>$AS$29</formula>
    </cfRule>
  </conditionalFormatting>
  <conditionalFormatting sqref="AU30:AV30">
    <cfRule type="cellIs" dxfId="716" priority="149" operator="greaterThan">
      <formula>$AU$29</formula>
    </cfRule>
    <cfRule type="cellIs" dxfId="715" priority="157" operator="equal">
      <formula>$AU$29</formula>
    </cfRule>
  </conditionalFormatting>
  <conditionalFormatting sqref="AW30">
    <cfRule type="cellIs" dxfId="714" priority="148" operator="greaterThan">
      <formula>$AW$29</formula>
    </cfRule>
    <cfRule type="cellIs" dxfId="713" priority="156" operator="equal">
      <formula>$AW$29</formula>
    </cfRule>
  </conditionalFormatting>
  <conditionalFormatting sqref="AX30:AY30">
    <cfRule type="cellIs" dxfId="712" priority="147" operator="greaterThan">
      <formula>$AX$29</formula>
    </cfRule>
    <cfRule type="cellIs" dxfId="711" priority="155" operator="equal">
      <formula>$AX$29</formula>
    </cfRule>
  </conditionalFormatting>
  <dataValidations disablePrompts="1" count="1">
    <dataValidation type="list" allowBlank="1" showInputMessage="1" showErrorMessage="1" sqref="A8:A67 P8:P67 C75:C76 C69:C73" xr:uid="{22EA40EE-E9A1-414D-808F-0F970496D9E8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L48" sqref="L48"/>
      <selection pane="bottomLeft" activeCell="M31" sqref="M31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359</v>
      </c>
      <c r="T1" s="834"/>
      <c r="U1" s="834"/>
      <c r="V1" s="834"/>
      <c r="W1" s="834"/>
      <c r="X1" s="834"/>
      <c r="Y1" s="835"/>
      <c r="Z1" s="1" t="s">
        <v>2</v>
      </c>
      <c r="AA1" s="873">
        <v>45903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709000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15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371500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'3'!AA1</f>
        <v>45903</v>
      </c>
      <c r="AM2" s="863"/>
      <c r="AN2" s="863"/>
      <c r="AO2" s="864"/>
      <c r="AP2" s="865" t="s">
        <v>10</v>
      </c>
      <c r="AQ2" s="866"/>
      <c r="AR2" s="866"/>
      <c r="AS2" s="863">
        <f>AA1+1</f>
        <v>45904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주간/양동건 대체/황경현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709000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371500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6</v>
      </c>
      <c r="O4" s="299">
        <f>SUM(COUNTIF(B8:B67,{201,202,203,205,206,207,208,209,506,507,508,509,601,602,603,605,606,607,608,609}))</f>
        <v>0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1</v>
      </c>
      <c r="E6" s="356">
        <f>AP31</f>
        <v>9</v>
      </c>
      <c r="F6" s="356">
        <f>AR31</f>
        <v>1</v>
      </c>
      <c r="G6" s="356">
        <f>AS31</f>
        <v>6</v>
      </c>
      <c r="H6" s="356">
        <f>AU31</f>
        <v>4</v>
      </c>
      <c r="I6" s="356">
        <f>AW31</f>
        <v>4</v>
      </c>
      <c r="J6" s="356">
        <f>AX31</f>
        <v>0</v>
      </c>
      <c r="K6" s="606"/>
      <c r="L6" s="607"/>
      <c r="M6" s="356"/>
      <c r="N6" s="606">
        <f>C6+D6+E6+F6+G6+H6+I6+J6+K6</f>
        <v>25</v>
      </c>
      <c r="O6" s="602"/>
      <c r="P6" s="599">
        <f>C2</f>
        <v>709000</v>
      </c>
      <c r="Q6" s="600"/>
      <c r="R6" s="300">
        <f>AN14+AN15</f>
        <v>0</v>
      </c>
      <c r="S6" s="300">
        <f>AZ14+AZ15</f>
        <v>0</v>
      </c>
      <c r="T6" s="300">
        <f>AR14+AR15</f>
        <v>4000</v>
      </c>
      <c r="U6" s="609">
        <f>AS60</f>
        <v>260000</v>
      </c>
      <c r="V6" s="600"/>
      <c r="W6" s="609">
        <f>AS61</f>
        <v>445000</v>
      </c>
      <c r="X6" s="600"/>
      <c r="Y6" s="609">
        <f>AS62</f>
        <v>0</v>
      </c>
      <c r="Z6" s="600"/>
      <c r="AA6" s="300">
        <f>AS63</f>
        <v>0</v>
      </c>
      <c r="AB6" s="300">
        <f>AS66</f>
        <v>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11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811</v>
      </c>
      <c r="C8" s="230" t="s">
        <v>74</v>
      </c>
      <c r="D8" s="231" t="s">
        <v>244</v>
      </c>
      <c r="E8" s="215" t="s">
        <v>166</v>
      </c>
      <c r="F8" s="231" t="s">
        <v>302</v>
      </c>
      <c r="G8" s="232" t="s">
        <v>163</v>
      </c>
      <c r="H8" s="215" t="s">
        <v>164</v>
      </c>
      <c r="I8" s="215" t="s">
        <v>165</v>
      </c>
      <c r="J8" s="215"/>
      <c r="K8" s="215"/>
      <c r="L8" s="234"/>
      <c r="M8" s="234"/>
      <c r="N8" s="234"/>
      <c r="O8" s="218">
        <v>60000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902</v>
      </c>
      <c r="C9" s="230" t="s">
        <v>275</v>
      </c>
      <c r="D9" s="231" t="s">
        <v>274</v>
      </c>
      <c r="E9" s="215" t="s">
        <v>59</v>
      </c>
      <c r="F9" s="231" t="s">
        <v>167</v>
      </c>
      <c r="G9" s="232" t="s">
        <v>163</v>
      </c>
      <c r="H9" s="215" t="s">
        <v>164</v>
      </c>
      <c r="I9" s="215" t="s">
        <v>165</v>
      </c>
      <c r="J9" s="233" t="s">
        <v>189</v>
      </c>
      <c r="K9" s="215"/>
      <c r="L9" s="234"/>
      <c r="M9" s="234"/>
      <c r="N9" s="234"/>
      <c r="O9" s="219">
        <v>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1111</v>
      </c>
      <c r="C10" s="230" t="s">
        <v>281</v>
      </c>
      <c r="D10" s="231" t="s">
        <v>282</v>
      </c>
      <c r="E10" s="215" t="s">
        <v>166</v>
      </c>
      <c r="F10" s="231" t="s">
        <v>302</v>
      </c>
      <c r="G10" s="232" t="s">
        <v>283</v>
      </c>
      <c r="H10" s="215" t="s">
        <v>164</v>
      </c>
      <c r="I10" s="215" t="s">
        <v>165</v>
      </c>
      <c r="J10" s="233" t="s">
        <v>189</v>
      </c>
      <c r="K10" s="215" t="s">
        <v>319</v>
      </c>
      <c r="L10" s="234"/>
      <c r="M10" s="234"/>
      <c r="N10" s="234"/>
      <c r="O10" s="218">
        <v>60000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15</v>
      </c>
      <c r="AU10" s="625"/>
      <c r="AV10" s="625">
        <f>SUM(O8:O67)</f>
        <v>705000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15</v>
      </c>
      <c r="BC10" s="799"/>
      <c r="BD10" s="800">
        <f>SUM(AN10+AR10+AV10+AZ10)</f>
        <v>705000</v>
      </c>
      <c r="BE10" s="801"/>
    </row>
    <row r="11" spans="1:58" ht="64.5" customHeight="1" x14ac:dyDescent="0.3">
      <c r="A11" s="228">
        <v>4</v>
      </c>
      <c r="B11" s="229">
        <v>911</v>
      </c>
      <c r="C11" s="230" t="s">
        <v>281</v>
      </c>
      <c r="D11" s="231" t="s">
        <v>334</v>
      </c>
      <c r="E11" s="215"/>
      <c r="F11" s="231" t="s">
        <v>302</v>
      </c>
      <c r="G11" s="232" t="s">
        <v>290</v>
      </c>
      <c r="H11" s="215" t="s">
        <v>164</v>
      </c>
      <c r="I11" s="215" t="s">
        <v>165</v>
      </c>
      <c r="J11" s="233" t="s">
        <v>335</v>
      </c>
      <c r="K11" s="215"/>
      <c r="L11" s="234"/>
      <c r="M11" s="234"/>
      <c r="N11" s="234"/>
      <c r="O11" s="218">
        <v>130000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805</v>
      </c>
      <c r="C12" s="230" t="s">
        <v>281</v>
      </c>
      <c r="D12" s="231" t="s">
        <v>322</v>
      </c>
      <c r="E12" s="215" t="s">
        <v>318</v>
      </c>
      <c r="F12" s="231" t="s">
        <v>324</v>
      </c>
      <c r="G12" s="232" t="s">
        <v>283</v>
      </c>
      <c r="H12" s="215" t="s">
        <v>164</v>
      </c>
      <c r="I12" s="215" t="s">
        <v>165</v>
      </c>
      <c r="J12" s="233" t="s">
        <v>189</v>
      </c>
      <c r="K12" s="215"/>
      <c r="L12" s="234"/>
      <c r="M12" s="234"/>
      <c r="N12" s="234"/>
      <c r="O12" s="218">
        <v>65000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1216</v>
      </c>
      <c r="C13" s="230" t="s">
        <v>281</v>
      </c>
      <c r="D13" s="231" t="s">
        <v>364</v>
      </c>
      <c r="E13" s="215" t="s">
        <v>166</v>
      </c>
      <c r="F13" s="231" t="s">
        <v>325</v>
      </c>
      <c r="G13" s="232" t="s">
        <v>283</v>
      </c>
      <c r="H13" s="215" t="s">
        <v>164</v>
      </c>
      <c r="I13" s="215" t="s">
        <v>165</v>
      </c>
      <c r="J13" s="233" t="s">
        <v>189</v>
      </c>
      <c r="K13" s="215"/>
      <c r="L13" s="234"/>
      <c r="M13" s="234"/>
      <c r="N13" s="234"/>
      <c r="O13" s="218">
        <v>60000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32">
        <v>303</v>
      </c>
      <c r="C14" s="380" t="s">
        <v>281</v>
      </c>
      <c r="D14" s="304" t="s">
        <v>365</v>
      </c>
      <c r="E14" s="215" t="s">
        <v>166</v>
      </c>
      <c r="F14" s="304" t="s">
        <v>289</v>
      </c>
      <c r="G14" s="381" t="s">
        <v>283</v>
      </c>
      <c r="H14" s="215" t="s">
        <v>164</v>
      </c>
      <c r="I14" s="215" t="s">
        <v>165</v>
      </c>
      <c r="J14" s="233" t="s">
        <v>189</v>
      </c>
      <c r="K14" s="305"/>
      <c r="L14" s="303"/>
      <c r="M14" s="383"/>
      <c r="N14" s="303"/>
      <c r="O14" s="220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15</v>
      </c>
      <c r="AU14" s="653"/>
      <c r="AV14" s="653">
        <f>SUM(AV10:AW13)</f>
        <v>705000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15</v>
      </c>
      <c r="BC14" s="655"/>
      <c r="BD14" s="782">
        <f>SUM(BD10:BE13)</f>
        <v>705000</v>
      </c>
      <c r="BE14" s="783"/>
    </row>
    <row r="15" spans="1:58" ht="64.5" customHeight="1" thickBot="1" x14ac:dyDescent="0.35">
      <c r="A15" s="228">
        <v>8</v>
      </c>
      <c r="B15" s="229">
        <v>1210</v>
      </c>
      <c r="C15" s="230" t="s">
        <v>292</v>
      </c>
      <c r="D15" s="231" t="s">
        <v>353</v>
      </c>
      <c r="E15" s="215"/>
      <c r="F15" s="231" t="s">
        <v>294</v>
      </c>
      <c r="G15" s="232" t="s">
        <v>283</v>
      </c>
      <c r="H15" s="215" t="s">
        <v>164</v>
      </c>
      <c r="I15" s="215" t="s">
        <v>165</v>
      </c>
      <c r="J15" s="233" t="s">
        <v>189</v>
      </c>
      <c r="K15" s="215"/>
      <c r="L15" s="234"/>
      <c r="M15" s="302"/>
      <c r="N15" s="234"/>
      <c r="O15" s="218">
        <v>80000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229">
        <v>307</v>
      </c>
      <c r="C16" s="230" t="s">
        <v>292</v>
      </c>
      <c r="D16" s="231" t="s">
        <v>376</v>
      </c>
      <c r="E16" s="215" t="s">
        <v>166</v>
      </c>
      <c r="F16" s="231" t="s">
        <v>289</v>
      </c>
      <c r="G16" s="232" t="s">
        <v>283</v>
      </c>
      <c r="H16" s="215" t="s">
        <v>164</v>
      </c>
      <c r="I16" s="215" t="s">
        <v>165</v>
      </c>
      <c r="J16" s="233" t="s">
        <v>189</v>
      </c>
      <c r="K16" s="215"/>
      <c r="L16" s="234"/>
      <c r="M16" s="302"/>
      <c r="N16" s="234"/>
      <c r="O16" s="220">
        <v>60000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709000</v>
      </c>
      <c r="BE16" s="652"/>
      <c r="BF16" s="10"/>
    </row>
    <row r="17" spans="1:62" ht="64.5" customHeight="1" thickBot="1" x14ac:dyDescent="0.35">
      <c r="A17" s="228">
        <v>10</v>
      </c>
      <c r="B17" s="229">
        <v>809</v>
      </c>
      <c r="C17" s="230" t="s">
        <v>292</v>
      </c>
      <c r="D17" s="231" t="s">
        <v>377</v>
      </c>
      <c r="E17" s="215" t="s">
        <v>166</v>
      </c>
      <c r="F17" s="231" t="s">
        <v>324</v>
      </c>
      <c r="G17" s="232" t="s">
        <v>283</v>
      </c>
      <c r="H17" s="215" t="s">
        <v>164</v>
      </c>
      <c r="I17" s="215" t="s">
        <v>165</v>
      </c>
      <c r="J17" s="233" t="s">
        <v>189</v>
      </c>
      <c r="K17" s="215"/>
      <c r="L17" s="234"/>
      <c r="M17" s="302"/>
      <c r="N17" s="234"/>
      <c r="O17" s="224">
        <v>60000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1105</v>
      </c>
      <c r="C18" s="230" t="s">
        <v>281</v>
      </c>
      <c r="D18" s="231" t="s">
        <v>350</v>
      </c>
      <c r="E18" s="215"/>
      <c r="F18" s="231" t="s">
        <v>316</v>
      </c>
      <c r="G18" s="232" t="s">
        <v>283</v>
      </c>
      <c r="H18" s="215" t="s">
        <v>164</v>
      </c>
      <c r="I18" s="215" t="s">
        <v>165</v>
      </c>
      <c r="J18" s="233" t="s">
        <v>189</v>
      </c>
      <c r="K18" s="215" t="s">
        <v>319</v>
      </c>
      <c r="L18" s="234"/>
      <c r="M18" s="302"/>
      <c r="N18" s="234"/>
      <c r="O18" s="220">
        <v>70000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/>
      <c r="C19" s="230"/>
      <c r="D19" s="231"/>
      <c r="E19" s="215"/>
      <c r="F19" s="231"/>
      <c r="G19" s="232"/>
      <c r="H19" s="215"/>
      <c r="I19" s="215"/>
      <c r="J19" s="316"/>
      <c r="K19" s="215"/>
      <c r="L19" s="234"/>
      <c r="M19" s="302"/>
      <c r="N19" s="234"/>
      <c r="O19" s="220"/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/>
      <c r="C20" s="230"/>
      <c r="D20" s="231"/>
      <c r="E20" s="215"/>
      <c r="F20" s="231"/>
      <c r="G20" s="232"/>
      <c r="H20" s="215"/>
      <c r="I20" s="215"/>
      <c r="J20" s="215"/>
      <c r="K20" s="215"/>
      <c r="L20" s="234"/>
      <c r="M20" s="234"/>
      <c r="N20" s="234"/>
      <c r="O20" s="220"/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/>
      <c r="C21" s="230"/>
      <c r="D21" s="231"/>
      <c r="E21" s="215"/>
      <c r="F21" s="231"/>
      <c r="G21" s="232"/>
      <c r="H21" s="215"/>
      <c r="I21" s="215"/>
      <c r="J21" s="215"/>
      <c r="K21" s="215"/>
      <c r="L21" s="234"/>
      <c r="M21" s="234"/>
      <c r="N21" s="234"/>
      <c r="O21" s="218"/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/>
      <c r="C22" s="230"/>
      <c r="D22" s="231"/>
      <c r="E22" s="215"/>
      <c r="F22" s="231"/>
      <c r="G22" s="232"/>
      <c r="H22" s="215"/>
      <c r="I22" s="215"/>
      <c r="J22" s="233"/>
      <c r="K22" s="215"/>
      <c r="L22" s="234"/>
      <c r="M22" s="302"/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/>
      <c r="C23" s="230"/>
      <c r="D23" s="231"/>
      <c r="E23" s="215"/>
      <c r="F23" s="231"/>
      <c r="G23" s="331"/>
      <c r="H23" s="215"/>
      <c r="I23" s="215"/>
      <c r="J23" s="217"/>
      <c r="K23" s="217"/>
      <c r="L23" s="254"/>
      <c r="M23" s="344"/>
      <c r="N23" s="25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/>
      <c r="C24" s="230"/>
      <c r="D24" s="231"/>
      <c r="E24" s="215"/>
      <c r="F24" s="231"/>
      <c r="G24" s="331"/>
      <c r="H24" s="217"/>
      <c r="I24" s="217"/>
      <c r="J24" s="217"/>
      <c r="K24" s="217"/>
      <c r="L24" s="364"/>
      <c r="M24" s="344"/>
      <c r="N24" s="25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31"/>
      <c r="E25" s="215"/>
      <c r="F25" s="231"/>
      <c r="G25" s="331"/>
      <c r="H25" s="217"/>
      <c r="I25" s="217"/>
      <c r="J25" s="217"/>
      <c r="K25" s="217"/>
      <c r="L25" s="364"/>
      <c r="M25" s="344"/>
      <c r="N25" s="254"/>
      <c r="O25" s="218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/>
      <c r="C26" s="230"/>
      <c r="D26" s="231"/>
      <c r="E26" s="215"/>
      <c r="F26" s="231"/>
      <c r="G26" s="331"/>
      <c r="H26" s="217"/>
      <c r="I26" s="217"/>
      <c r="J26" s="217"/>
      <c r="K26" s="217"/>
      <c r="L26" s="365"/>
      <c r="M26" s="344"/>
      <c r="N26" s="254"/>
      <c r="O26" s="220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/>
      <c r="C27" s="239"/>
      <c r="D27" s="231"/>
      <c r="E27" s="215"/>
      <c r="F27" s="231"/>
      <c r="G27" s="331"/>
      <c r="H27" s="217"/>
      <c r="I27" s="217"/>
      <c r="J27" s="217"/>
      <c r="K27" s="217"/>
      <c r="L27" s="365"/>
      <c r="M27" s="254"/>
      <c r="N27" s="25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215"/>
      <c r="F28" s="231"/>
      <c r="G28" s="331"/>
      <c r="H28" s="217"/>
      <c r="I28" s="217"/>
      <c r="J28" s="366"/>
      <c r="K28" s="367"/>
      <c r="L28" s="254"/>
      <c r="M28" s="254"/>
      <c r="N28" s="25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41"/>
      <c r="E29" s="372"/>
      <c r="F29" s="241"/>
      <c r="G29" s="331"/>
      <c r="H29" s="217"/>
      <c r="I29" s="217"/>
      <c r="J29" s="217"/>
      <c r="K29" s="217"/>
      <c r="L29" s="254"/>
      <c r="M29" s="254"/>
      <c r="N29" s="25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9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0"/>
      <c r="E30" s="214"/>
      <c r="F30" s="231"/>
      <c r="G30" s="331"/>
      <c r="H30" s="217"/>
      <c r="I30" s="217"/>
      <c r="J30" s="217"/>
      <c r="K30" s="217"/>
      <c r="L30" s="254"/>
      <c r="M30" s="254"/>
      <c r="N30" s="25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3</v>
      </c>
      <c r="AO30" s="829"/>
      <c r="AP30" s="830">
        <f>COUNTIF(F8:F67,"at")</f>
        <v>1</v>
      </c>
      <c r="AQ30" s="830"/>
      <c r="AR30" s="323">
        <f>COUNTIF(F8:F67,"aD")</f>
        <v>1</v>
      </c>
      <c r="AS30" s="830">
        <f>COUNTIF(F8:F67,"sd")</f>
        <v>3</v>
      </c>
      <c r="AT30" s="830"/>
      <c r="AU30" s="830">
        <f>COUNTIF(F8:F67,"st")</f>
        <v>1</v>
      </c>
      <c r="AV30" s="830"/>
      <c r="AW30" s="324">
        <f>COUNTIF(F8:F67,"v")</f>
        <v>1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4"/>
      <c r="F31" s="231"/>
      <c r="G31" s="331"/>
      <c r="H31" s="217"/>
      <c r="I31" s="217"/>
      <c r="J31" s="217"/>
      <c r="K31" s="217"/>
      <c r="L31" s="254"/>
      <c r="M31" s="254"/>
      <c r="N31" s="25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1</v>
      </c>
      <c r="AO31" s="816"/>
      <c r="AP31" s="817">
        <f>AP29-AP30</f>
        <v>9</v>
      </c>
      <c r="AQ31" s="817"/>
      <c r="AR31" s="322">
        <f>AR29-AR30</f>
        <v>1</v>
      </c>
      <c r="AS31" s="817">
        <f>AS29-AS30</f>
        <v>6</v>
      </c>
      <c r="AT31" s="817"/>
      <c r="AU31" s="817">
        <f>AU29-AU30</f>
        <v>4</v>
      </c>
      <c r="AV31" s="817"/>
      <c r="AW31" s="322">
        <f>AW29-AW30</f>
        <v>4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331"/>
      <c r="H32" s="217"/>
      <c r="I32" s="217"/>
      <c r="J32" s="217"/>
      <c r="K32" s="217"/>
      <c r="L32" s="254"/>
      <c r="M32" s="254"/>
      <c r="N32" s="25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4"/>
      <c r="F33" s="231"/>
      <c r="G33" s="331"/>
      <c r="H33" s="217"/>
      <c r="I33" s="217"/>
      <c r="J33" s="217"/>
      <c r="K33" s="217"/>
      <c r="L33" s="254"/>
      <c r="M33" s="254"/>
      <c r="N33" s="25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4"/>
      <c r="F34" s="231"/>
      <c r="G34" s="331"/>
      <c r="H34" s="217"/>
      <c r="I34" s="217"/>
      <c r="J34" s="217"/>
      <c r="K34" s="217"/>
      <c r="L34" s="254"/>
      <c r="M34" s="254"/>
      <c r="N34" s="25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4"/>
      <c r="F35" s="231"/>
      <c r="G35" s="331"/>
      <c r="H35" s="217"/>
      <c r="I35" s="217"/>
      <c r="J35" s="217"/>
      <c r="K35" s="367"/>
      <c r="L35" s="254"/>
      <c r="M35" s="254"/>
      <c r="N35" s="25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4"/>
      <c r="F36" s="231"/>
      <c r="G36" s="331"/>
      <c r="H36" s="217"/>
      <c r="I36" s="217"/>
      <c r="J36" s="217"/>
      <c r="K36" s="217"/>
      <c r="L36" s="254"/>
      <c r="M36" s="254"/>
      <c r="N36" s="25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331"/>
      <c r="H37" s="217"/>
      <c r="I37" s="217"/>
      <c r="J37" s="368"/>
      <c r="K37" s="217"/>
      <c r="L37" s="254"/>
      <c r="M37" s="254"/>
      <c r="N37" s="254"/>
      <c r="O37" s="220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331"/>
      <c r="H38" s="217"/>
      <c r="I38" s="217"/>
      <c r="J38" s="368"/>
      <c r="K38" s="217"/>
      <c r="L38" s="254"/>
      <c r="M38" s="254"/>
      <c r="N38" s="25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331"/>
      <c r="H39" s="217"/>
      <c r="I39" s="217"/>
      <c r="J39" s="217"/>
      <c r="K39" s="217"/>
      <c r="L39" s="254"/>
      <c r="M39" s="254"/>
      <c r="N39" s="25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331"/>
      <c r="H40" s="217"/>
      <c r="I40" s="217"/>
      <c r="J40" s="368"/>
      <c r="K40" s="217"/>
      <c r="L40" s="254"/>
      <c r="M40" s="254"/>
      <c r="N40" s="25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33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33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232"/>
      <c r="H43" s="215"/>
      <c r="I43" s="215"/>
      <c r="J43" s="233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702</v>
      </c>
      <c r="C44" s="230" t="s">
        <v>70</v>
      </c>
      <c r="D44" s="231" t="s">
        <v>235</v>
      </c>
      <c r="E44" s="215"/>
      <c r="F44" s="231" t="s">
        <v>168</v>
      </c>
      <c r="G44" s="232" t="s">
        <v>238</v>
      </c>
      <c r="H44" s="215" t="s">
        <v>164</v>
      </c>
      <c r="I44" s="215" t="s">
        <v>165</v>
      </c>
      <c r="J44" s="215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308</v>
      </c>
      <c r="C45" s="230" t="s">
        <v>70</v>
      </c>
      <c r="D45" s="231" t="s">
        <v>205</v>
      </c>
      <c r="E45" s="214"/>
      <c r="F45" s="231" t="s">
        <v>55</v>
      </c>
      <c r="G45" s="232" t="s">
        <v>175</v>
      </c>
      <c r="H45" s="215" t="s">
        <v>164</v>
      </c>
      <c r="I45" s="215" t="s">
        <v>165</v>
      </c>
      <c r="J45" s="233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309</v>
      </c>
      <c r="C46" s="230" t="s">
        <v>70</v>
      </c>
      <c r="D46" s="231" t="s">
        <v>206</v>
      </c>
      <c r="E46" s="214"/>
      <c r="F46" s="231" t="s">
        <v>55</v>
      </c>
      <c r="G46" s="232" t="s">
        <v>175</v>
      </c>
      <c r="H46" s="215" t="s">
        <v>164</v>
      </c>
      <c r="I46" s="215" t="s">
        <v>165</v>
      </c>
      <c r="J46" s="233" t="s">
        <v>189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273">
        <v>305</v>
      </c>
      <c r="C47" s="285" t="s">
        <v>73</v>
      </c>
      <c r="D47" s="275" t="s">
        <v>194</v>
      </c>
      <c r="E47" s="276"/>
      <c r="F47" s="275" t="s">
        <v>55</v>
      </c>
      <c r="G47" s="277" t="s">
        <v>199</v>
      </c>
      <c r="H47" s="276" t="s">
        <v>164</v>
      </c>
      <c r="I47" s="276" t="s">
        <v>165</v>
      </c>
      <c r="J47" s="278" t="s">
        <v>193</v>
      </c>
      <c r="K47" s="276"/>
      <c r="L47" s="279"/>
      <c r="M47" s="279"/>
      <c r="N47" s="279"/>
      <c r="O47" s="280">
        <v>0</v>
      </c>
      <c r="P47" s="281">
        <v>40</v>
      </c>
      <c r="Q47" s="273"/>
      <c r="R47" s="274"/>
      <c r="S47" s="275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7"/>
      <c r="H48" s="266"/>
      <c r="I48" s="266"/>
      <c r="J48" s="266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4</v>
      </c>
      <c r="AQ60" s="56">
        <f>SUMIF($C$8:$C$72, $AK60, $L$8:$L$72)+SUMIF($C$8:$C$72, $AK60, $M$8:$M$72)+SUMIF($C$8:$C$72, $AK60, $N$8:$N$72)+SUMIF($C$8:$C$72, $AK60, $O$8:$O$72)</f>
        <v>260000</v>
      </c>
      <c r="AR60" s="57">
        <f>AQ60*0.9</f>
        <v>234000</v>
      </c>
      <c r="AS60" s="58">
        <f t="shared" ref="AS60:AS70" si="4">SUM(AN60+AQ60)</f>
        <v>260000</v>
      </c>
      <c r="AT60" s="59">
        <f t="shared" ref="AT60:AT70" si="5">AO60+AR60</f>
        <v>234000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7</v>
      </c>
      <c r="AQ61" s="56">
        <f t="shared" ref="AQ61:AQ70" si="8">SUMIF($C$8:$C$72, $AK61, $L$8:$L$72)+SUMIF($C$8:$C$72, $AK61, $M$8:$M$72)+SUMIF($C$8:$C$72, $AK61, $N$8:$N$72)+SUMIF($C$8:$C$72, $AK61, $O$8:$O$72)</f>
        <v>445000</v>
      </c>
      <c r="AR61" s="57">
        <f t="shared" ref="AR61:AR70" si="9">AQ61*0.9</f>
        <v>400500</v>
      </c>
      <c r="AS61" s="58">
        <f t="shared" si="4"/>
        <v>445000</v>
      </c>
      <c r="AT61" s="59">
        <f t="shared" si="5"/>
        <v>400500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0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0</v>
      </c>
      <c r="AR66" s="57">
        <f t="shared" si="9"/>
        <v>0</v>
      </c>
      <c r="AS66" s="58">
        <f t="shared" si="4"/>
        <v>0</v>
      </c>
      <c r="AT66" s="59">
        <f t="shared" si="5"/>
        <v>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0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384"/>
      <c r="D68" s="304"/>
      <c r="E68" s="305"/>
      <c r="F68" s="385"/>
      <c r="G68" s="304"/>
      <c r="H68" s="305"/>
      <c r="I68" s="305"/>
      <c r="J68" s="305"/>
      <c r="K68" s="305"/>
      <c r="L68" s="386"/>
      <c r="M68" s="386"/>
      <c r="N68" s="379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705000</v>
      </c>
      <c r="BD68" s="656"/>
      <c r="BE68" s="655"/>
    </row>
    <row r="69" spans="1:57" ht="64.5" customHeight="1" x14ac:dyDescent="0.3">
      <c r="A69" s="659"/>
      <c r="B69" s="660"/>
      <c r="C69" s="377"/>
      <c r="D69" s="231"/>
      <c r="E69" s="265"/>
      <c r="F69" s="266"/>
      <c r="G69" s="265"/>
      <c r="H69" s="267"/>
      <c r="I69" s="266"/>
      <c r="J69" s="266"/>
      <c r="K69" s="266"/>
      <c r="L69" s="266"/>
      <c r="M69" s="257"/>
      <c r="N69" s="257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378"/>
      <c r="D70" s="231"/>
      <c r="E70" s="231"/>
      <c r="F70" s="265"/>
      <c r="G70" s="231"/>
      <c r="H70" s="232"/>
      <c r="I70" s="215"/>
      <c r="J70" s="215"/>
      <c r="K70" s="215"/>
      <c r="L70" s="215"/>
      <c r="M70" s="234"/>
      <c r="N70" s="23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51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51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709000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14</v>
      </c>
      <c r="AQ73" s="22">
        <f t="shared" si="10"/>
        <v>705000</v>
      </c>
      <c r="AR73" s="23">
        <f t="shared" si="10"/>
        <v>634500</v>
      </c>
      <c r="AS73" s="24">
        <f t="shared" si="10"/>
        <v>705000</v>
      </c>
      <c r="AT73" s="25">
        <f t="shared" si="10"/>
        <v>634500</v>
      </c>
      <c r="AU73" s="692" t="s">
        <v>58</v>
      </c>
      <c r="AV73" s="693"/>
      <c r="AW73" s="693"/>
      <c r="AX73" s="693"/>
      <c r="AY73" s="694"/>
      <c r="AZ73" s="695">
        <f>AS58+AT73</f>
        <v>634500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sortState xmlns:xlrd2="http://schemas.microsoft.com/office/spreadsheetml/2017/richdata2" ref="B8:O41">
    <sortCondition ref="G8:G41"/>
  </sortState>
  <mergeCells count="307">
    <mergeCell ref="AI73:AJ73"/>
    <mergeCell ref="AU73:AY73"/>
    <mergeCell ref="AZ73:BE73"/>
    <mergeCell ref="AI74:AJ74"/>
    <mergeCell ref="AW65:BA65"/>
    <mergeCell ref="BB65:BE65"/>
    <mergeCell ref="AK66:AL66"/>
    <mergeCell ref="AK67:AL67"/>
    <mergeCell ref="AZ67:BB67"/>
    <mergeCell ref="BC67:BE67"/>
    <mergeCell ref="AK68:AL68"/>
    <mergeCell ref="AU68:AY68"/>
    <mergeCell ref="AZ68:BB68"/>
    <mergeCell ref="BC68:BE68"/>
    <mergeCell ref="AK69:AL69"/>
    <mergeCell ref="AK70:AL70"/>
    <mergeCell ref="AK71:AL71"/>
    <mergeCell ref="AU71:AY71"/>
    <mergeCell ref="AZ71:BE71"/>
    <mergeCell ref="AK72:AL72"/>
    <mergeCell ref="AI59:AJ72"/>
    <mergeCell ref="AU59:AV63"/>
    <mergeCell ref="AW59:BA59"/>
    <mergeCell ref="BB59:BE59"/>
    <mergeCell ref="AK60:AL60"/>
    <mergeCell ref="AW60:BA60"/>
    <mergeCell ref="BB60:BE60"/>
    <mergeCell ref="AK61:AL61"/>
    <mergeCell ref="AW61:BA61"/>
    <mergeCell ref="BB61:BE61"/>
    <mergeCell ref="AK62:AL62"/>
    <mergeCell ref="AW62:BA62"/>
    <mergeCell ref="BB62:BE62"/>
    <mergeCell ref="AK63:AL63"/>
    <mergeCell ref="AW63:BA63"/>
    <mergeCell ref="BB63:BE63"/>
    <mergeCell ref="AK64:AL64"/>
    <mergeCell ref="AU64:AV65"/>
    <mergeCell ref="AW64:BA64"/>
    <mergeCell ref="BB64:BE64"/>
    <mergeCell ref="AK65:AL65"/>
    <mergeCell ref="AU72:AY72"/>
    <mergeCell ref="AZ72:BE72"/>
    <mergeCell ref="BC51:BE52"/>
    <mergeCell ref="AK52:AL52"/>
    <mergeCell ref="AN52:AO52"/>
    <mergeCell ref="AQ52:AR52"/>
    <mergeCell ref="AW52:AZ52"/>
    <mergeCell ref="BA52:BB52"/>
    <mergeCell ref="AI53:AJ55"/>
    <mergeCell ref="AK53:AL53"/>
    <mergeCell ref="AN53:AO53"/>
    <mergeCell ref="AS53:AT53"/>
    <mergeCell ref="AU53:AV55"/>
    <mergeCell ref="AW53:AZ53"/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AZ29:BA29"/>
    <mergeCell ref="AP30:AQ30"/>
    <mergeCell ref="AU30:AV30"/>
    <mergeCell ref="AZ30:BA30"/>
    <mergeCell ref="AP31:AQ31"/>
    <mergeCell ref="AU31:AV31"/>
    <mergeCell ref="AZ31:BA31"/>
    <mergeCell ref="AI51:AJ52"/>
    <mergeCell ref="AK51:AL51"/>
    <mergeCell ref="AM51:AO51"/>
    <mergeCell ref="AP51:AR51"/>
    <mergeCell ref="AU51:AV52"/>
    <mergeCell ref="AW51:BB51"/>
    <mergeCell ref="AS51:AT52"/>
    <mergeCell ref="AN29:AO29"/>
    <mergeCell ref="AS29:AT29"/>
    <mergeCell ref="AX29:AY29"/>
    <mergeCell ref="AJ29:AK29"/>
    <mergeCell ref="AL29:AM29"/>
    <mergeCell ref="AP29:AQ29"/>
    <mergeCell ref="AU29:AV29"/>
    <mergeCell ref="AZ21:BA21"/>
    <mergeCell ref="AZ22:BA22"/>
    <mergeCell ref="AZ23:BA23"/>
    <mergeCell ref="AZ24:BA24"/>
    <mergeCell ref="AI25:AJ25"/>
    <mergeCell ref="AR25:AS25"/>
    <mergeCell ref="AZ25:BA25"/>
    <mergeCell ref="AJ27:AO27"/>
    <mergeCell ref="AP28:AQ28"/>
    <mergeCell ref="AU28:AV28"/>
    <mergeCell ref="AZ28:BA28"/>
    <mergeCell ref="AX25:AY25"/>
    <mergeCell ref="AN28:AO28"/>
    <mergeCell ref="AS28:AT28"/>
    <mergeCell ref="AX28:AY28"/>
    <mergeCell ref="AJ28:AK28"/>
    <mergeCell ref="AL28:AM28"/>
    <mergeCell ref="AT24:AU24"/>
    <mergeCell ref="AV24:AW24"/>
    <mergeCell ref="AN25:AO25"/>
    <mergeCell ref="AV25:AW25"/>
    <mergeCell ref="AL24:AM24"/>
    <mergeCell ref="AN24:AO24"/>
    <mergeCell ref="AP24:AQ24"/>
    <mergeCell ref="BD10:BE10"/>
    <mergeCell ref="BD11:BE11"/>
    <mergeCell ref="BD12:BE12"/>
    <mergeCell ref="BD13:BE13"/>
    <mergeCell ref="BD14:BE14"/>
    <mergeCell ref="AI15:AJ15"/>
    <mergeCell ref="AR15:AS15"/>
    <mergeCell ref="BD15:BE15"/>
    <mergeCell ref="BD16:BE16"/>
    <mergeCell ref="BB12:BC12"/>
    <mergeCell ref="BB13:BC13"/>
    <mergeCell ref="BB14:BC14"/>
    <mergeCell ref="AP15:AQ15"/>
    <mergeCell ref="BB15:BC15"/>
    <mergeCell ref="BB16:BC16"/>
    <mergeCell ref="AL15:AM15"/>
    <mergeCell ref="AZ15:BA15"/>
    <mergeCell ref="AN15:AO15"/>
    <mergeCell ref="AV15:AW15"/>
    <mergeCell ref="AX15:AY15"/>
    <mergeCell ref="AR11:AS11"/>
    <mergeCell ref="AT11:AU11"/>
    <mergeCell ref="AV11:AW11"/>
    <mergeCell ref="AX11:AY11"/>
    <mergeCell ref="AT9:AU9"/>
    <mergeCell ref="AV9:AW9"/>
    <mergeCell ref="AX9:AY9"/>
    <mergeCell ref="AZ9:BA9"/>
    <mergeCell ref="AZ11:BA11"/>
    <mergeCell ref="AP10:AQ10"/>
    <mergeCell ref="AR10:AS10"/>
    <mergeCell ref="AT10:AU10"/>
    <mergeCell ref="AV10:AW10"/>
    <mergeCell ref="AX10:AY10"/>
    <mergeCell ref="AZ10:BA10"/>
    <mergeCell ref="AI58:AL58"/>
    <mergeCell ref="AN58:AO58"/>
    <mergeCell ref="AS58:AT58"/>
    <mergeCell ref="AA1:AG1"/>
    <mergeCell ref="AI1:BE1"/>
    <mergeCell ref="AB2:AG2"/>
    <mergeCell ref="AI2:AK2"/>
    <mergeCell ref="AL2:AO2"/>
    <mergeCell ref="AP2:AR2"/>
    <mergeCell ref="AS2:AY2"/>
    <mergeCell ref="BA2:BE2"/>
    <mergeCell ref="AB3:AG3"/>
    <mergeCell ref="AT8:AW8"/>
    <mergeCell ref="AX8:BA8"/>
    <mergeCell ref="AL9:AM9"/>
    <mergeCell ref="AZ14:BA14"/>
    <mergeCell ref="AL14:AM14"/>
    <mergeCell ref="AN14:AO14"/>
    <mergeCell ref="AP14:AQ14"/>
    <mergeCell ref="AR14:AS14"/>
    <mergeCell ref="AT14:AU14"/>
    <mergeCell ref="AV14:AW14"/>
    <mergeCell ref="AX14:AY14"/>
    <mergeCell ref="AP9:AQ9"/>
    <mergeCell ref="AQ56:AR56"/>
    <mergeCell ref="AQ57:AR57"/>
    <mergeCell ref="BA55:BB55"/>
    <mergeCell ref="BC55:BE55"/>
    <mergeCell ref="AI56:AJ57"/>
    <mergeCell ref="AK56:AL56"/>
    <mergeCell ref="AN56:AO56"/>
    <mergeCell ref="AS56:AT56"/>
    <mergeCell ref="AK57:AL57"/>
    <mergeCell ref="AN57:AO57"/>
    <mergeCell ref="AS57:AT57"/>
    <mergeCell ref="BD9:BE9"/>
    <mergeCell ref="P4:AE4"/>
    <mergeCell ref="AL4:AP4"/>
    <mergeCell ref="AL5:AP5"/>
    <mergeCell ref="AQ53:AR53"/>
    <mergeCell ref="A68:B76"/>
    <mergeCell ref="P68:Q76"/>
    <mergeCell ref="AQ55:AR55"/>
    <mergeCell ref="AQ54:AR54"/>
    <mergeCell ref="AJ31:AK31"/>
    <mergeCell ref="AL31:AM31"/>
    <mergeCell ref="AJ30:AK30"/>
    <mergeCell ref="AL30:AM30"/>
    <mergeCell ref="AN30:AO30"/>
    <mergeCell ref="AS30:AT30"/>
    <mergeCell ref="AX30:AY30"/>
    <mergeCell ref="AN31:AO31"/>
    <mergeCell ref="AS31:AT31"/>
    <mergeCell ref="AX31:AY31"/>
    <mergeCell ref="AL22:AM22"/>
    <mergeCell ref="AN22:AO22"/>
    <mergeCell ref="AP22:AQ22"/>
    <mergeCell ref="AR22:AS22"/>
    <mergeCell ref="AQ58:AR58"/>
    <mergeCell ref="AR24:AS24"/>
    <mergeCell ref="AP25:AQ25"/>
    <mergeCell ref="AI18:AJ24"/>
    <mergeCell ref="AK18:AK19"/>
    <mergeCell ref="AL18:AO18"/>
    <mergeCell ref="AP18:AS18"/>
    <mergeCell ref="AT18:AW18"/>
    <mergeCell ref="AL19:AM19"/>
    <mergeCell ref="AX21:AY21"/>
    <mergeCell ref="AX22:AY22"/>
    <mergeCell ref="AX23:AY23"/>
    <mergeCell ref="AX24:AY24"/>
    <mergeCell ref="AT20:AU20"/>
    <mergeCell ref="AV20:AW20"/>
    <mergeCell ref="AL21:AM21"/>
    <mergeCell ref="AN21:AO21"/>
    <mergeCell ref="AP21:AQ21"/>
    <mergeCell ref="AR21:AS21"/>
    <mergeCell ref="AT21:AU21"/>
    <mergeCell ref="AV21:AW21"/>
    <mergeCell ref="AL20:AM20"/>
    <mergeCell ref="AT22:AU22"/>
    <mergeCell ref="AV22:AW22"/>
    <mergeCell ref="AL23:AM23"/>
    <mergeCell ref="AN23:AO23"/>
    <mergeCell ref="AP23:AQ23"/>
    <mergeCell ref="AR23:AS23"/>
    <mergeCell ref="AT23:AU23"/>
    <mergeCell ref="AV23:AW23"/>
    <mergeCell ref="AP20:AQ20"/>
    <mergeCell ref="AR20:AS20"/>
    <mergeCell ref="AP19:AQ19"/>
    <mergeCell ref="AR19:AS19"/>
    <mergeCell ref="AT19:AU19"/>
    <mergeCell ref="AV19:AW19"/>
    <mergeCell ref="AX19:AY19"/>
    <mergeCell ref="AX20:AY20"/>
    <mergeCell ref="AX18:BA18"/>
    <mergeCell ref="AZ19:BA19"/>
    <mergeCell ref="AZ20:BA20"/>
    <mergeCell ref="AZ12:BA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AL12:AM12"/>
    <mergeCell ref="AN12:AO12"/>
    <mergeCell ref="AP12:AQ12"/>
    <mergeCell ref="AR12:AS12"/>
    <mergeCell ref="AT12:AU12"/>
    <mergeCell ref="AV12:AW12"/>
    <mergeCell ref="AX12:AY12"/>
    <mergeCell ref="BB10:BC10"/>
    <mergeCell ref="BB11:BC11"/>
    <mergeCell ref="BB9:BC9"/>
    <mergeCell ref="A1:O1"/>
    <mergeCell ref="P1:R3"/>
    <mergeCell ref="S1:Y3"/>
    <mergeCell ref="A2:B3"/>
    <mergeCell ref="C2:F3"/>
    <mergeCell ref="G2:G3"/>
    <mergeCell ref="H2:L2"/>
    <mergeCell ref="M2:M3"/>
    <mergeCell ref="H3:L3"/>
    <mergeCell ref="N3:O3"/>
    <mergeCell ref="N2:O2"/>
    <mergeCell ref="Z2:Z3"/>
    <mergeCell ref="U5:V5"/>
    <mergeCell ref="W5:X5"/>
    <mergeCell ref="Y5:Z5"/>
    <mergeCell ref="U6:V6"/>
    <mergeCell ref="W6:X6"/>
    <mergeCell ref="Y6:Z6"/>
    <mergeCell ref="A4:M4"/>
    <mergeCell ref="A5:B5"/>
    <mergeCell ref="BB8:BE8"/>
    <mergeCell ref="P5:Q5"/>
    <mergeCell ref="A6:B6"/>
    <mergeCell ref="P6:Q6"/>
    <mergeCell ref="K5:L5"/>
    <mergeCell ref="N5:O5"/>
    <mergeCell ref="K6:L6"/>
    <mergeCell ref="N6:O6"/>
    <mergeCell ref="AL10:AM10"/>
    <mergeCell ref="AN10:AO10"/>
    <mergeCell ref="AL11:AM11"/>
    <mergeCell ref="AN11:AO11"/>
    <mergeCell ref="AN20:AO20"/>
    <mergeCell ref="AL6:AP6"/>
    <mergeCell ref="AL7:AM7"/>
    <mergeCell ref="AN7:AP7"/>
    <mergeCell ref="AI8:AJ14"/>
    <mergeCell ref="AK8:AK9"/>
    <mergeCell ref="AL8:AO8"/>
    <mergeCell ref="AP8:AS8"/>
    <mergeCell ref="AP11:AQ11"/>
    <mergeCell ref="AR9:AS9"/>
  </mergeCells>
  <phoneticPr fontId="2" type="noConversion"/>
  <conditionalFormatting sqref="C8:C68">
    <cfRule type="cellIs" dxfId="710" priority="1" operator="equal">
      <formula>"여기어때"</formula>
    </cfRule>
    <cfRule type="cellIs" dxfId="709" priority="2" operator="equal">
      <formula>"야놀자"</formula>
    </cfRule>
  </conditionalFormatting>
  <conditionalFormatting sqref="D30">
    <cfRule type="cellIs" dxfId="708" priority="107" operator="equal">
      <formula>"여기어때"</formula>
    </cfRule>
    <cfRule type="cellIs" dxfId="707" priority="108" operator="equal">
      <formula>"야놀자"</formula>
    </cfRule>
  </conditionalFormatting>
  <conditionalFormatting sqref="R8:R66">
    <cfRule type="cellIs" dxfId="706" priority="111" operator="equal">
      <formula>"여기어때"</formula>
    </cfRule>
    <cfRule type="cellIs" dxfId="705" priority="112" operator="equal">
      <formula>"야놀자"</formula>
    </cfRule>
  </conditionalFormatting>
  <conditionalFormatting sqref="R73">
    <cfRule type="cellIs" dxfId="704" priority="113" operator="equal">
      <formula>"여기어때"</formula>
    </cfRule>
    <cfRule type="cellIs" dxfId="703" priority="114" operator="equal">
      <formula>"야놀자"</formula>
    </cfRule>
  </conditionalFormatting>
  <conditionalFormatting sqref="AL30:AM30">
    <cfRule type="cellIs" dxfId="702" priority="98" operator="greaterThan">
      <formula>$AL$29</formula>
    </cfRule>
    <cfRule type="cellIs" dxfId="701" priority="106" operator="equal">
      <formula>$AL$29</formula>
    </cfRule>
  </conditionalFormatting>
  <conditionalFormatting sqref="AN30:AO30">
    <cfRule type="cellIs" dxfId="700" priority="97" operator="greaterThan">
      <formula>$AN$29</formula>
    </cfRule>
    <cfRule type="cellIs" dxfId="699" priority="105" operator="equal">
      <formula>$AN$29</formula>
    </cfRule>
  </conditionalFormatting>
  <conditionalFormatting sqref="AP30:AQ30">
    <cfRule type="cellIs" dxfId="698" priority="96" operator="greaterThan">
      <formula>$AP$29</formula>
    </cfRule>
    <cfRule type="cellIs" dxfId="697" priority="104" operator="equal">
      <formula>$AP$29</formula>
    </cfRule>
  </conditionalFormatting>
  <conditionalFormatting sqref="AR30">
    <cfRule type="cellIs" dxfId="696" priority="95" operator="greaterThan">
      <formula>$AR$29</formula>
    </cfRule>
    <cfRule type="cellIs" dxfId="695" priority="103" operator="equal">
      <formula>$AR$29</formula>
    </cfRule>
  </conditionalFormatting>
  <conditionalFormatting sqref="AS30:AT30">
    <cfRule type="cellIs" dxfId="694" priority="94" operator="greaterThan">
      <formula>$AS$29</formula>
    </cfRule>
    <cfRule type="cellIs" dxfId="693" priority="102" operator="equal">
      <formula>$AS$29</formula>
    </cfRule>
  </conditionalFormatting>
  <conditionalFormatting sqref="AU30:AV30">
    <cfRule type="cellIs" dxfId="692" priority="93" operator="greaterThan">
      <formula>$AU$29</formula>
    </cfRule>
    <cfRule type="cellIs" dxfId="691" priority="101" operator="equal">
      <formula>$AU$29</formula>
    </cfRule>
  </conditionalFormatting>
  <conditionalFormatting sqref="AW30">
    <cfRule type="cellIs" dxfId="690" priority="92" operator="greaterThan">
      <formula>$AW$29</formula>
    </cfRule>
    <cfRule type="cellIs" dxfId="689" priority="100" operator="equal">
      <formula>$AW$29</formula>
    </cfRule>
  </conditionalFormatting>
  <conditionalFormatting sqref="AX30:AY30">
    <cfRule type="cellIs" dxfId="688" priority="91" operator="greaterThan">
      <formula>$AX$29</formula>
    </cfRule>
    <cfRule type="cellIs" dxfId="687" priority="99" operator="equal">
      <formula>$AX$29</formula>
    </cfRule>
  </conditionalFormatting>
  <dataValidations disablePrompts="1" count="1">
    <dataValidation type="list" allowBlank="1" showInputMessage="1" showErrorMessage="1" sqref="A8:A67 P8:P67 C75:C76 C73" xr:uid="{EB98EE9D-66B9-4C6F-A089-88ADFFD8EBF7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4101-2950-4AC7-B536-ADA26D6574B4}">
  <sheetPr codeName="Sheet4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L48" sqref="L48"/>
      <selection pane="bottomLeft" activeCell="K27" sqref="K27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360</v>
      </c>
      <c r="T1" s="834"/>
      <c r="U1" s="834"/>
      <c r="V1" s="834"/>
      <c r="W1" s="834"/>
      <c r="X1" s="834"/>
      <c r="Y1" s="835"/>
      <c r="Z1" s="1" t="s">
        <v>2</v>
      </c>
      <c r="AA1" s="873">
        <v>45904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625300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12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371500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'4'!AA1</f>
        <v>45904</v>
      </c>
      <c r="AM2" s="863"/>
      <c r="AN2" s="863"/>
      <c r="AO2" s="864"/>
      <c r="AP2" s="865" t="s">
        <v>10</v>
      </c>
      <c r="AQ2" s="866"/>
      <c r="AR2" s="866"/>
      <c r="AS2" s="863">
        <f>AA1+1</f>
        <v>45905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주간/양동건 대체/김선우 야간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625300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371500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0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1</v>
      </c>
      <c r="D6" s="356">
        <f>AN31</f>
        <v>2</v>
      </c>
      <c r="E6" s="356">
        <f>AP31</f>
        <v>8</v>
      </c>
      <c r="F6" s="356">
        <f>AR31</f>
        <v>2</v>
      </c>
      <c r="G6" s="356">
        <f>AS31</f>
        <v>8</v>
      </c>
      <c r="H6" s="356">
        <f>AU31</f>
        <v>4</v>
      </c>
      <c r="I6" s="356">
        <f>AW31</f>
        <v>3</v>
      </c>
      <c r="J6" s="356">
        <f>AX31</f>
        <v>0</v>
      </c>
      <c r="K6" s="606"/>
      <c r="L6" s="607"/>
      <c r="M6" s="356"/>
      <c r="N6" s="606">
        <f>C6+D6+E6+F6+G6+H6+I6+J6+K6</f>
        <v>28</v>
      </c>
      <c r="O6" s="602"/>
      <c r="P6" s="599">
        <f>C2</f>
        <v>625300</v>
      </c>
      <c r="Q6" s="600"/>
      <c r="R6" s="300">
        <f>AN14+AN15</f>
        <v>0</v>
      </c>
      <c r="S6" s="300">
        <f>AZ14+AZ15</f>
        <v>0</v>
      </c>
      <c r="T6" s="300">
        <f>AR14+AR15</f>
        <v>4000</v>
      </c>
      <c r="U6" s="609">
        <f>AS60</f>
        <v>280000</v>
      </c>
      <c r="V6" s="600"/>
      <c r="W6" s="609">
        <f>AS61</f>
        <v>275000</v>
      </c>
      <c r="X6" s="600"/>
      <c r="Y6" s="609">
        <f>AS62</f>
        <v>0</v>
      </c>
      <c r="Z6" s="600"/>
      <c r="AA6" s="300">
        <f>AS63</f>
        <v>0</v>
      </c>
      <c r="AB6" s="300">
        <f>AS66</f>
        <v>66300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11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907</v>
      </c>
      <c r="C8" s="230" t="s">
        <v>191</v>
      </c>
      <c r="D8" s="231" t="s">
        <v>333</v>
      </c>
      <c r="E8" s="293"/>
      <c r="F8" s="231" t="s">
        <v>324</v>
      </c>
      <c r="G8" s="232" t="s">
        <v>283</v>
      </c>
      <c r="H8" s="215" t="s">
        <v>285</v>
      </c>
      <c r="I8" s="215" t="s">
        <v>286</v>
      </c>
      <c r="J8" s="237" t="s">
        <v>299</v>
      </c>
      <c r="K8" s="238"/>
      <c r="L8" s="234"/>
      <c r="M8" s="234"/>
      <c r="N8" s="234"/>
      <c r="O8" s="218">
        <v>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1110</v>
      </c>
      <c r="C9" s="230" t="s">
        <v>292</v>
      </c>
      <c r="D9" s="231" t="s">
        <v>349</v>
      </c>
      <c r="E9" s="293"/>
      <c r="F9" s="231" t="s">
        <v>294</v>
      </c>
      <c r="G9" s="232" t="s">
        <v>283</v>
      </c>
      <c r="H9" s="215" t="s">
        <v>285</v>
      </c>
      <c r="I9" s="215" t="s">
        <v>286</v>
      </c>
      <c r="J9" s="237" t="s">
        <v>299</v>
      </c>
      <c r="K9" s="215"/>
      <c r="L9" s="234"/>
      <c r="M9" s="234"/>
      <c r="N9" s="234"/>
      <c r="O9" s="218">
        <v>80000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1011</v>
      </c>
      <c r="C10" s="230" t="s">
        <v>281</v>
      </c>
      <c r="D10" s="231" t="s">
        <v>357</v>
      </c>
      <c r="E10" s="293"/>
      <c r="F10" s="231" t="s">
        <v>302</v>
      </c>
      <c r="G10" s="232" t="s">
        <v>290</v>
      </c>
      <c r="H10" s="215" t="s">
        <v>285</v>
      </c>
      <c r="I10" s="215" t="s">
        <v>286</v>
      </c>
      <c r="J10" s="215" t="s">
        <v>335</v>
      </c>
      <c r="K10" s="215" t="s">
        <v>319</v>
      </c>
      <c r="L10" s="234"/>
      <c r="M10" s="234"/>
      <c r="N10" s="234"/>
      <c r="O10" s="218">
        <v>150000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12</v>
      </c>
      <c r="AU10" s="625"/>
      <c r="AV10" s="625">
        <f>SUM(O8:O67)</f>
        <v>621300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12</v>
      </c>
      <c r="BC10" s="799"/>
      <c r="BD10" s="800">
        <f>SUM(AN10+AR10+AV10+AZ10)</f>
        <v>621300</v>
      </c>
      <c r="BE10" s="801"/>
    </row>
    <row r="11" spans="1:58" ht="64.5" customHeight="1" x14ac:dyDescent="0.3">
      <c r="A11" s="228">
        <v>4</v>
      </c>
      <c r="B11" s="229">
        <v>303</v>
      </c>
      <c r="C11" s="230" t="s">
        <v>292</v>
      </c>
      <c r="D11" s="231" t="s">
        <v>380</v>
      </c>
      <c r="E11" s="293" t="s">
        <v>296</v>
      </c>
      <c r="F11" s="231" t="s">
        <v>289</v>
      </c>
      <c r="G11" s="232" t="s">
        <v>283</v>
      </c>
      <c r="H11" s="215" t="s">
        <v>285</v>
      </c>
      <c r="I11" s="215" t="s">
        <v>286</v>
      </c>
      <c r="J11" s="233" t="s">
        <v>287</v>
      </c>
      <c r="K11" s="215"/>
      <c r="L11" s="234"/>
      <c r="M11" s="234"/>
      <c r="N11" s="234"/>
      <c r="O11" s="218">
        <v>60000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1210</v>
      </c>
      <c r="C12" s="230" t="s">
        <v>292</v>
      </c>
      <c r="D12" s="231" t="s">
        <v>353</v>
      </c>
      <c r="E12" s="293"/>
      <c r="F12" s="231" t="s">
        <v>294</v>
      </c>
      <c r="G12" s="232" t="s">
        <v>283</v>
      </c>
      <c r="H12" s="215" t="s">
        <v>285</v>
      </c>
      <c r="I12" s="215" t="s">
        <v>286</v>
      </c>
      <c r="J12" s="233" t="s">
        <v>287</v>
      </c>
      <c r="K12" s="215"/>
      <c r="L12" s="234"/>
      <c r="M12" s="234"/>
      <c r="N12" s="234"/>
      <c r="O12" s="218">
        <v>80000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309</v>
      </c>
      <c r="C13" s="230" t="s">
        <v>300</v>
      </c>
      <c r="D13" s="231" t="s">
        <v>395</v>
      </c>
      <c r="E13" s="293"/>
      <c r="F13" s="231" t="s">
        <v>289</v>
      </c>
      <c r="G13" s="232" t="s">
        <v>283</v>
      </c>
      <c r="H13" s="215" t="s">
        <v>285</v>
      </c>
      <c r="I13" s="215" t="s">
        <v>286</v>
      </c>
      <c r="J13" s="233" t="s">
        <v>287</v>
      </c>
      <c r="K13" s="215"/>
      <c r="L13" s="234"/>
      <c r="M13" s="234"/>
      <c r="N13" s="234"/>
      <c r="O13" s="218">
        <v>66300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308</v>
      </c>
      <c r="C14" s="230" t="s">
        <v>281</v>
      </c>
      <c r="D14" s="231" t="s">
        <v>322</v>
      </c>
      <c r="E14" s="293"/>
      <c r="F14" s="231" t="s">
        <v>289</v>
      </c>
      <c r="G14" s="232" t="s">
        <v>283</v>
      </c>
      <c r="H14" s="215" t="s">
        <v>285</v>
      </c>
      <c r="I14" s="215" t="s">
        <v>286</v>
      </c>
      <c r="J14" s="233" t="s">
        <v>287</v>
      </c>
      <c r="K14" s="215"/>
      <c r="L14" s="234"/>
      <c r="M14" s="234"/>
      <c r="N14" s="234"/>
      <c r="O14" s="219">
        <v>65000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12</v>
      </c>
      <c r="AU14" s="653"/>
      <c r="AV14" s="653">
        <f>SUM(AV10:AW13)</f>
        <v>621300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12</v>
      </c>
      <c r="BC14" s="655"/>
      <c r="BD14" s="782">
        <f>SUM(BD10:BE13)</f>
        <v>621300</v>
      </c>
      <c r="BE14" s="783"/>
    </row>
    <row r="15" spans="1:58" ht="64.5" customHeight="1" thickBot="1" x14ac:dyDescent="0.35">
      <c r="A15" s="228">
        <v>8</v>
      </c>
      <c r="B15" s="229">
        <v>1112</v>
      </c>
      <c r="C15" s="230" t="s">
        <v>281</v>
      </c>
      <c r="D15" s="230" t="s">
        <v>401</v>
      </c>
      <c r="E15" s="293" t="s">
        <v>296</v>
      </c>
      <c r="F15" s="231" t="s">
        <v>325</v>
      </c>
      <c r="G15" s="232" t="s">
        <v>283</v>
      </c>
      <c r="H15" s="215" t="s">
        <v>285</v>
      </c>
      <c r="I15" s="215" t="s">
        <v>286</v>
      </c>
      <c r="J15" s="233" t="s">
        <v>299</v>
      </c>
      <c r="K15" s="215"/>
      <c r="L15" s="234"/>
      <c r="M15" s="302"/>
      <c r="N15" s="234"/>
      <c r="O15" s="218">
        <v>60000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229">
        <v>1114</v>
      </c>
      <c r="C16" s="230" t="s">
        <v>292</v>
      </c>
      <c r="D16" s="231" t="s">
        <v>407</v>
      </c>
      <c r="E16" s="293" t="s">
        <v>296</v>
      </c>
      <c r="F16" s="231" t="s">
        <v>325</v>
      </c>
      <c r="G16" s="232" t="s">
        <v>283</v>
      </c>
      <c r="H16" s="215" t="s">
        <v>285</v>
      </c>
      <c r="I16" s="215" t="s">
        <v>286</v>
      </c>
      <c r="J16" s="233" t="s">
        <v>299</v>
      </c>
      <c r="K16" s="215" t="s">
        <v>319</v>
      </c>
      <c r="L16" s="234"/>
      <c r="M16" s="234"/>
      <c r="N16" s="234"/>
      <c r="O16" s="219">
        <v>60000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625300</v>
      </c>
      <c r="BE16" s="652"/>
      <c r="BF16" s="10"/>
    </row>
    <row r="17" spans="1:62" ht="64.5" customHeight="1" thickBot="1" x14ac:dyDescent="0.35">
      <c r="A17" s="228">
        <v>10</v>
      </c>
      <c r="B17" s="229"/>
      <c r="C17" s="230"/>
      <c r="D17" s="231"/>
      <c r="E17" s="215"/>
      <c r="F17" s="231"/>
      <c r="G17" s="232"/>
      <c r="H17" s="215"/>
      <c r="I17" s="215"/>
      <c r="J17" s="215"/>
      <c r="K17" s="238"/>
      <c r="L17" s="234"/>
      <c r="M17" s="234"/>
      <c r="N17" s="234"/>
      <c r="O17" s="218"/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/>
      <c r="C18" s="230"/>
      <c r="D18" s="231"/>
      <c r="E18" s="293"/>
      <c r="F18" s="231"/>
      <c r="G18" s="232"/>
      <c r="H18" s="215"/>
      <c r="I18" s="215"/>
      <c r="J18" s="233"/>
      <c r="K18" s="215"/>
      <c r="L18" s="234"/>
      <c r="M18" s="234"/>
      <c r="N18" s="234"/>
      <c r="O18" s="317"/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/>
      <c r="C19" s="230"/>
      <c r="D19" s="231"/>
      <c r="E19" s="293"/>
      <c r="F19" s="231"/>
      <c r="G19" s="232"/>
      <c r="H19" s="215"/>
      <c r="I19" s="215"/>
      <c r="J19" s="233"/>
      <c r="K19" s="215"/>
      <c r="L19" s="234"/>
      <c r="M19" s="234"/>
      <c r="N19" s="234"/>
      <c r="O19" s="218"/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/>
      <c r="C20" s="230"/>
      <c r="D20" s="231"/>
      <c r="E20" s="215"/>
      <c r="F20" s="231"/>
      <c r="G20" s="232"/>
      <c r="H20" s="215"/>
      <c r="I20" s="215"/>
      <c r="J20" s="233"/>
      <c r="K20" s="215"/>
      <c r="L20" s="234"/>
      <c r="M20" s="234"/>
      <c r="N20" s="234"/>
      <c r="O20" s="218"/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/>
      <c r="C21" s="230"/>
      <c r="D21" s="231"/>
      <c r="E21" s="293"/>
      <c r="F21" s="231"/>
      <c r="G21" s="232"/>
      <c r="H21" s="215"/>
      <c r="I21" s="215"/>
      <c r="J21" s="233"/>
      <c r="K21" s="215"/>
      <c r="L21" s="234"/>
      <c r="M21" s="234"/>
      <c r="N21" s="234"/>
      <c r="O21" s="218"/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/>
      <c r="C22" s="230"/>
      <c r="D22" s="231"/>
      <c r="E22" s="293"/>
      <c r="F22" s="231"/>
      <c r="G22" s="232"/>
      <c r="H22" s="215"/>
      <c r="I22" s="215"/>
      <c r="J22" s="233"/>
      <c r="K22" s="215"/>
      <c r="L22" s="234"/>
      <c r="M22" s="234"/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/>
      <c r="C23" s="230"/>
      <c r="D23" s="231"/>
      <c r="E23" s="293"/>
      <c r="F23" s="231"/>
      <c r="G23" s="232"/>
      <c r="H23" s="215"/>
      <c r="I23" s="215"/>
      <c r="J23" s="233"/>
      <c r="K23" s="215"/>
      <c r="L23" s="234"/>
      <c r="M23" s="234"/>
      <c r="N23" s="23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/>
      <c r="C24" s="230"/>
      <c r="D24" s="231"/>
      <c r="E24" s="293"/>
      <c r="F24" s="231"/>
      <c r="G24" s="232"/>
      <c r="H24" s="215"/>
      <c r="I24" s="215"/>
      <c r="J24" s="215"/>
      <c r="K24" s="215"/>
      <c r="L24" s="234"/>
      <c r="M24" s="234"/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31"/>
      <c r="E25" s="215"/>
      <c r="F25" s="231"/>
      <c r="G25" s="232"/>
      <c r="H25" s="215"/>
      <c r="I25" s="215"/>
      <c r="J25" s="233"/>
      <c r="K25" s="215"/>
      <c r="L25" s="234"/>
      <c r="M25" s="234"/>
      <c r="N25" s="234"/>
      <c r="O25" s="218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/>
      <c r="C26" s="230"/>
      <c r="D26" s="231"/>
      <c r="E26" s="293"/>
      <c r="F26" s="231"/>
      <c r="G26" s="232"/>
      <c r="H26" s="215"/>
      <c r="I26" s="215"/>
      <c r="J26" s="233"/>
      <c r="K26" s="215"/>
      <c r="L26" s="234"/>
      <c r="M26" s="234"/>
      <c r="N26" s="23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/>
      <c r="C27" s="230"/>
      <c r="D27" s="231"/>
      <c r="E27" s="293"/>
      <c r="F27" s="231"/>
      <c r="G27" s="232"/>
      <c r="H27" s="215"/>
      <c r="I27" s="215"/>
      <c r="J27" s="215"/>
      <c r="K27" s="215"/>
      <c r="L27" s="234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293"/>
      <c r="F28" s="231"/>
      <c r="G28" s="232"/>
      <c r="H28" s="215"/>
      <c r="I28" s="215"/>
      <c r="J28" s="237"/>
      <c r="K28" s="215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31"/>
      <c r="E29" s="215"/>
      <c r="F29" s="231"/>
      <c r="G29" s="232"/>
      <c r="H29" s="215"/>
      <c r="I29" s="215"/>
      <c r="J29" s="233"/>
      <c r="K29" s="215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9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1"/>
      <c r="E30" s="293"/>
      <c r="F30" s="231"/>
      <c r="G30" s="232"/>
      <c r="H30" s="215"/>
      <c r="I30" s="215"/>
      <c r="J30" s="215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4</v>
      </c>
      <c r="AM30" s="828"/>
      <c r="AN30" s="829">
        <f>COUNTIF(F8:F67,"b")</f>
        <v>2</v>
      </c>
      <c r="AO30" s="829"/>
      <c r="AP30" s="830">
        <f>COUNTIF(F8:F67,"at")</f>
        <v>2</v>
      </c>
      <c r="AQ30" s="830"/>
      <c r="AR30" s="323">
        <f>COUNTIF(F8:F67,"aD")</f>
        <v>0</v>
      </c>
      <c r="AS30" s="830">
        <f>COUNTIF(F8:F67,"sd")</f>
        <v>1</v>
      </c>
      <c r="AT30" s="830"/>
      <c r="AU30" s="830">
        <f>COUNTIF(F8:F67,"st")</f>
        <v>1</v>
      </c>
      <c r="AV30" s="830"/>
      <c r="AW30" s="324">
        <f>COUNTIF(F8:F67,"v")</f>
        <v>2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304"/>
      <c r="E31" s="306"/>
      <c r="F31" s="304"/>
      <c r="G31" s="232"/>
      <c r="H31" s="215"/>
      <c r="I31" s="215"/>
      <c r="J31" s="215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1</v>
      </c>
      <c r="AM31" s="815"/>
      <c r="AN31" s="816">
        <f>AN29-AN30</f>
        <v>2</v>
      </c>
      <c r="AO31" s="816"/>
      <c r="AP31" s="817">
        <f>AP29-AP30</f>
        <v>8</v>
      </c>
      <c r="AQ31" s="817"/>
      <c r="AR31" s="322">
        <f>AR29-AR30</f>
        <v>2</v>
      </c>
      <c r="AS31" s="817">
        <f>AS29-AS30</f>
        <v>8</v>
      </c>
      <c r="AT31" s="817"/>
      <c r="AU31" s="817">
        <f>AU29-AU30</f>
        <v>4</v>
      </c>
      <c r="AV31" s="817"/>
      <c r="AW31" s="322">
        <f>AW29-AW30</f>
        <v>3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93"/>
      <c r="F32" s="231"/>
      <c r="G32" s="232"/>
      <c r="H32" s="215"/>
      <c r="I32" s="215"/>
      <c r="J32" s="215"/>
      <c r="K32" s="215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93"/>
      <c r="F33" s="231"/>
      <c r="G33" s="232"/>
      <c r="H33" s="215"/>
      <c r="I33" s="215"/>
      <c r="J33" s="215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93"/>
      <c r="F34" s="231"/>
      <c r="G34" s="232"/>
      <c r="H34" s="215"/>
      <c r="I34" s="215"/>
      <c r="J34" s="215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93"/>
      <c r="F35" s="231"/>
      <c r="G35" s="232"/>
      <c r="H35" s="215"/>
      <c r="I35" s="215"/>
      <c r="J35" s="215"/>
      <c r="K35" s="215"/>
      <c r="L35" s="234"/>
      <c r="M35" s="234"/>
      <c r="N35" s="234"/>
      <c r="O35" s="220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93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93"/>
      <c r="F37" s="231"/>
      <c r="G37" s="232"/>
      <c r="H37" s="215"/>
      <c r="I37" s="215"/>
      <c r="J37" s="215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93"/>
      <c r="F38" s="231"/>
      <c r="G38" s="232"/>
      <c r="H38" s="215"/>
      <c r="I38" s="215"/>
      <c r="J38" s="215"/>
      <c r="K38" s="238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15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33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20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232"/>
      <c r="H43" s="215"/>
      <c r="I43" s="215"/>
      <c r="J43" s="233"/>
      <c r="K43" s="238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/>
      <c r="C44" s="230"/>
      <c r="D44" s="231"/>
      <c r="E44" s="215"/>
      <c r="F44" s="231"/>
      <c r="G44" s="232"/>
      <c r="H44" s="215"/>
      <c r="I44" s="215"/>
      <c r="J44" s="233"/>
      <c r="K44" s="215"/>
      <c r="L44" s="234"/>
      <c r="M44" s="234"/>
      <c r="N44" s="234"/>
      <c r="O44" s="218"/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911</v>
      </c>
      <c r="C45" s="230" t="s">
        <v>281</v>
      </c>
      <c r="D45" s="231" t="s">
        <v>334</v>
      </c>
      <c r="E45" s="215"/>
      <c r="F45" s="231" t="s">
        <v>302</v>
      </c>
      <c r="G45" s="232" t="s">
        <v>291</v>
      </c>
      <c r="H45" s="215" t="s">
        <v>164</v>
      </c>
      <c r="I45" s="215" t="s">
        <v>165</v>
      </c>
      <c r="J45" s="233" t="s">
        <v>335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68">
        <v>39</v>
      </c>
      <c r="B46" s="229">
        <v>702</v>
      </c>
      <c r="C46" s="230" t="s">
        <v>70</v>
      </c>
      <c r="D46" s="231" t="s">
        <v>235</v>
      </c>
      <c r="E46" s="215"/>
      <c r="F46" s="231" t="s">
        <v>168</v>
      </c>
      <c r="G46" s="232" t="s">
        <v>239</v>
      </c>
      <c r="H46" s="215" t="s">
        <v>164</v>
      </c>
      <c r="I46" s="215" t="s">
        <v>165</v>
      </c>
      <c r="J46" s="215" t="s">
        <v>189</v>
      </c>
      <c r="K46" s="266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273">
        <v>305</v>
      </c>
      <c r="C47" s="285" t="s">
        <v>73</v>
      </c>
      <c r="D47" s="275" t="s">
        <v>194</v>
      </c>
      <c r="E47" s="276"/>
      <c r="F47" s="275" t="s">
        <v>55</v>
      </c>
      <c r="G47" s="277" t="s">
        <v>200</v>
      </c>
      <c r="H47" s="276" t="s">
        <v>164</v>
      </c>
      <c r="I47" s="276" t="s">
        <v>165</v>
      </c>
      <c r="J47" s="278" t="s">
        <v>193</v>
      </c>
      <c r="K47" s="276"/>
      <c r="L47" s="279"/>
      <c r="M47" s="279"/>
      <c r="N47" s="279"/>
      <c r="O47" s="280">
        <v>0</v>
      </c>
      <c r="P47" s="281">
        <v>40</v>
      </c>
      <c r="Q47" s="273"/>
      <c r="R47" s="274"/>
      <c r="S47" s="275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7"/>
      <c r="H48" s="266"/>
      <c r="I48" s="266"/>
      <c r="J48" s="266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30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30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4</v>
      </c>
      <c r="AQ60" s="56">
        <f>SUMIF($C$8:$C$72, $AK60, $L$8:$L$72)+SUMIF($C$8:$C$72, $AK60, $M$8:$M$72)+SUMIF($C$8:$C$72, $AK60, $N$8:$N$72)+SUMIF($C$8:$C$72, $AK60, $O$8:$O$72)</f>
        <v>280000</v>
      </c>
      <c r="AR60" s="57">
        <f>AQ60*0.9</f>
        <v>252000</v>
      </c>
      <c r="AS60" s="58">
        <f t="shared" ref="AS60:AS70" si="4">SUM(AN60+AQ60)</f>
        <v>280000</v>
      </c>
      <c r="AT60" s="59">
        <f t="shared" ref="AT60:AT70" si="5">AO60+AR60</f>
        <v>252000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30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5</v>
      </c>
      <c r="AQ61" s="56">
        <f t="shared" ref="AQ61:AQ70" si="8">SUMIF($C$8:$C$72, $AK61, $L$8:$L$72)+SUMIF($C$8:$C$72, $AK61, $M$8:$M$72)+SUMIF($C$8:$C$72, $AK61, $N$8:$N$72)+SUMIF($C$8:$C$72, $AK61, $O$8:$O$72)</f>
        <v>275000</v>
      </c>
      <c r="AR61" s="57">
        <f t="shared" ref="AR61:AR70" si="9">AQ61*0.9</f>
        <v>247500</v>
      </c>
      <c r="AS61" s="58">
        <f t="shared" si="4"/>
        <v>275000</v>
      </c>
      <c r="AT61" s="59">
        <f t="shared" si="5"/>
        <v>247500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30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30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30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0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2</v>
      </c>
      <c r="AQ66" s="56">
        <f t="shared" si="8"/>
        <v>66300</v>
      </c>
      <c r="AR66" s="57">
        <f t="shared" si="9"/>
        <v>59670</v>
      </c>
      <c r="AS66" s="58">
        <f t="shared" si="4"/>
        <v>66300</v>
      </c>
      <c r="AT66" s="59">
        <f t="shared" si="5"/>
        <v>59670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0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51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621300</v>
      </c>
      <c r="BD68" s="656"/>
      <c r="BE68" s="655"/>
    </row>
    <row r="69" spans="1:57" ht="64.5" customHeight="1" x14ac:dyDescent="0.3">
      <c r="A69" s="659"/>
      <c r="B69" s="660"/>
      <c r="C69" s="251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625300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11</v>
      </c>
      <c r="AQ73" s="22">
        <f t="shared" si="10"/>
        <v>621300</v>
      </c>
      <c r="AR73" s="23">
        <f t="shared" si="10"/>
        <v>559170</v>
      </c>
      <c r="AS73" s="24">
        <f t="shared" si="10"/>
        <v>621300</v>
      </c>
      <c r="AT73" s="25">
        <f t="shared" si="10"/>
        <v>559170</v>
      </c>
      <c r="AU73" s="692" t="s">
        <v>58</v>
      </c>
      <c r="AV73" s="693"/>
      <c r="AW73" s="693"/>
      <c r="AX73" s="693"/>
      <c r="AY73" s="694"/>
      <c r="AZ73" s="695">
        <f>AS58+AT73</f>
        <v>559170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3000000}"/>
  <mergeCells count="307">
    <mergeCell ref="AZ67:BB67"/>
    <mergeCell ref="BC67:BE67"/>
    <mergeCell ref="AK68:AL68"/>
    <mergeCell ref="AU68:AY68"/>
    <mergeCell ref="AZ68:BB68"/>
    <mergeCell ref="BC68:BE68"/>
    <mergeCell ref="AK69:AL69"/>
    <mergeCell ref="AI74:AJ74"/>
    <mergeCell ref="AK70:AL70"/>
    <mergeCell ref="AK71:AL71"/>
    <mergeCell ref="AU71:AY71"/>
    <mergeCell ref="AZ71:BE71"/>
    <mergeCell ref="AK72:AL72"/>
    <mergeCell ref="AU72:AY72"/>
    <mergeCell ref="AZ72:BE72"/>
    <mergeCell ref="AI73:AJ73"/>
    <mergeCell ref="AU73:AY73"/>
    <mergeCell ref="AZ73:BE73"/>
    <mergeCell ref="AI59:AJ72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AU59:AV63"/>
    <mergeCell ref="AW59:BA59"/>
    <mergeCell ref="BB59:BE59"/>
    <mergeCell ref="AK60:AL60"/>
    <mergeCell ref="AW60:BA60"/>
    <mergeCell ref="BB60:BE60"/>
    <mergeCell ref="AK61:AL61"/>
    <mergeCell ref="AW61:BA61"/>
    <mergeCell ref="BB61:BE61"/>
    <mergeCell ref="AK62:AL62"/>
    <mergeCell ref="AW62:BA62"/>
    <mergeCell ref="BB62:BE62"/>
    <mergeCell ref="AK63:AL63"/>
    <mergeCell ref="BC55:BE55"/>
    <mergeCell ref="AI56:AJ57"/>
    <mergeCell ref="AK56:AL56"/>
    <mergeCell ref="AN56:AO56"/>
    <mergeCell ref="AS56:AT56"/>
    <mergeCell ref="AK57:AL57"/>
    <mergeCell ref="AN57:AO57"/>
    <mergeCell ref="AS57:AT57"/>
    <mergeCell ref="AI58:AL58"/>
    <mergeCell ref="AN58:AO58"/>
    <mergeCell ref="AS58:AT58"/>
    <mergeCell ref="BA55:BB55"/>
    <mergeCell ref="BC51:BE52"/>
    <mergeCell ref="AK52:AL52"/>
    <mergeCell ref="AN52:AO52"/>
    <mergeCell ref="AQ52:AR52"/>
    <mergeCell ref="AW52:AZ52"/>
    <mergeCell ref="BA52:BB52"/>
    <mergeCell ref="AI53:AJ55"/>
    <mergeCell ref="AK53:AL53"/>
    <mergeCell ref="AN53:AO53"/>
    <mergeCell ref="AS53:AT53"/>
    <mergeCell ref="AU53:AV55"/>
    <mergeCell ref="AW53:AZ53"/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AZ25:BA25"/>
    <mergeCell ref="AJ27:AO27"/>
    <mergeCell ref="AP28:AQ28"/>
    <mergeCell ref="AU28:AV28"/>
    <mergeCell ref="AZ28:BA28"/>
    <mergeCell ref="AP29:AQ29"/>
    <mergeCell ref="AU29:AV29"/>
    <mergeCell ref="AZ29:BA29"/>
    <mergeCell ref="AP30:AQ30"/>
    <mergeCell ref="AU30:AV30"/>
    <mergeCell ref="AZ30:BA30"/>
    <mergeCell ref="AJ30:AK30"/>
    <mergeCell ref="AL30:AM30"/>
    <mergeCell ref="AN25:AO25"/>
    <mergeCell ref="AN28:AO28"/>
    <mergeCell ref="AS28:AT28"/>
    <mergeCell ref="AN30:AO30"/>
    <mergeCell ref="AS30:AT30"/>
    <mergeCell ref="AX30:AY30"/>
    <mergeCell ref="AV25:AW25"/>
    <mergeCell ref="AJ28:AK28"/>
    <mergeCell ref="AL28:AM28"/>
    <mergeCell ref="AI25:AJ25"/>
    <mergeCell ref="AR25:AS25"/>
    <mergeCell ref="BD14:BE14"/>
    <mergeCell ref="AI15:AJ15"/>
    <mergeCell ref="AR15:AS15"/>
    <mergeCell ref="BD15:BE15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Z19:BA19"/>
    <mergeCell ref="AZ20:BA20"/>
    <mergeCell ref="AZ21:BA21"/>
    <mergeCell ref="AZ22:BA22"/>
    <mergeCell ref="AZ23:BA23"/>
    <mergeCell ref="AZ24:BA24"/>
    <mergeCell ref="BB16:BC16"/>
    <mergeCell ref="AX19:AY19"/>
    <mergeCell ref="AX20:AY20"/>
    <mergeCell ref="AN22:AO22"/>
    <mergeCell ref="AP22:AQ22"/>
    <mergeCell ref="AR22:AS22"/>
    <mergeCell ref="AT8:AW8"/>
    <mergeCell ref="AX8:BA8"/>
    <mergeCell ref="BB8:BE8"/>
    <mergeCell ref="AL9:AM9"/>
    <mergeCell ref="BD9:BE9"/>
    <mergeCell ref="BD10:BE10"/>
    <mergeCell ref="BD11:BE11"/>
    <mergeCell ref="BD12:BE12"/>
    <mergeCell ref="BD13:BE13"/>
    <mergeCell ref="BB9:BC9"/>
    <mergeCell ref="BB10:BC10"/>
    <mergeCell ref="AT12:AU12"/>
    <mergeCell ref="AV12:AW12"/>
    <mergeCell ref="AX10:AY10"/>
    <mergeCell ref="AZ10:BA10"/>
    <mergeCell ref="AT11:AU11"/>
    <mergeCell ref="AV11:AW11"/>
    <mergeCell ref="AX9:AY9"/>
    <mergeCell ref="AZ9:BA9"/>
    <mergeCell ref="AT10:AU10"/>
    <mergeCell ref="AV10:AW10"/>
    <mergeCell ref="AT9:AU9"/>
    <mergeCell ref="AV9:AW9"/>
    <mergeCell ref="BB11:BC11"/>
    <mergeCell ref="AP8:AS8"/>
    <mergeCell ref="AL11:AM11"/>
    <mergeCell ref="AN11:AO11"/>
    <mergeCell ref="AP11:AQ11"/>
    <mergeCell ref="AR11:AS11"/>
    <mergeCell ref="AL10:AM10"/>
    <mergeCell ref="AN10:AO10"/>
    <mergeCell ref="AP10:AQ10"/>
    <mergeCell ref="AR10:AS10"/>
    <mergeCell ref="AP9:AQ9"/>
    <mergeCell ref="AR9:AS9"/>
    <mergeCell ref="AX31:AY31"/>
    <mergeCell ref="AP31:AQ31"/>
    <mergeCell ref="AU31:AV31"/>
    <mergeCell ref="AZ31:BA31"/>
    <mergeCell ref="AW51:BB51"/>
    <mergeCell ref="AJ29:AK29"/>
    <mergeCell ref="AL29:AM29"/>
    <mergeCell ref="AA1:AG1"/>
    <mergeCell ref="AI1:BE1"/>
    <mergeCell ref="AB2:AG2"/>
    <mergeCell ref="AI2:AK2"/>
    <mergeCell ref="AL2:AO2"/>
    <mergeCell ref="AP2:AR2"/>
    <mergeCell ref="AS2:AY2"/>
    <mergeCell ref="BA2:BE2"/>
    <mergeCell ref="AB3:AG3"/>
    <mergeCell ref="AL4:AP4"/>
    <mergeCell ref="AL5:AP5"/>
    <mergeCell ref="AL6:AP6"/>
    <mergeCell ref="AL7:AM7"/>
    <mergeCell ref="AN7:AP7"/>
    <mergeCell ref="AI8:AJ14"/>
    <mergeCell ref="AK8:AK9"/>
    <mergeCell ref="AL8:AO8"/>
    <mergeCell ref="AT21:AU21"/>
    <mergeCell ref="AV21:AW21"/>
    <mergeCell ref="AL22:AM22"/>
    <mergeCell ref="AX28:AY28"/>
    <mergeCell ref="AN29:AO29"/>
    <mergeCell ref="AS29:AT29"/>
    <mergeCell ref="AX29:AY29"/>
    <mergeCell ref="AX21:AY21"/>
    <mergeCell ref="AX22:AY22"/>
    <mergeCell ref="AX23:AY23"/>
    <mergeCell ref="AX24:AY24"/>
    <mergeCell ref="AP25:AQ25"/>
    <mergeCell ref="AX25:AY25"/>
    <mergeCell ref="AT22:AU22"/>
    <mergeCell ref="AV22:AW22"/>
    <mergeCell ref="AL21:AM21"/>
    <mergeCell ref="AN21:AO21"/>
    <mergeCell ref="AP21:AQ21"/>
    <mergeCell ref="AR21:AS21"/>
    <mergeCell ref="BB12:BC12"/>
    <mergeCell ref="BB13:BC13"/>
    <mergeCell ref="BB14:BC14"/>
    <mergeCell ref="AP15:AQ15"/>
    <mergeCell ref="BB15:BC15"/>
    <mergeCell ref="AX15:AY15"/>
    <mergeCell ref="AZ15:BA15"/>
    <mergeCell ref="AX12:AY12"/>
    <mergeCell ref="AZ12:BA12"/>
    <mergeCell ref="AZ14:BA14"/>
    <mergeCell ref="AX11:AY11"/>
    <mergeCell ref="AZ11:BA11"/>
    <mergeCell ref="AL12:AM12"/>
    <mergeCell ref="AN12:AO12"/>
    <mergeCell ref="AP12:AQ12"/>
    <mergeCell ref="AR12:AS12"/>
    <mergeCell ref="AV19:AW19"/>
    <mergeCell ref="AL20:AM20"/>
    <mergeCell ref="A68:B76"/>
    <mergeCell ref="P68:Q76"/>
    <mergeCell ref="AQ56:AR56"/>
    <mergeCell ref="AQ57:AR57"/>
    <mergeCell ref="AQ58:AR58"/>
    <mergeCell ref="AS51:AT52"/>
    <mergeCell ref="AJ31:AK31"/>
    <mergeCell ref="AL31:AM31"/>
    <mergeCell ref="AU51:AV52"/>
    <mergeCell ref="AI51:AJ52"/>
    <mergeCell ref="AK51:AL51"/>
    <mergeCell ref="AM51:AO51"/>
    <mergeCell ref="AP51:AR51"/>
    <mergeCell ref="AQ54:AR54"/>
    <mergeCell ref="AQ53:AR53"/>
    <mergeCell ref="AQ55:AR55"/>
    <mergeCell ref="AK66:AL66"/>
    <mergeCell ref="AK67:AL67"/>
    <mergeCell ref="AT23:AU23"/>
    <mergeCell ref="AV23:AW23"/>
    <mergeCell ref="AL24:AM24"/>
    <mergeCell ref="AN24:AO24"/>
    <mergeCell ref="AP24:AQ24"/>
    <mergeCell ref="AR24:AS24"/>
    <mergeCell ref="AT24:AU24"/>
    <mergeCell ref="AV24:AW24"/>
    <mergeCell ref="AL23:AM23"/>
    <mergeCell ref="AN23:AO23"/>
    <mergeCell ref="AP23:AQ23"/>
    <mergeCell ref="AR23:AS23"/>
    <mergeCell ref="AN31:AO31"/>
    <mergeCell ref="AS31:AT31"/>
    <mergeCell ref="AN20:AO20"/>
    <mergeCell ref="AP20:AQ20"/>
    <mergeCell ref="AR20:AS20"/>
    <mergeCell ref="AT20:AU20"/>
    <mergeCell ref="AV20:AW20"/>
    <mergeCell ref="AP19:AQ19"/>
    <mergeCell ref="AR19:AS19"/>
    <mergeCell ref="AT19:AU19"/>
    <mergeCell ref="AX14:AY14"/>
    <mergeCell ref="AL15:AM15"/>
    <mergeCell ref="AN15:AO15"/>
    <mergeCell ref="AV15:AW15"/>
    <mergeCell ref="AX13:AY13"/>
    <mergeCell ref="AZ13:BA13"/>
    <mergeCell ref="AL14:AM14"/>
    <mergeCell ref="AN14:AO14"/>
    <mergeCell ref="AP14:AQ14"/>
    <mergeCell ref="AR14:AS14"/>
    <mergeCell ref="AT14:AU14"/>
    <mergeCell ref="AV14:AW14"/>
    <mergeCell ref="AL13:AM13"/>
    <mergeCell ref="AN13:AO13"/>
    <mergeCell ref="AP13:AQ13"/>
    <mergeCell ref="AR13:AS13"/>
    <mergeCell ref="AT13:AU13"/>
    <mergeCell ref="AV13:AW13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Y5:Z5"/>
    <mergeCell ref="H3:L3"/>
    <mergeCell ref="N3:O3"/>
    <mergeCell ref="A4:M4"/>
    <mergeCell ref="N2:O2"/>
    <mergeCell ref="Z2:Z3"/>
    <mergeCell ref="A1:O1"/>
    <mergeCell ref="P1:R3"/>
    <mergeCell ref="S1:Y3"/>
    <mergeCell ref="A2:B3"/>
    <mergeCell ref="C2:F3"/>
    <mergeCell ref="G2:G3"/>
    <mergeCell ref="H2:L2"/>
    <mergeCell ref="M2:M3"/>
    <mergeCell ref="P4:AE4"/>
  </mergeCells>
  <phoneticPr fontId="2" type="noConversion"/>
  <conditionalFormatting sqref="C8:C67">
    <cfRule type="cellIs" dxfId="686" priority="3" operator="equal">
      <formula>"여기어때"</formula>
    </cfRule>
    <cfRule type="cellIs" dxfId="685" priority="4" operator="equal">
      <formula>"야놀자"</formula>
    </cfRule>
  </conditionalFormatting>
  <conditionalFormatting sqref="D15">
    <cfRule type="cellIs" dxfId="684" priority="1" operator="equal">
      <formula>"여기어때"</formula>
    </cfRule>
    <cfRule type="cellIs" dxfId="683" priority="2" operator="equal">
      <formula>"야놀자"</formula>
    </cfRule>
  </conditionalFormatting>
  <conditionalFormatting sqref="R8:R66">
    <cfRule type="cellIs" dxfId="682" priority="89" operator="equal">
      <formula>"여기어때"</formula>
    </cfRule>
    <cfRule type="cellIs" dxfId="681" priority="90" operator="equal">
      <formula>"야놀자"</formula>
    </cfRule>
  </conditionalFormatting>
  <conditionalFormatting sqref="R73">
    <cfRule type="cellIs" dxfId="680" priority="91" operator="equal">
      <formula>"여기어때"</formula>
    </cfRule>
    <cfRule type="cellIs" dxfId="679" priority="92" operator="equal">
      <formula>"야놀자"</formula>
    </cfRule>
  </conditionalFormatting>
  <conditionalFormatting sqref="AL30:AM30">
    <cfRule type="cellIs" dxfId="678" priority="76" operator="greaterThan">
      <formula>$AL$29</formula>
    </cfRule>
    <cfRule type="cellIs" dxfId="677" priority="84" operator="equal">
      <formula>$AL$29</formula>
    </cfRule>
  </conditionalFormatting>
  <conditionalFormatting sqref="AN30:AO30">
    <cfRule type="cellIs" dxfId="676" priority="75" operator="greaterThan">
      <formula>$AN$29</formula>
    </cfRule>
    <cfRule type="cellIs" dxfId="675" priority="83" operator="equal">
      <formula>$AN$29</formula>
    </cfRule>
  </conditionalFormatting>
  <conditionalFormatting sqref="AP30:AQ30">
    <cfRule type="cellIs" dxfId="674" priority="74" operator="greaterThan">
      <formula>$AP$29</formula>
    </cfRule>
    <cfRule type="cellIs" dxfId="673" priority="82" operator="equal">
      <formula>$AP$29</formula>
    </cfRule>
  </conditionalFormatting>
  <conditionalFormatting sqref="AR30">
    <cfRule type="cellIs" dxfId="672" priority="73" operator="greaterThan">
      <formula>$AR$29</formula>
    </cfRule>
    <cfRule type="cellIs" dxfId="671" priority="81" operator="equal">
      <formula>$AR$29</formula>
    </cfRule>
  </conditionalFormatting>
  <conditionalFormatting sqref="AS30:AT30">
    <cfRule type="cellIs" dxfId="670" priority="72" operator="greaterThan">
      <formula>$AS$29</formula>
    </cfRule>
    <cfRule type="cellIs" dxfId="669" priority="80" operator="equal">
      <formula>$AS$29</formula>
    </cfRule>
  </conditionalFormatting>
  <conditionalFormatting sqref="AU30:AV30">
    <cfRule type="cellIs" dxfId="668" priority="71" operator="greaterThan">
      <formula>$AU$29</formula>
    </cfRule>
    <cfRule type="cellIs" dxfId="667" priority="79" operator="equal">
      <formula>$AU$29</formula>
    </cfRule>
  </conditionalFormatting>
  <conditionalFormatting sqref="AW30">
    <cfRule type="cellIs" dxfId="666" priority="70" operator="greaterThan">
      <formula>$AW$29</formula>
    </cfRule>
    <cfRule type="cellIs" dxfId="665" priority="78" operator="equal">
      <formula>$AW$29</formula>
    </cfRule>
  </conditionalFormatting>
  <conditionalFormatting sqref="AX30:AY30">
    <cfRule type="cellIs" dxfId="664" priority="69" operator="greaterThan">
      <formula>$AX$29</formula>
    </cfRule>
    <cfRule type="cellIs" dxfId="663" priority="77" operator="equal">
      <formula>$AX$29</formula>
    </cfRule>
  </conditionalFormatting>
  <dataValidations count="1">
    <dataValidation type="list" allowBlank="1" showInputMessage="1" showErrorMessage="1" sqref="A8:A67 P8:P67 C75:C76 C70:C73" xr:uid="{0578C1B5-8524-42F0-A3E3-938319548752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67E0-7F0F-4F16-879C-8EFF0015DB17}">
  <sheetPr codeName="Sheet5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11" activePane="bottomLeft" state="frozen"/>
      <selection activeCell="AG60" sqref="AG60:AH70"/>
      <selection pane="bottomLeft" activeCell="R28" sqref="R28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45905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2657400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30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371500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'5'!AA1</f>
        <v>45905</v>
      </c>
      <c r="AM2" s="863"/>
      <c r="AN2" s="863"/>
      <c r="AO2" s="864"/>
      <c r="AP2" s="865" t="s">
        <v>10</v>
      </c>
      <c r="AQ2" s="866"/>
      <c r="AR2" s="866"/>
      <c r="AS2" s="863">
        <f>AA1+1</f>
        <v>45906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2657400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371500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7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1</v>
      </c>
      <c r="E6" s="356">
        <f>AP31</f>
        <v>1</v>
      </c>
      <c r="F6" s="356">
        <f>AR31</f>
        <v>1</v>
      </c>
      <c r="G6" s="356">
        <f>AS31</f>
        <v>2</v>
      </c>
      <c r="H6" s="356">
        <f>AU31</f>
        <v>3</v>
      </c>
      <c r="I6" s="356">
        <f>AW31</f>
        <v>2</v>
      </c>
      <c r="J6" s="356">
        <f>AX31</f>
        <v>0</v>
      </c>
      <c r="K6" s="606"/>
      <c r="L6" s="607"/>
      <c r="M6" s="356"/>
      <c r="N6" s="606">
        <f>C6+D6+E6+F6+G6+H6+I6+J6+K6</f>
        <v>10</v>
      </c>
      <c r="O6" s="602"/>
      <c r="P6" s="599">
        <f>C2</f>
        <v>2657400</v>
      </c>
      <c r="Q6" s="600"/>
      <c r="R6" s="300">
        <f>AN14+AN15</f>
        <v>0</v>
      </c>
      <c r="S6" s="300">
        <f>AZ14+AZ15</f>
        <v>0</v>
      </c>
      <c r="T6" s="300">
        <f>AR14+AR15</f>
        <v>53000</v>
      </c>
      <c r="U6" s="609">
        <f>AS60</f>
        <v>1175000</v>
      </c>
      <c r="V6" s="600"/>
      <c r="W6" s="609">
        <f>AS61</f>
        <v>960000</v>
      </c>
      <c r="X6" s="600"/>
      <c r="Y6" s="609">
        <f>AS62</f>
        <v>65000</v>
      </c>
      <c r="Z6" s="600"/>
      <c r="AA6" s="300">
        <f>AS63</f>
        <v>0</v>
      </c>
      <c r="AB6" s="300">
        <f>AS66</f>
        <v>173400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231000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32">
        <v>1112</v>
      </c>
      <c r="C8" s="230" t="s">
        <v>73</v>
      </c>
      <c r="D8" s="231" t="s">
        <v>223</v>
      </c>
      <c r="E8" s="215" t="s">
        <v>166</v>
      </c>
      <c r="F8" s="231" t="s">
        <v>325</v>
      </c>
      <c r="G8" s="232" t="s">
        <v>163</v>
      </c>
      <c r="H8" s="215" t="s">
        <v>164</v>
      </c>
      <c r="I8" s="215" t="s">
        <v>165</v>
      </c>
      <c r="J8" s="215" t="s">
        <v>189</v>
      </c>
      <c r="K8" s="215"/>
      <c r="L8" s="234"/>
      <c r="M8" s="234"/>
      <c r="N8" s="234"/>
      <c r="O8" s="218">
        <v>80000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1114</v>
      </c>
      <c r="C9" s="230" t="s">
        <v>73</v>
      </c>
      <c r="D9" s="231" t="s">
        <v>263</v>
      </c>
      <c r="E9" s="215" t="s">
        <v>166</v>
      </c>
      <c r="F9" s="231" t="s">
        <v>325</v>
      </c>
      <c r="G9" s="232" t="s">
        <v>163</v>
      </c>
      <c r="H9" s="215" t="s">
        <v>164</v>
      </c>
      <c r="I9" s="215" t="s">
        <v>165</v>
      </c>
      <c r="J9" s="233" t="s">
        <v>190</v>
      </c>
      <c r="K9" s="215"/>
      <c r="L9" s="234"/>
      <c r="M9" s="234"/>
      <c r="N9" s="234"/>
      <c r="O9" s="218">
        <v>80000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506</v>
      </c>
      <c r="C10" s="230" t="s">
        <v>176</v>
      </c>
      <c r="D10" s="231" t="s">
        <v>270</v>
      </c>
      <c r="E10" s="215" t="s">
        <v>318</v>
      </c>
      <c r="F10" s="231" t="s">
        <v>167</v>
      </c>
      <c r="G10" s="232" t="s">
        <v>171</v>
      </c>
      <c r="H10" s="215" t="s">
        <v>164</v>
      </c>
      <c r="I10" s="215" t="s">
        <v>165</v>
      </c>
      <c r="J10" s="233" t="s">
        <v>247</v>
      </c>
      <c r="K10" s="215"/>
      <c r="L10" s="234"/>
      <c r="M10" s="234"/>
      <c r="N10" s="234"/>
      <c r="O10" s="218">
        <v>231000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30</v>
      </c>
      <c r="AU10" s="625"/>
      <c r="AV10" s="625">
        <f>SUM(O8:O67)</f>
        <v>2604400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30</v>
      </c>
      <c r="BC10" s="799"/>
      <c r="BD10" s="800">
        <f>SUM(AN10+AR10+AV10+AZ10)</f>
        <v>2604400</v>
      </c>
      <c r="BE10" s="801"/>
    </row>
    <row r="11" spans="1:58" ht="64.5" customHeight="1" x14ac:dyDescent="0.3">
      <c r="A11" s="228">
        <v>4</v>
      </c>
      <c r="B11" s="229">
        <v>805</v>
      </c>
      <c r="C11" s="230" t="s">
        <v>281</v>
      </c>
      <c r="D11" s="231" t="s">
        <v>288</v>
      </c>
      <c r="E11" s="215" t="s">
        <v>318</v>
      </c>
      <c r="F11" s="231" t="s">
        <v>167</v>
      </c>
      <c r="G11" s="232" t="s">
        <v>290</v>
      </c>
      <c r="H11" s="215" t="s">
        <v>164</v>
      </c>
      <c r="I11" s="215" t="s">
        <v>165</v>
      </c>
      <c r="J11" s="215" t="s">
        <v>189</v>
      </c>
      <c r="K11" s="215"/>
      <c r="L11" s="234"/>
      <c r="M11" s="234"/>
      <c r="N11" s="234"/>
      <c r="O11" s="218">
        <v>210000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32">
        <v>609</v>
      </c>
      <c r="C12" s="230" t="s">
        <v>292</v>
      </c>
      <c r="D12" s="231" t="s">
        <v>326</v>
      </c>
      <c r="E12" s="215" t="s">
        <v>318</v>
      </c>
      <c r="F12" s="231" t="s">
        <v>167</v>
      </c>
      <c r="G12" s="232" t="s">
        <v>283</v>
      </c>
      <c r="H12" s="215" t="s">
        <v>164</v>
      </c>
      <c r="I12" s="215" t="s">
        <v>165</v>
      </c>
      <c r="J12" s="215" t="s">
        <v>189</v>
      </c>
      <c r="K12" s="215"/>
      <c r="L12" s="234"/>
      <c r="M12" s="234"/>
      <c r="N12" s="234"/>
      <c r="O12" s="218">
        <v>85000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2</v>
      </c>
      <c r="AQ12" s="785"/>
      <c r="AR12" s="784">
        <f>SUM(M68:M76)</f>
        <v>45000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2</v>
      </c>
      <c r="BC12" s="785"/>
      <c r="BD12" s="780">
        <f>SUM(AN12+AR12+AV12+AZ12)</f>
        <v>45000</v>
      </c>
      <c r="BE12" s="781"/>
    </row>
    <row r="13" spans="1:58" ht="64.5" customHeight="1" x14ac:dyDescent="0.3">
      <c r="A13" s="228">
        <v>6</v>
      </c>
      <c r="B13" s="229">
        <v>1115</v>
      </c>
      <c r="C13" s="230" t="s">
        <v>281</v>
      </c>
      <c r="D13" s="231" t="s">
        <v>327</v>
      </c>
      <c r="E13" s="215" t="s">
        <v>166</v>
      </c>
      <c r="F13" s="231" t="s">
        <v>325</v>
      </c>
      <c r="G13" s="232" t="s">
        <v>283</v>
      </c>
      <c r="H13" s="215" t="s">
        <v>164</v>
      </c>
      <c r="I13" s="215" t="s">
        <v>165</v>
      </c>
      <c r="J13" s="233" t="s">
        <v>304</v>
      </c>
      <c r="K13" s="215" t="s">
        <v>319</v>
      </c>
      <c r="L13" s="234"/>
      <c r="M13" s="234"/>
      <c r="N13" s="234"/>
      <c r="O13" s="218">
        <v>80000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409</v>
      </c>
      <c r="C14" s="230" t="s">
        <v>281</v>
      </c>
      <c r="D14" s="230" t="s">
        <v>328</v>
      </c>
      <c r="E14" s="214" t="s">
        <v>318</v>
      </c>
      <c r="F14" s="231" t="s">
        <v>324</v>
      </c>
      <c r="G14" s="232" t="s">
        <v>283</v>
      </c>
      <c r="H14" s="215" t="s">
        <v>164</v>
      </c>
      <c r="I14" s="215" t="s">
        <v>165</v>
      </c>
      <c r="J14" s="233" t="s">
        <v>299</v>
      </c>
      <c r="K14" s="215"/>
      <c r="L14" s="234"/>
      <c r="M14" s="302"/>
      <c r="N14" s="234"/>
      <c r="O14" s="218">
        <v>85000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45000</v>
      </c>
      <c r="AS14" s="653"/>
      <c r="AT14" s="653">
        <f t="shared" ref="AT14" si="1">SUM(AT10:AU11)</f>
        <v>30</v>
      </c>
      <c r="AU14" s="653"/>
      <c r="AV14" s="653">
        <f>SUM(AV10:AW13)</f>
        <v>2604400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30</v>
      </c>
      <c r="BC14" s="655"/>
      <c r="BD14" s="782">
        <f>SUM(BD10:BE13)</f>
        <v>2649400</v>
      </c>
      <c r="BE14" s="783"/>
    </row>
    <row r="15" spans="1:58" ht="64.5" customHeight="1" thickBot="1" x14ac:dyDescent="0.35">
      <c r="A15" s="228">
        <v>8</v>
      </c>
      <c r="B15" s="229">
        <v>307</v>
      </c>
      <c r="C15" s="230" t="s">
        <v>292</v>
      </c>
      <c r="D15" s="231" t="s">
        <v>339</v>
      </c>
      <c r="E15" s="215"/>
      <c r="F15" s="231" t="s">
        <v>289</v>
      </c>
      <c r="G15" s="232" t="s">
        <v>283</v>
      </c>
      <c r="H15" s="215" t="s">
        <v>164</v>
      </c>
      <c r="I15" s="215" t="s">
        <v>165</v>
      </c>
      <c r="J15" s="233" t="s">
        <v>335</v>
      </c>
      <c r="K15" s="215"/>
      <c r="L15" s="234"/>
      <c r="M15" s="234"/>
      <c r="N15" s="234"/>
      <c r="O15" s="219">
        <v>85000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4</v>
      </c>
      <c r="AQ15" s="633"/>
      <c r="AR15" s="632">
        <f>AR24</f>
        <v>8000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4</v>
      </c>
      <c r="BC15" s="633"/>
      <c r="BD15" s="776">
        <f>SUM(AN15+AR15+AV15+AZ15)</f>
        <v>8000</v>
      </c>
      <c r="BE15" s="777"/>
    </row>
    <row r="16" spans="1:58" ht="64.5" customHeight="1" thickBot="1" x14ac:dyDescent="0.35">
      <c r="A16" s="228">
        <v>9</v>
      </c>
      <c r="B16" s="229">
        <v>303</v>
      </c>
      <c r="C16" s="230" t="s">
        <v>292</v>
      </c>
      <c r="D16" s="231" t="s">
        <v>371</v>
      </c>
      <c r="E16" s="215" t="s">
        <v>166</v>
      </c>
      <c r="F16" s="231" t="s">
        <v>289</v>
      </c>
      <c r="G16" s="232" t="s">
        <v>283</v>
      </c>
      <c r="H16" s="215" t="s">
        <v>164</v>
      </c>
      <c r="I16" s="215" t="s">
        <v>165</v>
      </c>
      <c r="J16" s="215" t="s">
        <v>189</v>
      </c>
      <c r="K16" s="215"/>
      <c r="L16" s="234"/>
      <c r="M16" s="234"/>
      <c r="N16" s="234"/>
      <c r="O16" s="219">
        <v>80000</v>
      </c>
      <c r="P16" s="228">
        <v>9</v>
      </c>
      <c r="Q16" s="229"/>
      <c r="R16" s="230"/>
      <c r="S16" s="39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2657400</v>
      </c>
      <c r="BE16" s="652"/>
      <c r="BF16" s="10"/>
    </row>
    <row r="17" spans="1:62" ht="64.5" customHeight="1" thickBot="1" x14ac:dyDescent="0.35">
      <c r="A17" s="228">
        <v>10</v>
      </c>
      <c r="B17" s="229">
        <v>811</v>
      </c>
      <c r="C17" s="230" t="s">
        <v>292</v>
      </c>
      <c r="D17" s="231" t="s">
        <v>343</v>
      </c>
      <c r="E17" s="215" t="s">
        <v>166</v>
      </c>
      <c r="F17" s="231" t="s">
        <v>302</v>
      </c>
      <c r="G17" s="232" t="s">
        <v>283</v>
      </c>
      <c r="H17" s="215" t="s">
        <v>164</v>
      </c>
      <c r="I17" s="215" t="s">
        <v>165</v>
      </c>
      <c r="J17" s="233" t="s">
        <v>335</v>
      </c>
      <c r="K17" s="215"/>
      <c r="L17" s="234"/>
      <c r="M17" s="234"/>
      <c r="N17" s="234"/>
      <c r="O17" s="219">
        <v>80000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305</v>
      </c>
      <c r="C18" s="230" t="s">
        <v>300</v>
      </c>
      <c r="D18" s="231" t="s">
        <v>385</v>
      </c>
      <c r="E18" s="215"/>
      <c r="F18" s="231" t="s">
        <v>289</v>
      </c>
      <c r="G18" s="232" t="s">
        <v>283</v>
      </c>
      <c r="H18" s="215" t="s">
        <v>164</v>
      </c>
      <c r="I18" s="215" t="s">
        <v>165</v>
      </c>
      <c r="J18" s="215" t="s">
        <v>189</v>
      </c>
      <c r="K18" s="215"/>
      <c r="L18" s="234"/>
      <c r="M18" s="234"/>
      <c r="N18" s="234"/>
      <c r="O18" s="220">
        <v>86700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401</v>
      </c>
      <c r="C19" s="230" t="s">
        <v>292</v>
      </c>
      <c r="D19" s="231" t="s">
        <v>386</v>
      </c>
      <c r="E19" s="215"/>
      <c r="F19" s="231" t="s">
        <v>294</v>
      </c>
      <c r="G19" s="232" t="s">
        <v>290</v>
      </c>
      <c r="H19" s="215" t="s">
        <v>164</v>
      </c>
      <c r="I19" s="215" t="s">
        <v>165</v>
      </c>
      <c r="J19" s="215" t="s">
        <v>189</v>
      </c>
      <c r="K19" s="215" t="s">
        <v>319</v>
      </c>
      <c r="L19" s="234"/>
      <c r="M19" s="234"/>
      <c r="N19" s="234"/>
      <c r="O19" s="224">
        <v>220000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1107</v>
      </c>
      <c r="C20" s="230" t="s">
        <v>281</v>
      </c>
      <c r="D20" s="231" t="s">
        <v>400</v>
      </c>
      <c r="E20" s="215"/>
      <c r="F20" s="231" t="s">
        <v>324</v>
      </c>
      <c r="G20" s="232" t="s">
        <v>283</v>
      </c>
      <c r="H20" s="215" t="s">
        <v>164</v>
      </c>
      <c r="I20" s="215" t="s">
        <v>165</v>
      </c>
      <c r="J20" s="215" t="s">
        <v>299</v>
      </c>
      <c r="K20" s="215"/>
      <c r="L20" s="234"/>
      <c r="M20" s="234"/>
      <c r="N20" s="234"/>
      <c r="O20" s="218">
        <v>95000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4</v>
      </c>
      <c r="AQ20" s="655"/>
      <c r="AR20" s="654">
        <f>AP20*2000</f>
        <v>8000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4</v>
      </c>
      <c r="AY20" s="647"/>
      <c r="AZ20" s="648">
        <f>SUM(AJ20+AN20+AR20+AV20)</f>
        <v>8000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308</v>
      </c>
      <c r="C21" s="230" t="s">
        <v>281</v>
      </c>
      <c r="D21" s="230" t="s">
        <v>404</v>
      </c>
      <c r="E21" s="215"/>
      <c r="F21" s="231" t="s">
        <v>289</v>
      </c>
      <c r="G21" s="232" t="s">
        <v>283</v>
      </c>
      <c r="H21" s="215" t="s">
        <v>164</v>
      </c>
      <c r="I21" s="215" t="s">
        <v>165</v>
      </c>
      <c r="J21" s="237" t="s">
        <v>299</v>
      </c>
      <c r="K21" s="238"/>
      <c r="L21" s="234"/>
      <c r="M21" s="234"/>
      <c r="N21" s="234"/>
      <c r="O21" s="218">
        <v>80000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>
        <v>309</v>
      </c>
      <c r="C22" s="230" t="s">
        <v>300</v>
      </c>
      <c r="D22" s="231" t="s">
        <v>413</v>
      </c>
      <c r="E22" s="215"/>
      <c r="F22" s="231" t="s">
        <v>289</v>
      </c>
      <c r="G22" s="232" t="s">
        <v>283</v>
      </c>
      <c r="H22" s="215" t="s">
        <v>164</v>
      </c>
      <c r="I22" s="215" t="s">
        <v>165</v>
      </c>
      <c r="J22" s="233" t="s">
        <v>304</v>
      </c>
      <c r="K22" s="215"/>
      <c r="L22" s="234"/>
      <c r="M22" s="234"/>
      <c r="N22" s="234"/>
      <c r="O22" s="218">
        <v>86700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32">
        <v>1111</v>
      </c>
      <c r="C23" s="230" t="s">
        <v>281</v>
      </c>
      <c r="D23" s="231" t="s">
        <v>420</v>
      </c>
      <c r="E23" s="215" t="s">
        <v>166</v>
      </c>
      <c r="F23" s="231" t="s">
        <v>302</v>
      </c>
      <c r="G23" s="232" t="s">
        <v>283</v>
      </c>
      <c r="H23" s="215" t="s">
        <v>164</v>
      </c>
      <c r="I23" s="215" t="s">
        <v>165</v>
      </c>
      <c r="J23" s="215" t="s">
        <v>189</v>
      </c>
      <c r="K23" s="215"/>
      <c r="L23" s="234"/>
      <c r="M23" s="234"/>
      <c r="N23" s="234"/>
      <c r="O23" s="218">
        <v>60000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>
        <v>1004</v>
      </c>
      <c r="C24" s="230" t="s">
        <v>292</v>
      </c>
      <c r="D24" s="304" t="s">
        <v>422</v>
      </c>
      <c r="E24" s="215" t="s">
        <v>318</v>
      </c>
      <c r="F24" s="231" t="s">
        <v>167</v>
      </c>
      <c r="G24" s="232" t="s">
        <v>283</v>
      </c>
      <c r="H24" s="215" t="s">
        <v>164</v>
      </c>
      <c r="I24" s="215" t="s">
        <v>165</v>
      </c>
      <c r="J24" s="215" t="s">
        <v>189</v>
      </c>
      <c r="K24" s="215"/>
      <c r="L24" s="234"/>
      <c r="M24" s="234"/>
      <c r="N24" s="234"/>
      <c r="O24" s="218">
        <v>65000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4</v>
      </c>
      <c r="AQ24" s="655"/>
      <c r="AR24" s="654">
        <f>SUM(AR20:AS23)</f>
        <v>8000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4</v>
      </c>
      <c r="AY24" s="647"/>
      <c r="AZ24" s="648">
        <f>SUM(AZ20:BA23)</f>
        <v>8000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>
        <v>1105</v>
      </c>
      <c r="C25" s="230" t="s">
        <v>281</v>
      </c>
      <c r="D25" s="231" t="s">
        <v>423</v>
      </c>
      <c r="E25" s="215"/>
      <c r="F25" s="231" t="s">
        <v>316</v>
      </c>
      <c r="G25" s="232" t="s">
        <v>283</v>
      </c>
      <c r="H25" s="215" t="s">
        <v>164</v>
      </c>
      <c r="I25" s="215" t="s">
        <v>165</v>
      </c>
      <c r="J25" s="215" t="s">
        <v>189</v>
      </c>
      <c r="K25" s="215" t="s">
        <v>319</v>
      </c>
      <c r="L25" s="234"/>
      <c r="M25" s="234"/>
      <c r="N25" s="234"/>
      <c r="O25" s="218">
        <v>70000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>
        <v>1210</v>
      </c>
      <c r="C26" s="380" t="s">
        <v>292</v>
      </c>
      <c r="D26" s="360" t="s">
        <v>353</v>
      </c>
      <c r="E26" s="305"/>
      <c r="F26" s="304" t="s">
        <v>294</v>
      </c>
      <c r="G26" s="381" t="s">
        <v>283</v>
      </c>
      <c r="H26" s="215" t="s">
        <v>164</v>
      </c>
      <c r="I26" s="215" t="s">
        <v>165</v>
      </c>
      <c r="J26" s="215" t="s">
        <v>287</v>
      </c>
      <c r="K26" s="305"/>
      <c r="L26" s="303"/>
      <c r="M26" s="303"/>
      <c r="N26" s="303"/>
      <c r="O26" s="220">
        <v>80000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>
        <v>501</v>
      </c>
      <c r="C27" s="230" t="s">
        <v>292</v>
      </c>
      <c r="D27" s="231" t="s">
        <v>427</v>
      </c>
      <c r="E27" s="215"/>
      <c r="F27" s="231" t="s">
        <v>294</v>
      </c>
      <c r="G27" s="232" t="s">
        <v>283</v>
      </c>
      <c r="H27" s="215" t="s">
        <v>164</v>
      </c>
      <c r="I27" s="215" t="s">
        <v>165</v>
      </c>
      <c r="J27" s="215" t="s">
        <v>287</v>
      </c>
      <c r="K27" s="215"/>
      <c r="L27" s="234"/>
      <c r="M27" s="234"/>
      <c r="N27" s="234"/>
      <c r="O27" s="218">
        <v>80000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332">
        <v>1116</v>
      </c>
      <c r="C28" s="230" t="s">
        <v>73</v>
      </c>
      <c r="D28" s="231" t="s">
        <v>431</v>
      </c>
      <c r="E28" s="215" t="s">
        <v>166</v>
      </c>
      <c r="F28" s="231" t="s">
        <v>325</v>
      </c>
      <c r="G28" s="232" t="s">
        <v>283</v>
      </c>
      <c r="H28" s="215" t="s">
        <v>164</v>
      </c>
      <c r="I28" s="215" t="s">
        <v>165</v>
      </c>
      <c r="J28" s="215" t="s">
        <v>287</v>
      </c>
      <c r="K28" s="215" t="s">
        <v>319</v>
      </c>
      <c r="L28" s="234"/>
      <c r="M28" s="234"/>
      <c r="N28" s="234"/>
      <c r="O28" s="218">
        <v>60000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>
        <v>1215</v>
      </c>
      <c r="C29" s="230" t="s">
        <v>354</v>
      </c>
      <c r="D29" s="231" t="s">
        <v>433</v>
      </c>
      <c r="E29" s="215" t="s">
        <v>363</v>
      </c>
      <c r="F29" s="231" t="s">
        <v>325</v>
      </c>
      <c r="G29" s="232" t="s">
        <v>283</v>
      </c>
      <c r="H29" s="215" t="s">
        <v>164</v>
      </c>
      <c r="I29" s="215" t="s">
        <v>165</v>
      </c>
      <c r="J29" s="215" t="s">
        <v>287</v>
      </c>
      <c r="K29" s="215"/>
      <c r="L29" s="234"/>
      <c r="M29" s="234"/>
      <c r="N29" s="234"/>
      <c r="O29" s="220">
        <v>65000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9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>
        <v>1214</v>
      </c>
      <c r="C30" s="230" t="s">
        <v>292</v>
      </c>
      <c r="D30" s="231" t="s">
        <v>434</v>
      </c>
      <c r="E30" s="215" t="s">
        <v>166</v>
      </c>
      <c r="F30" s="231" t="s">
        <v>325</v>
      </c>
      <c r="G30" s="232" t="s">
        <v>283</v>
      </c>
      <c r="H30" s="215" t="s">
        <v>164</v>
      </c>
      <c r="I30" s="215" t="s">
        <v>165</v>
      </c>
      <c r="J30" s="215" t="s">
        <v>287</v>
      </c>
      <c r="K30" s="215"/>
      <c r="L30" s="234"/>
      <c r="M30" s="234"/>
      <c r="N30" s="234"/>
      <c r="O30" s="220">
        <v>60000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3</v>
      </c>
      <c r="AO30" s="829"/>
      <c r="AP30" s="830">
        <f>COUNTIF(F8:F67,"at")</f>
        <v>9</v>
      </c>
      <c r="AQ30" s="830"/>
      <c r="AR30" s="323">
        <f>COUNTIF(F8:F67,"aD")</f>
        <v>1</v>
      </c>
      <c r="AS30" s="830">
        <f>COUNTIF(F8:F67,"sd")</f>
        <v>7</v>
      </c>
      <c r="AT30" s="830"/>
      <c r="AU30" s="830">
        <f>COUNTIF(F8:F67,"st")</f>
        <v>2</v>
      </c>
      <c r="AV30" s="830"/>
      <c r="AW30" s="324">
        <f>COUNTIF(F8:F67,"v")</f>
        <v>3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>
        <v>1216</v>
      </c>
      <c r="C31" s="230" t="s">
        <v>292</v>
      </c>
      <c r="D31" s="231" t="s">
        <v>438</v>
      </c>
      <c r="E31" s="215" t="s">
        <v>166</v>
      </c>
      <c r="F31" s="231" t="s">
        <v>325</v>
      </c>
      <c r="G31" s="232" t="s">
        <v>283</v>
      </c>
      <c r="H31" s="215" t="s">
        <v>164</v>
      </c>
      <c r="I31" s="215" t="s">
        <v>165</v>
      </c>
      <c r="J31" s="215" t="s">
        <v>287</v>
      </c>
      <c r="K31" s="215"/>
      <c r="L31" s="234"/>
      <c r="M31" s="234"/>
      <c r="N31" s="234"/>
      <c r="O31" s="218">
        <v>60000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1</v>
      </c>
      <c r="AO31" s="816"/>
      <c r="AP31" s="817">
        <f>AP29-AP30</f>
        <v>1</v>
      </c>
      <c r="AQ31" s="817"/>
      <c r="AR31" s="322">
        <f>AR29-AR30</f>
        <v>1</v>
      </c>
      <c r="AS31" s="817">
        <f>AS29-AS30</f>
        <v>2</v>
      </c>
      <c r="AT31" s="817"/>
      <c r="AU31" s="817">
        <f>AU29-AU30</f>
        <v>3</v>
      </c>
      <c r="AV31" s="817"/>
      <c r="AW31" s="322">
        <f>AW29-AW30</f>
        <v>2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>
        <v>1206</v>
      </c>
      <c r="C32" s="230" t="s">
        <v>292</v>
      </c>
      <c r="D32" s="231" t="s">
        <v>377</v>
      </c>
      <c r="E32" s="215" t="s">
        <v>166</v>
      </c>
      <c r="F32" s="231" t="s">
        <v>325</v>
      </c>
      <c r="G32" s="232" t="s">
        <v>283</v>
      </c>
      <c r="H32" s="215" t="s">
        <v>164</v>
      </c>
      <c r="I32" s="215" t="s">
        <v>165</v>
      </c>
      <c r="J32" s="215" t="s">
        <v>287</v>
      </c>
      <c r="K32" s="238"/>
      <c r="L32" s="234"/>
      <c r="M32" s="234"/>
      <c r="N32" s="234"/>
      <c r="O32" s="218">
        <v>60000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>
        <v>406</v>
      </c>
      <c r="C33" s="230" t="s">
        <v>73</v>
      </c>
      <c r="D33" s="231" t="s">
        <v>441</v>
      </c>
      <c r="E33" s="215" t="s">
        <v>166</v>
      </c>
      <c r="F33" s="231" t="s">
        <v>312</v>
      </c>
      <c r="G33" s="232" t="s">
        <v>283</v>
      </c>
      <c r="H33" s="215" t="s">
        <v>164</v>
      </c>
      <c r="I33" s="215" t="s">
        <v>165</v>
      </c>
      <c r="J33" s="233" t="s">
        <v>299</v>
      </c>
      <c r="K33" s="215"/>
      <c r="L33" s="234"/>
      <c r="M33" s="234"/>
      <c r="N33" s="234"/>
      <c r="O33" s="218">
        <v>60000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>
        <v>809</v>
      </c>
      <c r="C34" s="230" t="s">
        <v>292</v>
      </c>
      <c r="D34" s="231" t="s">
        <v>443</v>
      </c>
      <c r="E34" s="215" t="s">
        <v>318</v>
      </c>
      <c r="F34" s="231" t="s">
        <v>324</v>
      </c>
      <c r="G34" s="232" t="s">
        <v>290</v>
      </c>
      <c r="H34" s="215" t="s">
        <v>164</v>
      </c>
      <c r="I34" s="215" t="s">
        <v>165</v>
      </c>
      <c r="J34" s="233" t="s">
        <v>299</v>
      </c>
      <c r="K34" s="215"/>
      <c r="L34" s="234"/>
      <c r="M34" s="234"/>
      <c r="N34" s="234"/>
      <c r="O34" s="218">
        <v>160000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>
        <v>615</v>
      </c>
      <c r="C35" s="230" t="s">
        <v>292</v>
      </c>
      <c r="D35" s="231" t="s">
        <v>444</v>
      </c>
      <c r="E35" s="215" t="s">
        <v>166</v>
      </c>
      <c r="F35" s="231" t="s">
        <v>325</v>
      </c>
      <c r="G35" s="232" t="s">
        <v>283</v>
      </c>
      <c r="H35" s="215" t="s">
        <v>164</v>
      </c>
      <c r="I35" s="215" t="s">
        <v>165</v>
      </c>
      <c r="J35" s="233" t="s">
        <v>299</v>
      </c>
      <c r="K35" s="238"/>
      <c r="L35" s="234"/>
      <c r="M35" s="234"/>
      <c r="N35" s="234"/>
      <c r="O35" s="218">
        <v>60000</v>
      </c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33"/>
      <c r="K36" s="215"/>
      <c r="L36" s="234"/>
      <c r="M36" s="234"/>
      <c r="N36" s="234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15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33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33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93"/>
      <c r="F43" s="231"/>
      <c r="G43" s="232"/>
      <c r="H43" s="215"/>
      <c r="I43" s="215"/>
      <c r="J43" s="215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/>
      <c r="C44" s="230"/>
      <c r="D44" s="231"/>
      <c r="E44" s="215"/>
      <c r="F44" s="231"/>
      <c r="G44" s="232"/>
      <c r="H44" s="215"/>
      <c r="I44" s="215"/>
      <c r="J44" s="233"/>
      <c r="K44" s="215"/>
      <c r="L44" s="234"/>
      <c r="M44" s="234"/>
      <c r="N44" s="234"/>
      <c r="O44" s="218"/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/>
      <c r="C45" s="230"/>
      <c r="D45" s="231"/>
      <c r="E45" s="293"/>
      <c r="F45" s="231"/>
      <c r="G45" s="232"/>
      <c r="H45" s="215"/>
      <c r="I45" s="215"/>
      <c r="J45" s="215"/>
      <c r="K45" s="215"/>
      <c r="L45" s="234"/>
      <c r="M45" s="234"/>
      <c r="N45" s="234"/>
      <c r="O45" s="218"/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1011</v>
      </c>
      <c r="C46" s="230" t="s">
        <v>281</v>
      </c>
      <c r="D46" s="231" t="s">
        <v>357</v>
      </c>
      <c r="E46" s="293"/>
      <c r="F46" s="231" t="s">
        <v>302</v>
      </c>
      <c r="G46" s="232" t="s">
        <v>291</v>
      </c>
      <c r="H46" s="215" t="s">
        <v>285</v>
      </c>
      <c r="I46" s="215" t="s">
        <v>286</v>
      </c>
      <c r="J46" s="215" t="s">
        <v>335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273">
        <v>702</v>
      </c>
      <c r="C47" s="274" t="s">
        <v>70</v>
      </c>
      <c r="D47" s="275" t="s">
        <v>235</v>
      </c>
      <c r="E47" s="276"/>
      <c r="F47" s="275" t="s">
        <v>168</v>
      </c>
      <c r="G47" s="277" t="s">
        <v>240</v>
      </c>
      <c r="H47" s="276" t="s">
        <v>164</v>
      </c>
      <c r="I47" s="276" t="s">
        <v>165</v>
      </c>
      <c r="J47" s="276" t="s">
        <v>189</v>
      </c>
      <c r="K47" s="276"/>
      <c r="L47" s="279"/>
      <c r="M47" s="279"/>
      <c r="N47" s="279"/>
      <c r="O47" s="280">
        <v>0</v>
      </c>
      <c r="P47" s="281">
        <v>40</v>
      </c>
      <c r="Q47" s="273"/>
      <c r="R47" s="274"/>
      <c r="S47" s="275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7"/>
      <c r="H48" s="266"/>
      <c r="I48" s="266"/>
      <c r="J48" s="266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4</v>
      </c>
      <c r="BB54" s="681"/>
      <c r="BC54" s="679">
        <f>AZ24</f>
        <v>8000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4</v>
      </c>
      <c r="BB55" s="681"/>
      <c r="BC55" s="679">
        <f>SUM(BC53:BE54)</f>
        <v>8000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13</v>
      </c>
      <c r="AQ60" s="56">
        <f>SUMIF($C$8:$C$72, $AK60, $L$8:$L$72)+SUMIF($C$8:$C$72, $AK60, $M$8:$M$72)+SUMIF($C$8:$C$72, $AK60, $N$8:$N$72)+SUMIF($C$8:$C$72, $AK60, $O$8:$O$72)</f>
        <v>1175000</v>
      </c>
      <c r="AR60" s="57">
        <f>AQ60*0.9</f>
        <v>1057500</v>
      </c>
      <c r="AS60" s="58">
        <f t="shared" ref="AS60:AS70" si="4">SUM(AN60+AQ60)</f>
        <v>1175000</v>
      </c>
      <c r="AT60" s="59">
        <f t="shared" ref="AT60:AT70" si="5">AO60+AR60</f>
        <v>1057500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12</v>
      </c>
      <c r="AQ61" s="56">
        <f t="shared" ref="AQ61:AQ70" si="8">SUMIF($C$8:$C$72, $AK61, $L$8:$L$72)+SUMIF($C$8:$C$72, $AK61, $M$8:$M$72)+SUMIF($C$8:$C$72, $AK61, $N$8:$N$72)+SUMIF($C$8:$C$72, $AK61, $O$8:$O$72)</f>
        <v>960000</v>
      </c>
      <c r="AR61" s="57">
        <f t="shared" ref="AR61:AR70" si="9">AQ61*0.9</f>
        <v>864000</v>
      </c>
      <c r="AS61" s="58">
        <f t="shared" si="4"/>
        <v>960000</v>
      </c>
      <c r="AT61" s="59">
        <f t="shared" si="5"/>
        <v>864000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65000</v>
      </c>
      <c r="AR62" s="57">
        <f t="shared" si="9"/>
        <v>58500</v>
      </c>
      <c r="AS62" s="58">
        <f t="shared" si="4"/>
        <v>65000</v>
      </c>
      <c r="AT62" s="59">
        <f t="shared" si="5"/>
        <v>58500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0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173400</v>
      </c>
      <c r="AR66" s="57">
        <f t="shared" si="9"/>
        <v>156060</v>
      </c>
      <c r="AS66" s="58">
        <f t="shared" si="4"/>
        <v>173400</v>
      </c>
      <c r="AT66" s="59">
        <f t="shared" si="5"/>
        <v>156060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0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17" t="s">
        <v>421</v>
      </c>
      <c r="D68" s="230" t="s">
        <v>404</v>
      </c>
      <c r="E68" s="215" t="s">
        <v>166</v>
      </c>
      <c r="F68" s="231" t="s">
        <v>289</v>
      </c>
      <c r="G68" s="251"/>
      <c r="H68" s="217"/>
      <c r="I68" s="217"/>
      <c r="J68" s="217"/>
      <c r="K68" s="217"/>
      <c r="L68" s="252"/>
      <c r="M68" s="252">
        <v>5000</v>
      </c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2604400</v>
      </c>
      <c r="BD68" s="656"/>
      <c r="BE68" s="655"/>
    </row>
    <row r="69" spans="1:57" ht="64.5" customHeight="1" x14ac:dyDescent="0.3">
      <c r="A69" s="659"/>
      <c r="B69" s="660"/>
      <c r="C69" s="217" t="s">
        <v>445</v>
      </c>
      <c r="D69" s="251" t="s">
        <v>326</v>
      </c>
      <c r="E69" s="217" t="s">
        <v>446</v>
      </c>
      <c r="F69" s="250"/>
      <c r="G69" s="251"/>
      <c r="H69" s="217"/>
      <c r="I69" s="217"/>
      <c r="J69" s="217"/>
      <c r="K69" s="217"/>
      <c r="L69" s="253"/>
      <c r="M69" s="253">
        <v>40000</v>
      </c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1</v>
      </c>
      <c r="AQ69" s="56">
        <f t="shared" si="8"/>
        <v>231000</v>
      </c>
      <c r="AR69" s="57">
        <f t="shared" si="9"/>
        <v>207900</v>
      </c>
      <c r="AS69" s="58">
        <f t="shared" si="4"/>
        <v>231000</v>
      </c>
      <c r="AT69" s="59">
        <f t="shared" si="5"/>
        <v>207900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17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17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8000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17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2657400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17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30</v>
      </c>
      <c r="AQ73" s="22">
        <f t="shared" si="10"/>
        <v>2604400</v>
      </c>
      <c r="AR73" s="23">
        <f t="shared" si="10"/>
        <v>2343960</v>
      </c>
      <c r="AS73" s="24">
        <f t="shared" si="10"/>
        <v>2604400</v>
      </c>
      <c r="AT73" s="25">
        <f t="shared" si="10"/>
        <v>2343960</v>
      </c>
      <c r="AU73" s="692" t="s">
        <v>58</v>
      </c>
      <c r="AV73" s="693"/>
      <c r="AW73" s="693"/>
      <c r="AX73" s="693"/>
      <c r="AY73" s="694"/>
      <c r="AZ73" s="695">
        <f>AS58+AT73</f>
        <v>2343960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17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17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17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4000000}"/>
  <mergeCells count="307">
    <mergeCell ref="AZ67:BB67"/>
    <mergeCell ref="BC67:BE67"/>
    <mergeCell ref="AK68:AL68"/>
    <mergeCell ref="AU68:AY68"/>
    <mergeCell ref="AZ68:BB68"/>
    <mergeCell ref="BC68:BE68"/>
    <mergeCell ref="AK69:AL69"/>
    <mergeCell ref="AI74:AJ74"/>
    <mergeCell ref="AK70:AL70"/>
    <mergeCell ref="AK71:AL71"/>
    <mergeCell ref="AU71:AY71"/>
    <mergeCell ref="AZ71:BE71"/>
    <mergeCell ref="AK72:AL72"/>
    <mergeCell ref="AU72:AY72"/>
    <mergeCell ref="AZ72:BE72"/>
    <mergeCell ref="AI73:AJ73"/>
    <mergeCell ref="AU73:AY73"/>
    <mergeCell ref="AZ73:BE73"/>
    <mergeCell ref="AI59:AJ72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AU59:AV63"/>
    <mergeCell ref="AW59:BA59"/>
    <mergeCell ref="BB59:BE59"/>
    <mergeCell ref="AK60:AL60"/>
    <mergeCell ref="AW60:BA60"/>
    <mergeCell ref="BB60:BE60"/>
    <mergeCell ref="AK61:AL61"/>
    <mergeCell ref="AW61:BA61"/>
    <mergeCell ref="BB61:BE61"/>
    <mergeCell ref="AK62:AL62"/>
    <mergeCell ref="AW62:BA62"/>
    <mergeCell ref="BB62:BE62"/>
    <mergeCell ref="AK63:AL63"/>
    <mergeCell ref="BC55:BE55"/>
    <mergeCell ref="AI56:AJ57"/>
    <mergeCell ref="AK56:AL56"/>
    <mergeCell ref="AN56:AO56"/>
    <mergeCell ref="AS56:AT56"/>
    <mergeCell ref="AK57:AL57"/>
    <mergeCell ref="AN57:AO57"/>
    <mergeCell ref="AS57:AT57"/>
    <mergeCell ref="AI58:AL58"/>
    <mergeCell ref="AN58:AO58"/>
    <mergeCell ref="AS58:AT58"/>
    <mergeCell ref="BA55:BB55"/>
    <mergeCell ref="BC51:BE52"/>
    <mergeCell ref="AK52:AL52"/>
    <mergeCell ref="AN52:AO52"/>
    <mergeCell ref="AQ52:AR52"/>
    <mergeCell ref="AW52:AZ52"/>
    <mergeCell ref="BA52:BB52"/>
    <mergeCell ref="AI53:AJ55"/>
    <mergeCell ref="AK53:AL53"/>
    <mergeCell ref="AN53:AO53"/>
    <mergeCell ref="AS53:AT53"/>
    <mergeCell ref="AU53:AV55"/>
    <mergeCell ref="AW53:AZ53"/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AZ25:BA25"/>
    <mergeCell ref="AJ27:AO27"/>
    <mergeCell ref="AP28:AQ28"/>
    <mergeCell ref="AU28:AV28"/>
    <mergeCell ref="AZ28:BA28"/>
    <mergeCell ref="AP29:AQ29"/>
    <mergeCell ref="AU29:AV29"/>
    <mergeCell ref="AZ29:BA29"/>
    <mergeCell ref="AP30:AQ30"/>
    <mergeCell ref="AU30:AV30"/>
    <mergeCell ref="AZ30:BA30"/>
    <mergeCell ref="AJ30:AK30"/>
    <mergeCell ref="AL30:AM30"/>
    <mergeCell ref="AN25:AO25"/>
    <mergeCell ref="AN28:AO28"/>
    <mergeCell ref="AS28:AT28"/>
    <mergeCell ref="AN30:AO30"/>
    <mergeCell ref="AS30:AT30"/>
    <mergeCell ref="AX30:AY30"/>
    <mergeCell ref="AV25:AW25"/>
    <mergeCell ref="AJ28:AK28"/>
    <mergeCell ref="AL28:AM28"/>
    <mergeCell ref="AI25:AJ25"/>
    <mergeCell ref="AR25:AS25"/>
    <mergeCell ref="BD14:BE14"/>
    <mergeCell ref="AI15:AJ15"/>
    <mergeCell ref="AR15:AS15"/>
    <mergeCell ref="BD15:BE15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Z19:BA19"/>
    <mergeCell ref="AZ20:BA20"/>
    <mergeCell ref="AZ21:BA21"/>
    <mergeCell ref="AZ22:BA22"/>
    <mergeCell ref="AZ23:BA23"/>
    <mergeCell ref="AZ24:BA24"/>
    <mergeCell ref="BB16:BC16"/>
    <mergeCell ref="AX19:AY19"/>
    <mergeCell ref="AX20:AY20"/>
    <mergeCell ref="AN22:AO22"/>
    <mergeCell ref="AP22:AQ22"/>
    <mergeCell ref="AR22:AS22"/>
    <mergeCell ref="AT8:AW8"/>
    <mergeCell ref="AX8:BA8"/>
    <mergeCell ref="BB8:BE8"/>
    <mergeCell ref="AL9:AM9"/>
    <mergeCell ref="BD9:BE9"/>
    <mergeCell ref="BD10:BE10"/>
    <mergeCell ref="BD11:BE11"/>
    <mergeCell ref="BD12:BE12"/>
    <mergeCell ref="BD13:BE13"/>
    <mergeCell ref="BB9:BC9"/>
    <mergeCell ref="BB10:BC10"/>
    <mergeCell ref="AT12:AU12"/>
    <mergeCell ref="AV12:AW12"/>
    <mergeCell ref="AX10:AY10"/>
    <mergeCell ref="AZ10:BA10"/>
    <mergeCell ref="AT11:AU11"/>
    <mergeCell ref="AV11:AW11"/>
    <mergeCell ref="AX9:AY9"/>
    <mergeCell ref="AZ9:BA9"/>
    <mergeCell ref="AT10:AU10"/>
    <mergeCell ref="AV10:AW10"/>
    <mergeCell ref="AT9:AU9"/>
    <mergeCell ref="AV9:AW9"/>
    <mergeCell ref="BB11:BC11"/>
    <mergeCell ref="AP8:AS8"/>
    <mergeCell ref="AL11:AM11"/>
    <mergeCell ref="AN11:AO11"/>
    <mergeCell ref="AP11:AQ11"/>
    <mergeCell ref="AR11:AS11"/>
    <mergeCell ref="AL10:AM10"/>
    <mergeCell ref="AN10:AO10"/>
    <mergeCell ref="AP10:AQ10"/>
    <mergeCell ref="AR10:AS10"/>
    <mergeCell ref="AP9:AQ9"/>
    <mergeCell ref="AR9:AS9"/>
    <mergeCell ref="AX31:AY31"/>
    <mergeCell ref="AP31:AQ31"/>
    <mergeCell ref="AU31:AV31"/>
    <mergeCell ref="AZ31:BA31"/>
    <mergeCell ref="AW51:BB51"/>
    <mergeCell ref="AJ29:AK29"/>
    <mergeCell ref="AL29:AM29"/>
    <mergeCell ref="AA1:AG1"/>
    <mergeCell ref="AI1:BE1"/>
    <mergeCell ref="AB2:AG2"/>
    <mergeCell ref="AI2:AK2"/>
    <mergeCell ref="AL2:AO2"/>
    <mergeCell ref="AP2:AR2"/>
    <mergeCell ref="AS2:AY2"/>
    <mergeCell ref="BA2:BE2"/>
    <mergeCell ref="AB3:AG3"/>
    <mergeCell ref="AL4:AP4"/>
    <mergeCell ref="AL5:AP5"/>
    <mergeCell ref="AL6:AP6"/>
    <mergeCell ref="AL7:AM7"/>
    <mergeCell ref="AN7:AP7"/>
    <mergeCell ref="AI8:AJ14"/>
    <mergeCell ref="AK8:AK9"/>
    <mergeCell ref="AL8:AO8"/>
    <mergeCell ref="AT21:AU21"/>
    <mergeCell ref="AV21:AW21"/>
    <mergeCell ref="AL22:AM22"/>
    <mergeCell ref="AX28:AY28"/>
    <mergeCell ref="AN29:AO29"/>
    <mergeCell ref="AS29:AT29"/>
    <mergeCell ref="AX29:AY29"/>
    <mergeCell ref="AX21:AY21"/>
    <mergeCell ref="AX22:AY22"/>
    <mergeCell ref="AX23:AY23"/>
    <mergeCell ref="AX24:AY24"/>
    <mergeCell ref="AP25:AQ25"/>
    <mergeCell ref="AX25:AY25"/>
    <mergeCell ref="AT22:AU22"/>
    <mergeCell ref="AV22:AW22"/>
    <mergeCell ref="AL21:AM21"/>
    <mergeCell ref="AN21:AO21"/>
    <mergeCell ref="AP21:AQ21"/>
    <mergeCell ref="AR21:AS21"/>
    <mergeCell ref="BB12:BC12"/>
    <mergeCell ref="BB13:BC13"/>
    <mergeCell ref="BB14:BC14"/>
    <mergeCell ref="AP15:AQ15"/>
    <mergeCell ref="BB15:BC15"/>
    <mergeCell ref="AX15:AY15"/>
    <mergeCell ref="AZ15:BA15"/>
    <mergeCell ref="AX12:AY12"/>
    <mergeCell ref="AZ12:BA12"/>
    <mergeCell ref="AZ14:BA14"/>
    <mergeCell ref="AX11:AY11"/>
    <mergeCell ref="AZ11:BA11"/>
    <mergeCell ref="AL12:AM12"/>
    <mergeCell ref="AN12:AO12"/>
    <mergeCell ref="AP12:AQ12"/>
    <mergeCell ref="AR12:AS12"/>
    <mergeCell ref="AV19:AW19"/>
    <mergeCell ref="AL20:AM20"/>
    <mergeCell ref="A68:B76"/>
    <mergeCell ref="P68:Q76"/>
    <mergeCell ref="AQ56:AR56"/>
    <mergeCell ref="AQ57:AR57"/>
    <mergeCell ref="AQ58:AR58"/>
    <mergeCell ref="AS51:AT52"/>
    <mergeCell ref="AJ31:AK31"/>
    <mergeCell ref="AL31:AM31"/>
    <mergeCell ref="AU51:AV52"/>
    <mergeCell ref="AI51:AJ52"/>
    <mergeCell ref="AK51:AL51"/>
    <mergeCell ref="AM51:AO51"/>
    <mergeCell ref="AP51:AR51"/>
    <mergeCell ref="AQ54:AR54"/>
    <mergeCell ref="AQ53:AR53"/>
    <mergeCell ref="AQ55:AR55"/>
    <mergeCell ref="AK66:AL66"/>
    <mergeCell ref="AK67:AL67"/>
    <mergeCell ref="AT23:AU23"/>
    <mergeCell ref="AV23:AW23"/>
    <mergeCell ref="AL24:AM24"/>
    <mergeCell ref="AN24:AO24"/>
    <mergeCell ref="AP24:AQ24"/>
    <mergeCell ref="AR24:AS24"/>
    <mergeCell ref="AT24:AU24"/>
    <mergeCell ref="AV24:AW24"/>
    <mergeCell ref="AL23:AM23"/>
    <mergeCell ref="AN23:AO23"/>
    <mergeCell ref="AP23:AQ23"/>
    <mergeCell ref="AR23:AS23"/>
    <mergeCell ref="AN31:AO31"/>
    <mergeCell ref="AS31:AT31"/>
    <mergeCell ref="AN20:AO20"/>
    <mergeCell ref="AP20:AQ20"/>
    <mergeCell ref="AR20:AS20"/>
    <mergeCell ref="AT20:AU20"/>
    <mergeCell ref="AV20:AW20"/>
    <mergeCell ref="AP19:AQ19"/>
    <mergeCell ref="AR19:AS19"/>
    <mergeCell ref="AT19:AU19"/>
    <mergeCell ref="AX14:AY14"/>
    <mergeCell ref="AL15:AM15"/>
    <mergeCell ref="AN15:AO15"/>
    <mergeCell ref="AV15:AW15"/>
    <mergeCell ref="AX13:AY13"/>
    <mergeCell ref="AZ13:BA13"/>
    <mergeCell ref="AL14:AM14"/>
    <mergeCell ref="AN14:AO14"/>
    <mergeCell ref="AP14:AQ14"/>
    <mergeCell ref="AR14:AS14"/>
    <mergeCell ref="AT14:AU14"/>
    <mergeCell ref="AV14:AW14"/>
    <mergeCell ref="AL13:AM13"/>
    <mergeCell ref="AN13:AO13"/>
    <mergeCell ref="AP13:AQ13"/>
    <mergeCell ref="AR13:AS13"/>
    <mergeCell ref="AT13:AU13"/>
    <mergeCell ref="AV13:AW13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Y5:Z5"/>
    <mergeCell ref="H3:L3"/>
    <mergeCell ref="N3:O3"/>
    <mergeCell ref="A4:M4"/>
    <mergeCell ref="N2:O2"/>
    <mergeCell ref="Z2:Z3"/>
    <mergeCell ref="A1:O1"/>
    <mergeCell ref="P1:R3"/>
    <mergeCell ref="S1:Y3"/>
    <mergeCell ref="A2:B3"/>
    <mergeCell ref="C2:F3"/>
    <mergeCell ref="G2:G3"/>
    <mergeCell ref="H2:L2"/>
    <mergeCell ref="M2:M3"/>
    <mergeCell ref="P4:AE4"/>
  </mergeCells>
  <phoneticPr fontId="2" type="noConversion"/>
  <conditionalFormatting sqref="C8:C67">
    <cfRule type="cellIs" dxfId="662" priority="1" operator="equal">
      <formula>"여기어때"</formula>
    </cfRule>
    <cfRule type="cellIs" dxfId="661" priority="2" operator="equal">
      <formula>"야놀자"</formula>
    </cfRule>
  </conditionalFormatting>
  <conditionalFormatting sqref="D14:D15">
    <cfRule type="cellIs" dxfId="660" priority="15" operator="equal">
      <formula>"여기어때"</formula>
    </cfRule>
    <cfRule type="cellIs" dxfId="659" priority="16" operator="equal">
      <formula>"야놀자"</formula>
    </cfRule>
  </conditionalFormatting>
  <conditionalFormatting sqref="D21">
    <cfRule type="cellIs" dxfId="658" priority="7" operator="equal">
      <formula>"여기어때"</formula>
    </cfRule>
    <cfRule type="cellIs" dxfId="657" priority="8" operator="equal">
      <formula>"야놀자"</formula>
    </cfRule>
  </conditionalFormatting>
  <conditionalFormatting sqref="D68">
    <cfRule type="cellIs" dxfId="656" priority="5" operator="equal">
      <formula>"여기어때"</formula>
    </cfRule>
    <cfRule type="cellIs" dxfId="655" priority="6" operator="equal">
      <formula>"야놀자"</formula>
    </cfRule>
  </conditionalFormatting>
  <conditionalFormatting sqref="R8:R66">
    <cfRule type="cellIs" dxfId="654" priority="91" operator="equal">
      <formula>"여기어때"</formula>
    </cfRule>
    <cfRule type="cellIs" dxfId="653" priority="92" operator="equal">
      <formula>"야놀자"</formula>
    </cfRule>
  </conditionalFormatting>
  <conditionalFormatting sqref="R73">
    <cfRule type="cellIs" dxfId="652" priority="93" operator="equal">
      <formula>"여기어때"</formula>
    </cfRule>
    <cfRule type="cellIs" dxfId="651" priority="94" operator="equal">
      <formula>"야놀자"</formula>
    </cfRule>
  </conditionalFormatting>
  <conditionalFormatting sqref="AL30:AM30">
    <cfRule type="cellIs" dxfId="650" priority="78" operator="greaterThan">
      <formula>$AL$29</formula>
    </cfRule>
    <cfRule type="cellIs" dxfId="649" priority="86" operator="equal">
      <formula>$AL$29</formula>
    </cfRule>
  </conditionalFormatting>
  <conditionalFormatting sqref="AN30:AO30">
    <cfRule type="cellIs" dxfId="648" priority="77" operator="greaterThan">
      <formula>$AN$29</formula>
    </cfRule>
    <cfRule type="cellIs" dxfId="647" priority="85" operator="equal">
      <formula>$AN$29</formula>
    </cfRule>
  </conditionalFormatting>
  <conditionalFormatting sqref="AP30:AQ30">
    <cfRule type="cellIs" dxfId="646" priority="76" operator="greaterThan">
      <formula>$AP$29</formula>
    </cfRule>
    <cfRule type="cellIs" dxfId="645" priority="84" operator="equal">
      <formula>$AP$29</formula>
    </cfRule>
  </conditionalFormatting>
  <conditionalFormatting sqref="AR30">
    <cfRule type="cellIs" dxfId="644" priority="75" operator="greaterThan">
      <formula>$AR$29</formula>
    </cfRule>
    <cfRule type="cellIs" dxfId="643" priority="83" operator="equal">
      <formula>$AR$29</formula>
    </cfRule>
  </conditionalFormatting>
  <conditionalFormatting sqref="AS30:AT30">
    <cfRule type="cellIs" dxfId="642" priority="74" operator="greaterThan">
      <formula>$AS$29</formula>
    </cfRule>
    <cfRule type="cellIs" dxfId="641" priority="82" operator="equal">
      <formula>$AS$29</formula>
    </cfRule>
  </conditionalFormatting>
  <conditionalFormatting sqref="AU30:AV30">
    <cfRule type="cellIs" dxfId="640" priority="73" operator="greaterThan">
      <formula>$AU$29</formula>
    </cfRule>
    <cfRule type="cellIs" dxfId="639" priority="81" operator="equal">
      <formula>$AU$29</formula>
    </cfRule>
  </conditionalFormatting>
  <conditionalFormatting sqref="AW30">
    <cfRule type="cellIs" dxfId="638" priority="72" operator="greaterThan">
      <formula>$AW$29</formula>
    </cfRule>
    <cfRule type="cellIs" dxfId="637" priority="80" operator="equal">
      <formula>$AW$29</formula>
    </cfRule>
  </conditionalFormatting>
  <conditionalFormatting sqref="AX30:AY30">
    <cfRule type="cellIs" dxfId="636" priority="71" operator="greaterThan">
      <formula>$AX$29</formula>
    </cfRule>
    <cfRule type="cellIs" dxfId="635" priority="79" operator="equal">
      <formula>$AX$29</formula>
    </cfRule>
  </conditionalFormatting>
  <dataValidations count="1">
    <dataValidation type="list" allowBlank="1" showInputMessage="1" showErrorMessage="1" sqref="A8:A67 P8:P67" xr:uid="{86E05222-4C58-4B46-ACDA-4E78585753D0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64C2-7D03-4DD3-8EE2-62DE9EBE3B8A}">
  <sheetPr codeName="Sheet6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25" activePane="bottomLeft" state="frozen"/>
      <selection activeCell="L48" sqref="L48"/>
      <selection pane="bottomLeft" activeCell="C34" sqref="C34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45906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4264152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39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371500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'6'!AA1</f>
        <v>45906</v>
      </c>
      <c r="AM2" s="863"/>
      <c r="AN2" s="863"/>
      <c r="AO2" s="864"/>
      <c r="AP2" s="865" t="s">
        <v>10</v>
      </c>
      <c r="AQ2" s="866"/>
      <c r="AR2" s="866"/>
      <c r="AS2" s="863">
        <f>AA1+1</f>
        <v>45907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4264152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307500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9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0</v>
      </c>
      <c r="F6" s="356">
        <f>AR31</f>
        <v>0</v>
      </c>
      <c r="G6" s="356">
        <f>AS31</f>
        <v>0</v>
      </c>
      <c r="H6" s="356">
        <f>AU31</f>
        <v>1</v>
      </c>
      <c r="I6" s="356">
        <f>AW31</f>
        <v>0</v>
      </c>
      <c r="J6" s="356">
        <f>AX31</f>
        <v>0</v>
      </c>
      <c r="K6" s="606"/>
      <c r="L6" s="607"/>
      <c r="M6" s="356"/>
      <c r="N6" s="606">
        <f>C6+D6+E6+F6+G6+H6+I6+J6+K6</f>
        <v>1</v>
      </c>
      <c r="O6" s="602"/>
      <c r="P6" s="599">
        <f>C2</f>
        <v>4264152</v>
      </c>
      <c r="Q6" s="600"/>
      <c r="R6" s="300">
        <f>AN14+AN15</f>
        <v>6000</v>
      </c>
      <c r="S6" s="300">
        <f>AZ14+AZ15</f>
        <v>0</v>
      </c>
      <c r="T6" s="300">
        <f>AR14+AR15</f>
        <v>296000</v>
      </c>
      <c r="U6" s="609">
        <f>AS60</f>
        <v>1125000</v>
      </c>
      <c r="V6" s="600"/>
      <c r="W6" s="609">
        <f>AS61</f>
        <v>1110000</v>
      </c>
      <c r="X6" s="600"/>
      <c r="Y6" s="609">
        <f>AS62</f>
        <v>95000</v>
      </c>
      <c r="Z6" s="600"/>
      <c r="AA6" s="300">
        <f>AS63</f>
        <v>0</v>
      </c>
      <c r="AB6" s="300">
        <f>AS66</f>
        <v>459000</v>
      </c>
      <c r="AC6" s="300">
        <f>AS67</f>
        <v>86422</v>
      </c>
      <c r="AD6" s="300">
        <f>SUMIFS(O7:O47,C7:C47,"트립")</f>
        <v>292825</v>
      </c>
      <c r="AE6" s="300">
        <f>AS65</f>
        <v>584905</v>
      </c>
      <c r="AF6" s="300">
        <f>AS69</f>
        <v>209000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307</v>
      </c>
      <c r="C8" s="230" t="s">
        <v>196</v>
      </c>
      <c r="D8" s="231" t="s">
        <v>202</v>
      </c>
      <c r="E8" s="215" t="s">
        <v>203</v>
      </c>
      <c r="F8" s="231" t="s">
        <v>55</v>
      </c>
      <c r="G8" s="232" t="s">
        <v>163</v>
      </c>
      <c r="H8" s="215" t="s">
        <v>164</v>
      </c>
      <c r="I8" s="215" t="s">
        <v>165</v>
      </c>
      <c r="J8" s="215"/>
      <c r="K8" s="215"/>
      <c r="L8" s="234"/>
      <c r="M8" s="234"/>
      <c r="N8" s="234"/>
      <c r="O8" s="218">
        <v>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319">
        <v>303</v>
      </c>
      <c r="C9" s="230" t="s">
        <v>170</v>
      </c>
      <c r="D9" s="360" t="s">
        <v>195</v>
      </c>
      <c r="E9" s="305"/>
      <c r="F9" s="231" t="s">
        <v>55</v>
      </c>
      <c r="G9" s="232" t="s">
        <v>163</v>
      </c>
      <c r="H9" s="215" t="s">
        <v>164</v>
      </c>
      <c r="I9" s="215" t="s">
        <v>165</v>
      </c>
      <c r="J9" s="237" t="s">
        <v>189</v>
      </c>
      <c r="K9" s="238"/>
      <c r="L9" s="234"/>
      <c r="M9" s="234"/>
      <c r="N9" s="234"/>
      <c r="O9" s="218">
        <v>141100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319">
        <v>709</v>
      </c>
      <c r="C10" s="230" t="s">
        <v>281</v>
      </c>
      <c r="D10" s="251" t="s">
        <v>311</v>
      </c>
      <c r="E10" s="215"/>
      <c r="F10" s="231" t="s">
        <v>312</v>
      </c>
      <c r="G10" s="232" t="s">
        <v>283</v>
      </c>
      <c r="H10" s="215" t="s">
        <v>164</v>
      </c>
      <c r="I10" s="215" t="s">
        <v>165</v>
      </c>
      <c r="J10" s="215" t="s">
        <v>304</v>
      </c>
      <c r="K10" s="215" t="s">
        <v>319</v>
      </c>
      <c r="L10" s="234"/>
      <c r="M10" s="234"/>
      <c r="N10" s="234"/>
      <c r="O10" s="218">
        <v>135000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270000</v>
      </c>
      <c r="AS10" s="627"/>
      <c r="AT10" s="625">
        <f>COUNTA($O$8:$O$67)</f>
        <v>38</v>
      </c>
      <c r="AU10" s="625"/>
      <c r="AV10" s="625">
        <f>SUM(O8:O67)</f>
        <v>3962152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39</v>
      </c>
      <c r="BC10" s="799"/>
      <c r="BD10" s="800">
        <f>SUM(AN10+AR10+AV10+AZ10)</f>
        <v>4232152</v>
      </c>
      <c r="BE10" s="801"/>
    </row>
    <row r="11" spans="1:58" ht="64.5" customHeight="1" x14ac:dyDescent="0.3">
      <c r="A11" s="228">
        <v>4</v>
      </c>
      <c r="B11" s="319">
        <v>308</v>
      </c>
      <c r="C11" s="230" t="s">
        <v>301</v>
      </c>
      <c r="D11" s="449" t="s">
        <v>399</v>
      </c>
      <c r="E11" s="215" t="s">
        <v>318</v>
      </c>
      <c r="F11" s="231" t="s">
        <v>324</v>
      </c>
      <c r="G11" s="232" t="s">
        <v>283</v>
      </c>
      <c r="H11" s="215" t="s">
        <v>164</v>
      </c>
      <c r="I11" s="215" t="s">
        <v>165</v>
      </c>
      <c r="J11" s="215" t="s">
        <v>299</v>
      </c>
      <c r="K11" s="215"/>
      <c r="L11" s="234"/>
      <c r="M11" s="234"/>
      <c r="N11" s="234"/>
      <c r="O11" s="218">
        <v>151725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811</v>
      </c>
      <c r="C12" s="230" t="s">
        <v>292</v>
      </c>
      <c r="D12" s="251" t="s">
        <v>340</v>
      </c>
      <c r="E12" s="215" t="s">
        <v>296</v>
      </c>
      <c r="F12" s="231" t="s">
        <v>302</v>
      </c>
      <c r="G12" s="232" t="s">
        <v>283</v>
      </c>
      <c r="H12" s="215" t="s">
        <v>164</v>
      </c>
      <c r="I12" s="215" t="s">
        <v>165</v>
      </c>
      <c r="J12" s="215" t="s">
        <v>304</v>
      </c>
      <c r="K12" s="215"/>
      <c r="L12" s="234"/>
      <c r="M12" s="234"/>
      <c r="N12" s="234"/>
      <c r="O12" s="218">
        <v>120000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1</v>
      </c>
      <c r="AQ12" s="785"/>
      <c r="AR12" s="784">
        <f>SUM(M68:M76)</f>
        <v>10000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1</v>
      </c>
      <c r="BC12" s="785"/>
      <c r="BD12" s="780">
        <f>SUM(AN12+AR12+AV12+AZ12)</f>
        <v>10000</v>
      </c>
      <c r="BE12" s="781"/>
    </row>
    <row r="13" spans="1:58" ht="64.5" customHeight="1" x14ac:dyDescent="0.3">
      <c r="A13" s="228">
        <v>6</v>
      </c>
      <c r="B13" s="319">
        <v>309</v>
      </c>
      <c r="C13" s="230" t="s">
        <v>281</v>
      </c>
      <c r="D13" s="251" t="s">
        <v>352</v>
      </c>
      <c r="E13" s="305"/>
      <c r="F13" s="231" t="s">
        <v>289</v>
      </c>
      <c r="G13" s="232" t="s">
        <v>283</v>
      </c>
      <c r="H13" s="215" t="s">
        <v>164</v>
      </c>
      <c r="I13" s="215" t="s">
        <v>165</v>
      </c>
      <c r="J13" s="215" t="s">
        <v>299</v>
      </c>
      <c r="K13" s="215"/>
      <c r="L13" s="234"/>
      <c r="M13" s="234"/>
      <c r="N13" s="234"/>
      <c r="O13" s="220">
        <v>125000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19">
        <v>1004</v>
      </c>
      <c r="C14" s="230" t="s">
        <v>281</v>
      </c>
      <c r="D14" s="251" t="s">
        <v>358</v>
      </c>
      <c r="E14" s="305" t="s">
        <v>318</v>
      </c>
      <c r="F14" s="231" t="s">
        <v>324</v>
      </c>
      <c r="G14" s="232" t="s">
        <v>283</v>
      </c>
      <c r="H14" s="215" t="s">
        <v>164</v>
      </c>
      <c r="I14" s="215" t="s">
        <v>165</v>
      </c>
      <c r="J14" s="237" t="s">
        <v>189</v>
      </c>
      <c r="K14" s="215"/>
      <c r="L14" s="234"/>
      <c r="M14" s="234"/>
      <c r="N14" s="234"/>
      <c r="O14" s="220">
        <v>125000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280000</v>
      </c>
      <c r="AS14" s="653"/>
      <c r="AT14" s="653">
        <f t="shared" ref="AT14" si="1">SUM(AT10:AU11)</f>
        <v>38</v>
      </c>
      <c r="AU14" s="653"/>
      <c r="AV14" s="653">
        <f>SUM(AV10:AW13)</f>
        <v>3962152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39</v>
      </c>
      <c r="BC14" s="655"/>
      <c r="BD14" s="782">
        <f>SUM(BD10:BE13)</f>
        <v>4242152</v>
      </c>
      <c r="BE14" s="783"/>
    </row>
    <row r="15" spans="1:58" ht="64.5" customHeight="1" thickBot="1" x14ac:dyDescent="0.35">
      <c r="A15" s="228">
        <v>8</v>
      </c>
      <c r="B15" s="319">
        <v>1105</v>
      </c>
      <c r="C15" s="230" t="s">
        <v>281</v>
      </c>
      <c r="D15" s="231" t="s">
        <v>362</v>
      </c>
      <c r="E15" s="305"/>
      <c r="F15" s="231" t="s">
        <v>316</v>
      </c>
      <c r="G15" s="232" t="s">
        <v>283</v>
      </c>
      <c r="H15" s="215" t="s">
        <v>164</v>
      </c>
      <c r="I15" s="215" t="s">
        <v>165</v>
      </c>
      <c r="J15" s="233" t="s">
        <v>189</v>
      </c>
      <c r="K15" s="215" t="s">
        <v>319</v>
      </c>
      <c r="L15" s="234"/>
      <c r="M15" s="234"/>
      <c r="N15" s="234"/>
      <c r="O15" s="218">
        <v>130000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3</v>
      </c>
      <c r="AM15" s="881"/>
      <c r="AN15" s="632">
        <f>AN24</f>
        <v>6000</v>
      </c>
      <c r="AO15" s="633"/>
      <c r="AP15" s="632">
        <f>AP24</f>
        <v>8</v>
      </c>
      <c r="AQ15" s="633"/>
      <c r="AR15" s="632">
        <f>AR24</f>
        <v>16000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11</v>
      </c>
      <c r="BC15" s="633"/>
      <c r="BD15" s="776">
        <f>SUM(AN15+AR15+AV15+AZ15)</f>
        <v>22000</v>
      </c>
      <c r="BE15" s="777"/>
    </row>
    <row r="16" spans="1:58" ht="64.5" customHeight="1" thickBot="1" x14ac:dyDescent="0.35">
      <c r="A16" s="228">
        <v>9</v>
      </c>
      <c r="B16" s="319">
        <v>902</v>
      </c>
      <c r="C16" s="380" t="s">
        <v>300</v>
      </c>
      <c r="D16" s="251" t="s">
        <v>418</v>
      </c>
      <c r="E16" s="305" t="s">
        <v>318</v>
      </c>
      <c r="F16" s="231" t="s">
        <v>324</v>
      </c>
      <c r="G16" s="232" t="s">
        <v>283</v>
      </c>
      <c r="H16" s="215" t="s">
        <v>164</v>
      </c>
      <c r="I16" s="215" t="s">
        <v>165</v>
      </c>
      <c r="J16" s="215" t="s">
        <v>335</v>
      </c>
      <c r="K16" s="215"/>
      <c r="L16" s="234"/>
      <c r="M16" s="234"/>
      <c r="N16" s="234"/>
      <c r="O16" s="220">
        <v>255000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4264152</v>
      </c>
      <c r="BE16" s="652"/>
      <c r="BF16" s="10"/>
    </row>
    <row r="17" spans="1:62" ht="64.5" customHeight="1" thickBot="1" x14ac:dyDescent="0.35">
      <c r="A17" s="228">
        <v>10</v>
      </c>
      <c r="B17" s="319">
        <v>907</v>
      </c>
      <c r="C17" s="380" t="s">
        <v>300</v>
      </c>
      <c r="D17" s="251" t="s">
        <v>419</v>
      </c>
      <c r="E17" s="305" t="s">
        <v>318</v>
      </c>
      <c r="F17" s="231" t="s">
        <v>324</v>
      </c>
      <c r="G17" s="232" t="s">
        <v>283</v>
      </c>
      <c r="H17" s="215" t="s">
        <v>164</v>
      </c>
      <c r="I17" s="215" t="s">
        <v>165</v>
      </c>
      <c r="J17" s="215" t="s">
        <v>335</v>
      </c>
      <c r="K17" s="305"/>
      <c r="L17" s="303"/>
      <c r="M17" s="303"/>
      <c r="N17" s="303"/>
      <c r="O17" s="220">
        <v>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76">
        <v>1107</v>
      </c>
      <c r="C18" s="380" t="s">
        <v>292</v>
      </c>
      <c r="D18" s="360" t="s">
        <v>396</v>
      </c>
      <c r="E18" s="305" t="s">
        <v>318</v>
      </c>
      <c r="F18" s="304" t="s">
        <v>324</v>
      </c>
      <c r="G18" s="381" t="s">
        <v>283</v>
      </c>
      <c r="H18" s="215" t="s">
        <v>164</v>
      </c>
      <c r="I18" s="215" t="s">
        <v>165</v>
      </c>
      <c r="J18" s="233" t="s">
        <v>189</v>
      </c>
      <c r="K18" s="305"/>
      <c r="L18" s="303"/>
      <c r="M18" s="303"/>
      <c r="N18" s="303"/>
      <c r="O18" s="220">
        <v>105000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76">
        <v>615</v>
      </c>
      <c r="C19" s="380" t="s">
        <v>292</v>
      </c>
      <c r="D19" s="304" t="s">
        <v>411</v>
      </c>
      <c r="E19" s="305" t="s">
        <v>296</v>
      </c>
      <c r="F19" s="304" t="s">
        <v>325</v>
      </c>
      <c r="G19" s="381" t="s">
        <v>283</v>
      </c>
      <c r="H19" s="215" t="s">
        <v>164</v>
      </c>
      <c r="I19" s="215" t="s">
        <v>165</v>
      </c>
      <c r="J19" s="305" t="s">
        <v>304</v>
      </c>
      <c r="K19" s="305"/>
      <c r="L19" s="303"/>
      <c r="M19" s="303"/>
      <c r="N19" s="303"/>
      <c r="O19" s="220">
        <v>100000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76">
        <v>305</v>
      </c>
      <c r="C20" s="380" t="s">
        <v>424</v>
      </c>
      <c r="D20" s="304" t="s">
        <v>426</v>
      </c>
      <c r="E20" s="305" t="s">
        <v>425</v>
      </c>
      <c r="F20" s="304" t="s">
        <v>289</v>
      </c>
      <c r="G20" s="381" t="s">
        <v>595</v>
      </c>
      <c r="H20" s="215" t="s">
        <v>164</v>
      </c>
      <c r="I20" s="215" t="s">
        <v>165</v>
      </c>
      <c r="J20" s="233" t="s">
        <v>189</v>
      </c>
      <c r="K20" s="305" t="s">
        <v>319</v>
      </c>
      <c r="L20" s="303"/>
      <c r="M20" s="303"/>
      <c r="N20" s="303"/>
      <c r="O20" s="220">
        <v>475152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3</v>
      </c>
      <c r="AM20" s="653"/>
      <c r="AN20" s="654">
        <f>AL20*2000</f>
        <v>6000</v>
      </c>
      <c r="AO20" s="655"/>
      <c r="AP20" s="656">
        <f>COUNTIF(K7:K67,2)</f>
        <v>8</v>
      </c>
      <c r="AQ20" s="655"/>
      <c r="AR20" s="654">
        <f>AP20*2000</f>
        <v>16000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11</v>
      </c>
      <c r="AY20" s="647"/>
      <c r="AZ20" s="648">
        <f>SUM(AJ20+AN20+AR20+AV20)</f>
        <v>22000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76">
        <v>409</v>
      </c>
      <c r="C21" s="380" t="s">
        <v>412</v>
      </c>
      <c r="D21" s="360" t="s">
        <v>428</v>
      </c>
      <c r="E21" s="305" t="s">
        <v>318</v>
      </c>
      <c r="F21" s="304" t="s">
        <v>324</v>
      </c>
      <c r="G21" s="381" t="s">
        <v>283</v>
      </c>
      <c r="H21" s="215" t="s">
        <v>164</v>
      </c>
      <c r="I21" s="215" t="s">
        <v>165</v>
      </c>
      <c r="J21" s="233" t="s">
        <v>189</v>
      </c>
      <c r="K21" s="305" t="s">
        <v>319</v>
      </c>
      <c r="L21" s="303"/>
      <c r="M21" s="303"/>
      <c r="N21" s="303"/>
      <c r="O21" s="220">
        <v>104500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76">
        <v>609</v>
      </c>
      <c r="C22" s="380" t="s">
        <v>300</v>
      </c>
      <c r="D22" s="304" t="s">
        <v>432</v>
      </c>
      <c r="E22" s="305" t="s">
        <v>318</v>
      </c>
      <c r="F22" s="304" t="s">
        <v>324</v>
      </c>
      <c r="G22" s="381" t="s">
        <v>283</v>
      </c>
      <c r="H22" s="215" t="s">
        <v>164</v>
      </c>
      <c r="I22" s="215" t="s">
        <v>165</v>
      </c>
      <c r="J22" s="233" t="s">
        <v>189</v>
      </c>
      <c r="K22" s="305"/>
      <c r="L22" s="303"/>
      <c r="M22" s="303"/>
      <c r="N22" s="303"/>
      <c r="O22" s="220">
        <v>96900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19">
        <v>1206</v>
      </c>
      <c r="C23" s="380" t="s">
        <v>300</v>
      </c>
      <c r="D23" s="360" t="s">
        <v>435</v>
      </c>
      <c r="E23" s="305" t="s">
        <v>437</v>
      </c>
      <c r="F23" s="304" t="s">
        <v>316</v>
      </c>
      <c r="G23" s="381" t="s">
        <v>283</v>
      </c>
      <c r="H23" s="215" t="s">
        <v>164</v>
      </c>
      <c r="I23" s="215" t="s">
        <v>165</v>
      </c>
      <c r="J23" s="233" t="s">
        <v>189</v>
      </c>
      <c r="K23" s="305"/>
      <c r="L23" s="303"/>
      <c r="M23" s="303"/>
      <c r="N23" s="303"/>
      <c r="O23" s="220">
        <v>107100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76">
        <v>501</v>
      </c>
      <c r="C24" s="380" t="s">
        <v>292</v>
      </c>
      <c r="D24" s="304" t="s">
        <v>436</v>
      </c>
      <c r="E24" s="305" t="s">
        <v>437</v>
      </c>
      <c r="F24" s="304" t="s">
        <v>294</v>
      </c>
      <c r="G24" s="381" t="s">
        <v>283</v>
      </c>
      <c r="H24" s="215" t="s">
        <v>164</v>
      </c>
      <c r="I24" s="215" t="s">
        <v>165</v>
      </c>
      <c r="J24" s="233" t="s">
        <v>189</v>
      </c>
      <c r="K24" s="305"/>
      <c r="L24" s="303"/>
      <c r="M24" s="303"/>
      <c r="N24" s="303"/>
      <c r="O24" s="220">
        <v>105000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3</v>
      </c>
      <c r="AM24" s="653"/>
      <c r="AN24" s="654">
        <f>SUM(AN20:AO23)</f>
        <v>6000</v>
      </c>
      <c r="AO24" s="655"/>
      <c r="AP24" s="656">
        <f>SUM(AP20:AQ23)</f>
        <v>8</v>
      </c>
      <c r="AQ24" s="655"/>
      <c r="AR24" s="654">
        <f>SUM(AR20:AS23)</f>
        <v>16000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11</v>
      </c>
      <c r="AY24" s="647"/>
      <c r="AZ24" s="648">
        <f>SUM(AZ20:BA23)</f>
        <v>22000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76">
        <v>701</v>
      </c>
      <c r="C25" s="380" t="s">
        <v>292</v>
      </c>
      <c r="D25" s="304" t="s">
        <v>439</v>
      </c>
      <c r="E25" s="305"/>
      <c r="F25" s="304" t="s">
        <v>294</v>
      </c>
      <c r="G25" s="381" t="s">
        <v>283</v>
      </c>
      <c r="H25" s="215" t="s">
        <v>164</v>
      </c>
      <c r="I25" s="215" t="s">
        <v>165</v>
      </c>
      <c r="J25" s="215" t="s">
        <v>299</v>
      </c>
      <c r="K25" s="305"/>
      <c r="L25" s="303"/>
      <c r="M25" s="303"/>
      <c r="N25" s="303"/>
      <c r="O25" s="220">
        <v>110000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76">
        <v>1111</v>
      </c>
      <c r="C26" s="380" t="s">
        <v>292</v>
      </c>
      <c r="D26" s="304" t="s">
        <v>440</v>
      </c>
      <c r="E26" s="305" t="s">
        <v>296</v>
      </c>
      <c r="F26" s="304" t="s">
        <v>302</v>
      </c>
      <c r="G26" s="381" t="s">
        <v>283</v>
      </c>
      <c r="H26" s="215" t="s">
        <v>164</v>
      </c>
      <c r="I26" s="215" t="s">
        <v>165</v>
      </c>
      <c r="J26" s="215" t="s">
        <v>299</v>
      </c>
      <c r="K26" s="305"/>
      <c r="L26" s="303"/>
      <c r="M26" s="303"/>
      <c r="N26" s="303"/>
      <c r="O26" s="220">
        <v>90000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376">
        <v>1210</v>
      </c>
      <c r="C27" s="380" t="s">
        <v>292</v>
      </c>
      <c r="D27" s="304" t="s">
        <v>353</v>
      </c>
      <c r="E27" s="305"/>
      <c r="F27" s="304" t="s">
        <v>294</v>
      </c>
      <c r="G27" s="381" t="s">
        <v>283</v>
      </c>
      <c r="H27" s="215" t="s">
        <v>164</v>
      </c>
      <c r="I27" s="215" t="s">
        <v>165</v>
      </c>
      <c r="J27" s="382" t="s">
        <v>304</v>
      </c>
      <c r="K27" s="305"/>
      <c r="L27" s="303"/>
      <c r="M27" s="303"/>
      <c r="N27" s="303"/>
      <c r="O27" s="220">
        <v>110000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376">
        <v>1011</v>
      </c>
      <c r="C28" s="380" t="s">
        <v>281</v>
      </c>
      <c r="D28" s="304" t="s">
        <v>448</v>
      </c>
      <c r="E28" s="305" t="s">
        <v>296</v>
      </c>
      <c r="F28" s="304" t="s">
        <v>302</v>
      </c>
      <c r="G28" s="381" t="s">
        <v>283</v>
      </c>
      <c r="H28" s="215" t="s">
        <v>164</v>
      </c>
      <c r="I28" s="215" t="s">
        <v>165</v>
      </c>
      <c r="J28" s="382" t="s">
        <v>304</v>
      </c>
      <c r="K28" s="305" t="s">
        <v>319</v>
      </c>
      <c r="L28" s="303"/>
      <c r="M28" s="303"/>
      <c r="N28" s="303"/>
      <c r="O28" s="220">
        <v>90000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376">
        <v>713</v>
      </c>
      <c r="C29" s="380" t="s">
        <v>292</v>
      </c>
      <c r="D29" s="304" t="s">
        <v>454</v>
      </c>
      <c r="E29" s="305" t="s">
        <v>363</v>
      </c>
      <c r="F29" s="304" t="s">
        <v>325</v>
      </c>
      <c r="G29" s="381" t="s">
        <v>283</v>
      </c>
      <c r="H29" s="215" t="s">
        <v>164</v>
      </c>
      <c r="I29" s="215" t="s">
        <v>165</v>
      </c>
      <c r="J29" s="382" t="s">
        <v>304</v>
      </c>
      <c r="K29" s="305" t="s">
        <v>319</v>
      </c>
      <c r="L29" s="303"/>
      <c r="M29" s="303"/>
      <c r="N29" s="303"/>
      <c r="O29" s="220">
        <v>95000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9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76">
        <v>1214</v>
      </c>
      <c r="C30" s="380" t="s">
        <v>412</v>
      </c>
      <c r="D30" s="304" t="s">
        <v>458</v>
      </c>
      <c r="E30" s="305" t="s">
        <v>363</v>
      </c>
      <c r="F30" s="304" t="s">
        <v>325</v>
      </c>
      <c r="G30" s="381" t="s">
        <v>283</v>
      </c>
      <c r="H30" s="215" t="s">
        <v>164</v>
      </c>
      <c r="I30" s="215" t="s">
        <v>165</v>
      </c>
      <c r="J30" s="233" t="s">
        <v>189</v>
      </c>
      <c r="K30" s="305" t="s">
        <v>283</v>
      </c>
      <c r="L30" s="303"/>
      <c r="M30" s="303"/>
      <c r="N30" s="303"/>
      <c r="O30" s="220">
        <v>104500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9</v>
      </c>
      <c r="AT30" s="830"/>
      <c r="AU30" s="830">
        <f>COUNTIF(F8:F67,"st")</f>
        <v>4</v>
      </c>
      <c r="AV30" s="830"/>
      <c r="AW30" s="324">
        <f>COUNTIF(F8:F67,"v")</f>
        <v>5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76">
        <v>1110</v>
      </c>
      <c r="C31" s="380" t="s">
        <v>394</v>
      </c>
      <c r="D31" s="304" t="s">
        <v>460</v>
      </c>
      <c r="E31" s="304" t="s">
        <v>459</v>
      </c>
      <c r="F31" s="304" t="s">
        <v>294</v>
      </c>
      <c r="G31" s="381" t="s">
        <v>308</v>
      </c>
      <c r="H31" s="215" t="s">
        <v>164</v>
      </c>
      <c r="I31" s="215" t="s">
        <v>165</v>
      </c>
      <c r="J31" s="233" t="s">
        <v>189</v>
      </c>
      <c r="K31" s="305"/>
      <c r="L31" s="303"/>
      <c r="M31" s="303">
        <v>270000</v>
      </c>
      <c r="N31" s="303"/>
      <c r="O31" s="220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1</v>
      </c>
      <c r="AV31" s="817"/>
      <c r="AW31" s="322">
        <f>AW29-AW30</f>
        <v>0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76">
        <v>906</v>
      </c>
      <c r="C32" s="394" t="s">
        <v>281</v>
      </c>
      <c r="D32" s="360" t="s">
        <v>461</v>
      </c>
      <c r="E32" s="371" t="s">
        <v>463</v>
      </c>
      <c r="F32" s="360" t="s">
        <v>312</v>
      </c>
      <c r="G32" s="395" t="s">
        <v>283</v>
      </c>
      <c r="H32" s="217" t="s">
        <v>164</v>
      </c>
      <c r="I32" s="217" t="s">
        <v>165</v>
      </c>
      <c r="J32" s="368" t="s">
        <v>189</v>
      </c>
      <c r="K32" s="448"/>
      <c r="L32" s="365"/>
      <c r="M32" s="365"/>
      <c r="N32" s="365"/>
      <c r="O32" s="317">
        <v>100000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76">
        <v>911</v>
      </c>
      <c r="C33" s="380" t="s">
        <v>281</v>
      </c>
      <c r="D33" s="304" t="s">
        <v>462</v>
      </c>
      <c r="E33" s="305" t="s">
        <v>296</v>
      </c>
      <c r="F33" s="304" t="s">
        <v>302</v>
      </c>
      <c r="G33" s="381" t="s">
        <v>283</v>
      </c>
      <c r="H33" s="215" t="s">
        <v>164</v>
      </c>
      <c r="I33" s="215" t="s">
        <v>165</v>
      </c>
      <c r="J33" s="233" t="s">
        <v>189</v>
      </c>
      <c r="K33" s="305" t="s">
        <v>319</v>
      </c>
      <c r="L33" s="303"/>
      <c r="M33" s="303"/>
      <c r="N33" s="303"/>
      <c r="O33" s="220">
        <v>90000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76">
        <v>1115</v>
      </c>
      <c r="C34" s="380" t="s">
        <v>298</v>
      </c>
      <c r="D34" s="304" t="s">
        <v>464</v>
      </c>
      <c r="E34" s="305" t="s">
        <v>363</v>
      </c>
      <c r="F34" s="304" t="s">
        <v>325</v>
      </c>
      <c r="G34" s="381" t="s">
        <v>283</v>
      </c>
      <c r="H34" s="215" t="s">
        <v>164</v>
      </c>
      <c r="I34" s="215" t="s">
        <v>165</v>
      </c>
      <c r="J34" s="382" t="s">
        <v>304</v>
      </c>
      <c r="K34" s="305"/>
      <c r="L34" s="303"/>
      <c r="M34" s="303"/>
      <c r="N34" s="303"/>
      <c r="O34" s="220">
        <v>86422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76">
        <v>1215</v>
      </c>
      <c r="C35" s="380" t="s">
        <v>292</v>
      </c>
      <c r="D35" s="304" t="s">
        <v>466</v>
      </c>
      <c r="E35" s="305" t="s">
        <v>296</v>
      </c>
      <c r="F35" s="304" t="s">
        <v>325</v>
      </c>
      <c r="G35" s="381" t="s">
        <v>283</v>
      </c>
      <c r="H35" s="215" t="s">
        <v>164</v>
      </c>
      <c r="I35" s="215" t="s">
        <v>165</v>
      </c>
      <c r="J35" s="396" t="s">
        <v>304</v>
      </c>
      <c r="K35" s="397"/>
      <c r="L35" s="303"/>
      <c r="M35" s="303"/>
      <c r="N35" s="303"/>
      <c r="O35" s="220">
        <v>90000</v>
      </c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376">
        <v>1112</v>
      </c>
      <c r="C36" s="380" t="s">
        <v>281</v>
      </c>
      <c r="D36" s="304" t="s">
        <v>470</v>
      </c>
      <c r="E36" s="305" t="s">
        <v>296</v>
      </c>
      <c r="F36" s="304" t="s">
        <v>325</v>
      </c>
      <c r="G36" s="381" t="s">
        <v>283</v>
      </c>
      <c r="H36" s="215" t="s">
        <v>164</v>
      </c>
      <c r="I36" s="215" t="s">
        <v>165</v>
      </c>
      <c r="J36" s="233" t="s">
        <v>189</v>
      </c>
      <c r="K36" s="305" t="s">
        <v>319</v>
      </c>
      <c r="L36" s="303"/>
      <c r="M36" s="303"/>
      <c r="N36" s="303"/>
      <c r="O36" s="220">
        <v>90000</v>
      </c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376">
        <v>1116</v>
      </c>
      <c r="C37" s="380" t="s">
        <v>292</v>
      </c>
      <c r="D37" s="304" t="s">
        <v>471</v>
      </c>
      <c r="E37" s="305"/>
      <c r="F37" s="304" t="s">
        <v>325</v>
      </c>
      <c r="G37" s="381" t="s">
        <v>283</v>
      </c>
      <c r="H37" s="215" t="s">
        <v>164</v>
      </c>
      <c r="I37" s="215" t="s">
        <v>165</v>
      </c>
      <c r="J37" s="233" t="s">
        <v>189</v>
      </c>
      <c r="K37" s="305"/>
      <c r="L37" s="303"/>
      <c r="M37" s="303"/>
      <c r="N37" s="303"/>
      <c r="O37" s="220">
        <v>100000</v>
      </c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376">
        <v>1216</v>
      </c>
      <c r="C38" s="380" t="s">
        <v>281</v>
      </c>
      <c r="D38" s="304" t="s">
        <v>472</v>
      </c>
      <c r="E38" s="305" t="s">
        <v>363</v>
      </c>
      <c r="F38" s="304" t="s">
        <v>325</v>
      </c>
      <c r="G38" s="381" t="s">
        <v>283</v>
      </c>
      <c r="H38" s="215" t="s">
        <v>164</v>
      </c>
      <c r="I38" s="215" t="s">
        <v>165</v>
      </c>
      <c r="J38" s="305" t="s">
        <v>304</v>
      </c>
      <c r="K38" s="305"/>
      <c r="L38" s="303"/>
      <c r="M38" s="303"/>
      <c r="N38" s="303"/>
      <c r="O38" s="220">
        <v>95000</v>
      </c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376">
        <v>1114</v>
      </c>
      <c r="C39" s="380" t="s">
        <v>424</v>
      </c>
      <c r="D39" s="304" t="s">
        <v>474</v>
      </c>
      <c r="E39" s="305" t="s">
        <v>363</v>
      </c>
      <c r="F39" s="304" t="s">
        <v>325</v>
      </c>
      <c r="G39" s="381" t="s">
        <v>283</v>
      </c>
      <c r="H39" s="215" t="s">
        <v>164</v>
      </c>
      <c r="I39" s="215" t="s">
        <v>165</v>
      </c>
      <c r="J39" s="233" t="s">
        <v>189</v>
      </c>
      <c r="K39" s="305"/>
      <c r="L39" s="303"/>
      <c r="M39" s="303"/>
      <c r="N39" s="303"/>
      <c r="O39" s="220">
        <v>109753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76">
        <v>715</v>
      </c>
      <c r="C40" s="380" t="s">
        <v>354</v>
      </c>
      <c r="D40" s="304" t="s">
        <v>475</v>
      </c>
      <c r="E40" s="305" t="s">
        <v>363</v>
      </c>
      <c r="F40" s="304" t="s">
        <v>325</v>
      </c>
      <c r="G40" s="381" t="s">
        <v>283</v>
      </c>
      <c r="H40" s="305" t="s">
        <v>285</v>
      </c>
      <c r="I40" s="215" t="s">
        <v>165</v>
      </c>
      <c r="J40" s="233" t="s">
        <v>189</v>
      </c>
      <c r="K40" s="305" t="s">
        <v>283</v>
      </c>
      <c r="L40" s="303"/>
      <c r="M40" s="303"/>
      <c r="N40" s="303"/>
      <c r="O40" s="220">
        <v>95000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76">
        <v>406</v>
      </c>
      <c r="C41" s="380" t="s">
        <v>292</v>
      </c>
      <c r="D41" s="304" t="s">
        <v>476</v>
      </c>
      <c r="E41" s="305" t="s">
        <v>477</v>
      </c>
      <c r="F41" s="304" t="s">
        <v>312</v>
      </c>
      <c r="G41" s="381" t="s">
        <v>283</v>
      </c>
      <c r="H41" s="305" t="s">
        <v>285</v>
      </c>
      <c r="I41" s="215" t="s">
        <v>165</v>
      </c>
      <c r="J41" s="233" t="s">
        <v>189</v>
      </c>
      <c r="K41" s="305" t="s">
        <v>283</v>
      </c>
      <c r="L41" s="303"/>
      <c r="M41" s="303"/>
      <c r="N41" s="303"/>
      <c r="O41" s="220">
        <v>100000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376">
        <v>702</v>
      </c>
      <c r="C42" s="380" t="s">
        <v>281</v>
      </c>
      <c r="D42" s="380" t="s">
        <v>479</v>
      </c>
      <c r="F42" s="304" t="s">
        <v>312</v>
      </c>
      <c r="G42" s="381" t="s">
        <v>283</v>
      </c>
      <c r="H42" s="305" t="s">
        <v>285</v>
      </c>
      <c r="I42" s="215" t="s">
        <v>165</v>
      </c>
      <c r="J42" s="382" t="s">
        <v>299</v>
      </c>
      <c r="K42" s="305"/>
      <c r="L42" s="303"/>
      <c r="M42" s="303"/>
      <c r="N42" s="303"/>
      <c r="O42" s="220">
        <v>130000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319"/>
      <c r="C43" s="230"/>
      <c r="D43" s="231"/>
      <c r="E43" s="398"/>
      <c r="F43" s="231"/>
      <c r="G43" s="232"/>
      <c r="H43" s="215"/>
      <c r="I43" s="215"/>
      <c r="J43" s="233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440">
        <v>809</v>
      </c>
      <c r="C44" s="230" t="s">
        <v>292</v>
      </c>
      <c r="D44" s="231" t="s">
        <v>443</v>
      </c>
      <c r="E44" s="215" t="s">
        <v>318</v>
      </c>
      <c r="F44" s="231" t="s">
        <v>324</v>
      </c>
      <c r="G44" s="232" t="s">
        <v>291</v>
      </c>
      <c r="H44" s="215" t="s">
        <v>164</v>
      </c>
      <c r="I44" s="215" t="s">
        <v>165</v>
      </c>
      <c r="J44" s="233" t="s">
        <v>299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440">
        <v>401</v>
      </c>
      <c r="C45" s="230" t="s">
        <v>292</v>
      </c>
      <c r="D45" s="231" t="s">
        <v>386</v>
      </c>
      <c r="E45" s="215"/>
      <c r="F45" s="231" t="s">
        <v>294</v>
      </c>
      <c r="G45" s="232" t="s">
        <v>291</v>
      </c>
      <c r="H45" s="215" t="s">
        <v>164</v>
      </c>
      <c r="I45" s="215" t="s">
        <v>165</v>
      </c>
      <c r="J45" s="215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440">
        <v>805</v>
      </c>
      <c r="C46" s="230" t="s">
        <v>281</v>
      </c>
      <c r="D46" s="231" t="s">
        <v>288</v>
      </c>
      <c r="E46" s="215"/>
      <c r="F46" s="231" t="s">
        <v>289</v>
      </c>
      <c r="G46" s="232" t="s">
        <v>291</v>
      </c>
      <c r="H46" s="215" t="s">
        <v>164</v>
      </c>
      <c r="I46" s="215" t="s">
        <v>165</v>
      </c>
      <c r="J46" s="215" t="s">
        <v>189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440">
        <v>506</v>
      </c>
      <c r="C47" s="285" t="s">
        <v>176</v>
      </c>
      <c r="D47" s="275" t="s">
        <v>270</v>
      </c>
      <c r="E47" s="276"/>
      <c r="F47" s="275" t="s">
        <v>167</v>
      </c>
      <c r="G47" s="277" t="s">
        <v>172</v>
      </c>
      <c r="H47" s="276" t="s">
        <v>164</v>
      </c>
      <c r="I47" s="276" t="s">
        <v>165</v>
      </c>
      <c r="J47" s="278" t="s">
        <v>247</v>
      </c>
      <c r="K47" s="283"/>
      <c r="L47" s="283"/>
      <c r="M47" s="279"/>
      <c r="N47" s="279"/>
      <c r="O47" s="280">
        <v>0</v>
      </c>
      <c r="P47" s="281">
        <v>40</v>
      </c>
      <c r="Q47" s="273"/>
      <c r="R47" s="274"/>
      <c r="S47" s="275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6"/>
      <c r="H48" s="266"/>
      <c r="I48" s="269"/>
      <c r="J48" s="270"/>
      <c r="K48" s="271"/>
      <c r="L48" s="271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11</v>
      </c>
      <c r="BB54" s="681"/>
      <c r="BC54" s="679">
        <f>AZ24</f>
        <v>22000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11</v>
      </c>
      <c r="BB55" s="681"/>
      <c r="BC55" s="679">
        <f>SUM(BC53:BE54)</f>
        <v>22000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13</v>
      </c>
      <c r="AQ60" s="56">
        <f>SUMIF($C$8:$C$72, $AK60, $L$8:$L$72)+SUMIF($C$8:$C$72, $AK60, $M$8:$M$72)+SUMIF($C$8:$C$72, $AK60, $N$8:$N$72)+SUMIF($C$8:$C$72, $AK60, $O$8:$O$72)</f>
        <v>1125000</v>
      </c>
      <c r="AR60" s="57">
        <f>AQ60*0.9</f>
        <v>1012500</v>
      </c>
      <c r="AS60" s="58">
        <f t="shared" ref="AS60:AS70" si="4">SUM(AN60+AQ60)</f>
        <v>1125000</v>
      </c>
      <c r="AT60" s="59">
        <f t="shared" ref="AT60:AT70" si="5">AO60+AR60</f>
        <v>1012500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11</v>
      </c>
      <c r="AQ61" s="56">
        <f t="shared" ref="AQ61:AQ70" si="8">SUMIF($C$8:$C$72, $AK61, $L$8:$L$72)+SUMIF($C$8:$C$72, $AK61, $M$8:$M$72)+SUMIF($C$8:$C$72, $AK61, $N$8:$N$72)+SUMIF($C$8:$C$72, $AK61, $O$8:$O$72)</f>
        <v>1110000</v>
      </c>
      <c r="AR61" s="57">
        <f t="shared" ref="AR61:AR70" si="9">AQ61*0.9</f>
        <v>999000</v>
      </c>
      <c r="AS61" s="58">
        <f t="shared" si="4"/>
        <v>1110000</v>
      </c>
      <c r="AT61" s="59">
        <f t="shared" si="5"/>
        <v>999000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95000</v>
      </c>
      <c r="AR62" s="57">
        <f t="shared" si="9"/>
        <v>85500</v>
      </c>
      <c r="AS62" s="58">
        <f t="shared" si="4"/>
        <v>95000</v>
      </c>
      <c r="AT62" s="59">
        <f t="shared" si="5"/>
        <v>85500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2</v>
      </c>
      <c r="AQ65" s="56">
        <f t="shared" si="8"/>
        <v>584905</v>
      </c>
      <c r="AR65" s="57">
        <f t="shared" si="9"/>
        <v>526414.5</v>
      </c>
      <c r="AS65" s="58">
        <f t="shared" si="4"/>
        <v>584905</v>
      </c>
      <c r="AT65" s="59">
        <f t="shared" si="5"/>
        <v>526414.5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4</v>
      </c>
      <c r="AQ66" s="56">
        <f t="shared" si="8"/>
        <v>459000</v>
      </c>
      <c r="AR66" s="57">
        <f t="shared" si="9"/>
        <v>413100</v>
      </c>
      <c r="AS66" s="58">
        <f t="shared" si="4"/>
        <v>459000</v>
      </c>
      <c r="AT66" s="59">
        <f t="shared" si="5"/>
        <v>413100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1</v>
      </c>
      <c r="AQ67" s="56">
        <f t="shared" si="8"/>
        <v>86422</v>
      </c>
      <c r="AR67" s="57">
        <f t="shared" si="9"/>
        <v>77779.8</v>
      </c>
      <c r="AS67" s="58">
        <f t="shared" si="4"/>
        <v>86422</v>
      </c>
      <c r="AT67" s="59">
        <f t="shared" si="5"/>
        <v>77779.8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43" t="s">
        <v>445</v>
      </c>
      <c r="D68" s="251" t="s">
        <v>455</v>
      </c>
      <c r="E68" s="217" t="s">
        <v>456</v>
      </c>
      <c r="F68" s="250"/>
      <c r="G68" s="251"/>
      <c r="H68" s="217"/>
      <c r="I68" s="217" t="s">
        <v>457</v>
      </c>
      <c r="J68" s="217"/>
      <c r="K68" s="217"/>
      <c r="L68" s="252"/>
      <c r="M68" s="252">
        <v>10000</v>
      </c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2</v>
      </c>
      <c r="AQ68" s="56">
        <f t="shared" si="8"/>
        <v>292825</v>
      </c>
      <c r="AR68" s="57">
        <f t="shared" si="9"/>
        <v>263542.5</v>
      </c>
      <c r="AS68" s="58">
        <f t="shared" si="4"/>
        <v>292825</v>
      </c>
      <c r="AT68" s="59">
        <f t="shared" si="5"/>
        <v>263542.5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3962152</v>
      </c>
      <c r="BD68" s="656"/>
      <c r="BE68" s="655"/>
    </row>
    <row r="69" spans="1:57" ht="64.5" customHeight="1" x14ac:dyDescent="0.3">
      <c r="A69" s="659"/>
      <c r="B69" s="660"/>
      <c r="C69" s="215" t="s">
        <v>467</v>
      </c>
      <c r="D69" s="251" t="s">
        <v>468</v>
      </c>
      <c r="E69" s="217" t="s">
        <v>469</v>
      </c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3</v>
      </c>
      <c r="AQ69" s="56">
        <f t="shared" si="8"/>
        <v>209000</v>
      </c>
      <c r="AR69" s="57">
        <f t="shared" si="9"/>
        <v>188100</v>
      </c>
      <c r="AS69" s="58">
        <f t="shared" si="4"/>
        <v>209000</v>
      </c>
      <c r="AT69" s="59">
        <f t="shared" si="5"/>
        <v>188100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22000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4264152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37</v>
      </c>
      <c r="AQ73" s="22">
        <f t="shared" si="10"/>
        <v>3962152</v>
      </c>
      <c r="AR73" s="23">
        <f t="shared" si="10"/>
        <v>3565936.8</v>
      </c>
      <c r="AS73" s="24">
        <f t="shared" si="10"/>
        <v>3962152</v>
      </c>
      <c r="AT73" s="25">
        <f t="shared" si="10"/>
        <v>3565936.8</v>
      </c>
      <c r="AU73" s="692" t="s">
        <v>58</v>
      </c>
      <c r="AV73" s="693"/>
      <c r="AW73" s="693"/>
      <c r="AX73" s="693"/>
      <c r="AY73" s="694"/>
      <c r="AZ73" s="695">
        <f>AS58+AT73</f>
        <v>3565936.8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mergeCells count="307">
    <mergeCell ref="AZ67:BB67"/>
    <mergeCell ref="BC67:BE67"/>
    <mergeCell ref="AK68:AL68"/>
    <mergeCell ref="AU68:AY68"/>
    <mergeCell ref="AZ68:BB68"/>
    <mergeCell ref="BC68:BE68"/>
    <mergeCell ref="AK69:AL69"/>
    <mergeCell ref="AI74:AJ74"/>
    <mergeCell ref="AK70:AL70"/>
    <mergeCell ref="AK71:AL71"/>
    <mergeCell ref="AU71:AY71"/>
    <mergeCell ref="AZ71:BE71"/>
    <mergeCell ref="AK72:AL72"/>
    <mergeCell ref="AU72:AY72"/>
    <mergeCell ref="AZ72:BE72"/>
    <mergeCell ref="AI73:AJ73"/>
    <mergeCell ref="AU73:AY73"/>
    <mergeCell ref="AZ73:BE73"/>
    <mergeCell ref="AI59:AJ72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AU59:AV63"/>
    <mergeCell ref="AW59:BA59"/>
    <mergeCell ref="BB59:BE59"/>
    <mergeCell ref="AK60:AL60"/>
    <mergeCell ref="AW60:BA60"/>
    <mergeCell ref="BB60:BE60"/>
    <mergeCell ref="AK61:AL61"/>
    <mergeCell ref="AW61:BA61"/>
    <mergeCell ref="BB61:BE61"/>
    <mergeCell ref="AK62:AL62"/>
    <mergeCell ref="AW62:BA62"/>
    <mergeCell ref="BB62:BE62"/>
    <mergeCell ref="AK63:AL63"/>
    <mergeCell ref="BC55:BE55"/>
    <mergeCell ref="AI56:AJ57"/>
    <mergeCell ref="AK56:AL56"/>
    <mergeCell ref="AN56:AO56"/>
    <mergeCell ref="AS56:AT56"/>
    <mergeCell ref="AK57:AL57"/>
    <mergeCell ref="AN57:AO57"/>
    <mergeCell ref="AS57:AT57"/>
    <mergeCell ref="AI58:AL58"/>
    <mergeCell ref="AN58:AO58"/>
    <mergeCell ref="AS58:AT58"/>
    <mergeCell ref="BA55:BB55"/>
    <mergeCell ref="BC51:BE52"/>
    <mergeCell ref="AK52:AL52"/>
    <mergeCell ref="AN52:AO52"/>
    <mergeCell ref="AQ52:AR52"/>
    <mergeCell ref="AW52:AZ52"/>
    <mergeCell ref="BA52:BB52"/>
    <mergeCell ref="AI53:AJ55"/>
    <mergeCell ref="AK53:AL53"/>
    <mergeCell ref="AN53:AO53"/>
    <mergeCell ref="AS53:AT53"/>
    <mergeCell ref="AU53:AV55"/>
    <mergeCell ref="AW53:AZ53"/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AZ25:BA25"/>
    <mergeCell ref="AJ27:AO27"/>
    <mergeCell ref="AP28:AQ28"/>
    <mergeCell ref="AU28:AV28"/>
    <mergeCell ref="AZ28:BA28"/>
    <mergeCell ref="AP29:AQ29"/>
    <mergeCell ref="AU29:AV29"/>
    <mergeCell ref="AZ29:BA29"/>
    <mergeCell ref="AP30:AQ30"/>
    <mergeCell ref="AU30:AV30"/>
    <mergeCell ref="AZ30:BA30"/>
    <mergeCell ref="AJ30:AK30"/>
    <mergeCell ref="AL30:AM30"/>
    <mergeCell ref="AN25:AO25"/>
    <mergeCell ref="AN28:AO28"/>
    <mergeCell ref="AS28:AT28"/>
    <mergeCell ref="AN30:AO30"/>
    <mergeCell ref="AS30:AT30"/>
    <mergeCell ref="AX30:AY30"/>
    <mergeCell ref="AV25:AW25"/>
    <mergeCell ref="AJ28:AK28"/>
    <mergeCell ref="AL28:AM28"/>
    <mergeCell ref="AI25:AJ25"/>
    <mergeCell ref="AR25:AS25"/>
    <mergeCell ref="BD14:BE14"/>
    <mergeCell ref="AI15:AJ15"/>
    <mergeCell ref="AR15:AS15"/>
    <mergeCell ref="BD15:BE15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Z19:BA19"/>
    <mergeCell ref="AZ20:BA20"/>
    <mergeCell ref="AZ21:BA21"/>
    <mergeCell ref="AZ22:BA22"/>
    <mergeCell ref="AZ23:BA23"/>
    <mergeCell ref="AZ24:BA24"/>
    <mergeCell ref="BB16:BC16"/>
    <mergeCell ref="AX19:AY19"/>
    <mergeCell ref="AX20:AY20"/>
    <mergeCell ref="AN22:AO22"/>
    <mergeCell ref="AP22:AQ22"/>
    <mergeCell ref="AR22:AS22"/>
    <mergeCell ref="AT8:AW8"/>
    <mergeCell ref="AX8:BA8"/>
    <mergeCell ref="BB8:BE8"/>
    <mergeCell ref="AL9:AM9"/>
    <mergeCell ref="BD9:BE9"/>
    <mergeCell ref="BD10:BE10"/>
    <mergeCell ref="BD11:BE11"/>
    <mergeCell ref="BD12:BE12"/>
    <mergeCell ref="BD13:BE13"/>
    <mergeCell ref="BB9:BC9"/>
    <mergeCell ref="BB10:BC10"/>
    <mergeCell ref="AT12:AU12"/>
    <mergeCell ref="AV12:AW12"/>
    <mergeCell ref="AX10:AY10"/>
    <mergeCell ref="AZ10:BA10"/>
    <mergeCell ref="AT11:AU11"/>
    <mergeCell ref="AV11:AW11"/>
    <mergeCell ref="AX9:AY9"/>
    <mergeCell ref="AZ9:BA9"/>
    <mergeCell ref="AT10:AU10"/>
    <mergeCell ref="AV10:AW10"/>
    <mergeCell ref="AT9:AU9"/>
    <mergeCell ref="AV9:AW9"/>
    <mergeCell ref="BB11:BC11"/>
    <mergeCell ref="AP8:AS8"/>
    <mergeCell ref="AL11:AM11"/>
    <mergeCell ref="AN11:AO11"/>
    <mergeCell ref="AP11:AQ11"/>
    <mergeCell ref="AR11:AS11"/>
    <mergeCell ref="AL10:AM10"/>
    <mergeCell ref="AN10:AO10"/>
    <mergeCell ref="AP10:AQ10"/>
    <mergeCell ref="AR10:AS10"/>
    <mergeCell ref="AP9:AQ9"/>
    <mergeCell ref="AR9:AS9"/>
    <mergeCell ref="AX31:AY31"/>
    <mergeCell ref="AP31:AQ31"/>
    <mergeCell ref="AU31:AV31"/>
    <mergeCell ref="AZ31:BA31"/>
    <mergeCell ref="AW51:BB51"/>
    <mergeCell ref="AJ29:AK29"/>
    <mergeCell ref="AL29:AM29"/>
    <mergeCell ref="AA1:AG1"/>
    <mergeCell ref="AI1:BE1"/>
    <mergeCell ref="AB2:AG2"/>
    <mergeCell ref="AI2:AK2"/>
    <mergeCell ref="AL2:AO2"/>
    <mergeCell ref="AP2:AR2"/>
    <mergeCell ref="AS2:AY2"/>
    <mergeCell ref="BA2:BE2"/>
    <mergeCell ref="AB3:AG3"/>
    <mergeCell ref="AL4:AP4"/>
    <mergeCell ref="AL5:AP5"/>
    <mergeCell ref="AL6:AP6"/>
    <mergeCell ref="AL7:AM7"/>
    <mergeCell ref="AN7:AP7"/>
    <mergeCell ref="AI8:AJ14"/>
    <mergeCell ref="AK8:AK9"/>
    <mergeCell ref="AL8:AO8"/>
    <mergeCell ref="AT21:AU21"/>
    <mergeCell ref="AV21:AW21"/>
    <mergeCell ref="AL22:AM22"/>
    <mergeCell ref="AX28:AY28"/>
    <mergeCell ref="AN29:AO29"/>
    <mergeCell ref="AS29:AT29"/>
    <mergeCell ref="AX29:AY29"/>
    <mergeCell ref="AX21:AY21"/>
    <mergeCell ref="AX22:AY22"/>
    <mergeCell ref="AX23:AY23"/>
    <mergeCell ref="AX24:AY24"/>
    <mergeCell ref="AP25:AQ25"/>
    <mergeCell ref="AX25:AY25"/>
    <mergeCell ref="AT22:AU22"/>
    <mergeCell ref="AV22:AW22"/>
    <mergeCell ref="AL21:AM21"/>
    <mergeCell ref="AN21:AO21"/>
    <mergeCell ref="AP21:AQ21"/>
    <mergeCell ref="AR21:AS21"/>
    <mergeCell ref="BB12:BC12"/>
    <mergeCell ref="BB13:BC13"/>
    <mergeCell ref="BB14:BC14"/>
    <mergeCell ref="AP15:AQ15"/>
    <mergeCell ref="BB15:BC15"/>
    <mergeCell ref="AX15:AY15"/>
    <mergeCell ref="AZ15:BA15"/>
    <mergeCell ref="AX12:AY12"/>
    <mergeCell ref="AZ12:BA12"/>
    <mergeCell ref="AZ14:BA14"/>
    <mergeCell ref="AX11:AY11"/>
    <mergeCell ref="AZ11:BA11"/>
    <mergeCell ref="AL12:AM12"/>
    <mergeCell ref="AN12:AO12"/>
    <mergeCell ref="AP12:AQ12"/>
    <mergeCell ref="AR12:AS12"/>
    <mergeCell ref="AV19:AW19"/>
    <mergeCell ref="AL20:AM20"/>
    <mergeCell ref="A68:B76"/>
    <mergeCell ref="P68:Q76"/>
    <mergeCell ref="AQ56:AR56"/>
    <mergeCell ref="AQ57:AR57"/>
    <mergeCell ref="AQ58:AR58"/>
    <mergeCell ref="AS51:AT52"/>
    <mergeCell ref="AJ31:AK31"/>
    <mergeCell ref="AL31:AM31"/>
    <mergeCell ref="AU51:AV52"/>
    <mergeCell ref="AI51:AJ52"/>
    <mergeCell ref="AK51:AL51"/>
    <mergeCell ref="AM51:AO51"/>
    <mergeCell ref="AP51:AR51"/>
    <mergeCell ref="AQ54:AR54"/>
    <mergeCell ref="AQ53:AR53"/>
    <mergeCell ref="AQ55:AR55"/>
    <mergeCell ref="AK66:AL66"/>
    <mergeCell ref="AK67:AL67"/>
    <mergeCell ref="AT23:AU23"/>
    <mergeCell ref="AV23:AW23"/>
    <mergeCell ref="AL24:AM24"/>
    <mergeCell ref="AN24:AO24"/>
    <mergeCell ref="AP24:AQ24"/>
    <mergeCell ref="AR24:AS24"/>
    <mergeCell ref="AT24:AU24"/>
    <mergeCell ref="AV24:AW24"/>
    <mergeCell ref="AL23:AM23"/>
    <mergeCell ref="AN23:AO23"/>
    <mergeCell ref="AP23:AQ23"/>
    <mergeCell ref="AR23:AS23"/>
    <mergeCell ref="AN31:AO31"/>
    <mergeCell ref="AS31:AT31"/>
    <mergeCell ref="AN20:AO20"/>
    <mergeCell ref="AP20:AQ20"/>
    <mergeCell ref="AR20:AS20"/>
    <mergeCell ref="AT20:AU20"/>
    <mergeCell ref="AV20:AW20"/>
    <mergeCell ref="AP19:AQ19"/>
    <mergeCell ref="AR19:AS19"/>
    <mergeCell ref="AT19:AU19"/>
    <mergeCell ref="AX14:AY14"/>
    <mergeCell ref="AL15:AM15"/>
    <mergeCell ref="AN15:AO15"/>
    <mergeCell ref="AV15:AW15"/>
    <mergeCell ref="AX13:AY13"/>
    <mergeCell ref="AZ13:BA13"/>
    <mergeCell ref="AL14:AM14"/>
    <mergeCell ref="AN14:AO14"/>
    <mergeCell ref="AP14:AQ14"/>
    <mergeCell ref="AR14:AS14"/>
    <mergeCell ref="AT14:AU14"/>
    <mergeCell ref="AV14:AW14"/>
    <mergeCell ref="AL13:AM13"/>
    <mergeCell ref="AN13:AO13"/>
    <mergeCell ref="AP13:AQ13"/>
    <mergeCell ref="AR13:AS13"/>
    <mergeCell ref="AT13:AU13"/>
    <mergeCell ref="AV13:AW13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Y5:Z5"/>
    <mergeCell ref="H3:L3"/>
    <mergeCell ref="N3:O3"/>
    <mergeCell ref="A4:M4"/>
    <mergeCell ref="N2:O2"/>
    <mergeCell ref="Z2:Z3"/>
    <mergeCell ref="A1:O1"/>
    <mergeCell ref="P1:R3"/>
    <mergeCell ref="S1:Y3"/>
    <mergeCell ref="A2:B3"/>
    <mergeCell ref="C2:F3"/>
    <mergeCell ref="G2:G3"/>
    <mergeCell ref="H2:L2"/>
    <mergeCell ref="M2:M3"/>
    <mergeCell ref="P4:AE4"/>
  </mergeCells>
  <phoneticPr fontId="2" type="noConversion"/>
  <conditionalFormatting sqref="C8:C68">
    <cfRule type="cellIs" dxfId="634" priority="1" operator="equal">
      <formula>"여기어때"</formula>
    </cfRule>
    <cfRule type="cellIs" dxfId="633" priority="2" operator="equal">
      <formula>"야놀자"</formula>
    </cfRule>
  </conditionalFormatting>
  <conditionalFormatting sqref="D42">
    <cfRule type="cellIs" dxfId="632" priority="75" operator="equal">
      <formula>"여기어때"</formula>
    </cfRule>
    <cfRule type="cellIs" dxfId="631" priority="76" operator="equal">
      <formula>"야놀자"</formula>
    </cfRule>
  </conditionalFormatting>
  <conditionalFormatting sqref="R8:R66">
    <cfRule type="cellIs" dxfId="630" priority="131" operator="equal">
      <formula>"여기어때"</formula>
    </cfRule>
    <cfRule type="cellIs" dxfId="629" priority="132" operator="equal">
      <formula>"야놀자"</formula>
    </cfRule>
  </conditionalFormatting>
  <conditionalFormatting sqref="R73">
    <cfRule type="cellIs" dxfId="628" priority="133" operator="equal">
      <formula>"여기어때"</formula>
    </cfRule>
    <cfRule type="cellIs" dxfId="627" priority="134" operator="equal">
      <formula>"야놀자"</formula>
    </cfRule>
  </conditionalFormatting>
  <conditionalFormatting sqref="AL30:AM30">
    <cfRule type="cellIs" dxfId="626" priority="118" operator="greaterThan">
      <formula>$AL$29</formula>
    </cfRule>
    <cfRule type="cellIs" dxfId="625" priority="126" operator="equal">
      <formula>$AL$29</formula>
    </cfRule>
  </conditionalFormatting>
  <conditionalFormatting sqref="AN30:AO30">
    <cfRule type="cellIs" dxfId="624" priority="117" operator="greaterThan">
      <formula>$AN$29</formula>
    </cfRule>
    <cfRule type="cellIs" dxfId="623" priority="125" operator="equal">
      <formula>$AN$29</formula>
    </cfRule>
  </conditionalFormatting>
  <conditionalFormatting sqref="AP30:AQ30">
    <cfRule type="cellIs" dxfId="622" priority="116" operator="greaterThan">
      <formula>$AP$29</formula>
    </cfRule>
    <cfRule type="cellIs" dxfId="621" priority="124" operator="equal">
      <formula>$AP$29</formula>
    </cfRule>
  </conditionalFormatting>
  <conditionalFormatting sqref="AR30">
    <cfRule type="cellIs" dxfId="620" priority="115" operator="greaterThan">
      <formula>$AR$29</formula>
    </cfRule>
    <cfRule type="cellIs" dxfId="619" priority="123" operator="equal">
      <formula>$AR$29</formula>
    </cfRule>
  </conditionalFormatting>
  <conditionalFormatting sqref="AS30:AT30">
    <cfRule type="cellIs" dxfId="618" priority="114" operator="greaterThan">
      <formula>$AS$29</formula>
    </cfRule>
    <cfRule type="cellIs" dxfId="617" priority="122" operator="equal">
      <formula>$AS$29</formula>
    </cfRule>
  </conditionalFormatting>
  <conditionalFormatting sqref="AU30:AV30">
    <cfRule type="cellIs" dxfId="616" priority="113" operator="greaterThan">
      <formula>$AU$29</formula>
    </cfRule>
    <cfRule type="cellIs" dxfId="615" priority="121" operator="equal">
      <formula>$AU$29</formula>
    </cfRule>
  </conditionalFormatting>
  <conditionalFormatting sqref="AW30">
    <cfRule type="cellIs" dxfId="614" priority="112" operator="greaterThan">
      <formula>$AW$29</formula>
    </cfRule>
    <cfRule type="cellIs" dxfId="613" priority="120" operator="equal">
      <formula>$AW$29</formula>
    </cfRule>
  </conditionalFormatting>
  <conditionalFormatting sqref="AX30:AY30">
    <cfRule type="cellIs" dxfId="612" priority="111" operator="greaterThan">
      <formula>$AX$29</formula>
    </cfRule>
    <cfRule type="cellIs" dxfId="611" priority="119" operator="equal">
      <formula>$AX$29</formula>
    </cfRule>
  </conditionalFormatting>
  <dataValidations count="1">
    <dataValidation type="list" allowBlank="1" showInputMessage="1" showErrorMessage="1" sqref="A8:A67 P8:P67 C75:C76 C70:C73" xr:uid="{17C474B6-9D64-47FC-97EF-2C2A975D69C1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4501-32EE-4B57-B277-465831F77D4A}">
  <sheetPr codeName="Sheet7"/>
  <dimension ref="A1:BJ89"/>
  <sheetViews>
    <sheetView view="pageBreakPreview" topLeftCell="AC1" zoomScale="25" zoomScaleNormal="25" zoomScaleSheetLayoutView="25" workbookViewId="0">
      <pane ySplit="7" topLeftCell="A8" activePane="bottomLeft" state="frozen"/>
      <selection activeCell="AG60" sqref="AG60:AH70"/>
      <selection pane="bottomLeft" activeCell="AL29" sqref="AL29:AM29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45907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1374200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16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307500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'7'!AA1</f>
        <v>45907</v>
      </c>
      <c r="AM2" s="863"/>
      <c r="AN2" s="863"/>
      <c r="AO2" s="864"/>
      <c r="AP2" s="865" t="s">
        <v>10</v>
      </c>
      <c r="AQ2" s="866"/>
      <c r="AR2" s="866"/>
      <c r="AS2" s="863">
        <f>AA1+1</f>
        <v>45908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1374200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309500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403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3</v>
      </c>
      <c r="E6" s="356">
        <f>AP31</f>
        <v>9</v>
      </c>
      <c r="F6" s="356">
        <f>AR31</f>
        <v>1</v>
      </c>
      <c r="G6" s="356">
        <f>AS31</f>
        <v>4</v>
      </c>
      <c r="H6" s="356">
        <f>AU31</f>
        <v>5</v>
      </c>
      <c r="I6" s="356">
        <f>AW31</f>
        <v>2</v>
      </c>
      <c r="J6" s="356">
        <f>AX31</f>
        <v>0</v>
      </c>
      <c r="K6" s="606"/>
      <c r="L6" s="607"/>
      <c r="M6" s="356"/>
      <c r="N6" s="606">
        <f>C6+D6+E6+F6+G6+H6+I6+J6+K6</f>
        <v>24</v>
      </c>
      <c r="O6" s="602"/>
      <c r="P6" s="599">
        <f>C2</f>
        <v>1374200</v>
      </c>
      <c r="Q6" s="600"/>
      <c r="R6" s="300">
        <f>AN14+AN15</f>
        <v>2000</v>
      </c>
      <c r="S6" s="300">
        <f>AZ14+AZ15</f>
        <v>0</v>
      </c>
      <c r="T6" s="300">
        <f>AR14+AR15</f>
        <v>182000</v>
      </c>
      <c r="U6" s="609">
        <f>AS60</f>
        <v>185000</v>
      </c>
      <c r="V6" s="600"/>
      <c r="W6" s="609">
        <f>AS61</f>
        <v>740000</v>
      </c>
      <c r="X6" s="600"/>
      <c r="Y6" s="609">
        <f>AS62</f>
        <v>0</v>
      </c>
      <c r="Z6" s="600"/>
      <c r="AA6" s="300">
        <f>AS63</f>
        <v>0</v>
      </c>
      <c r="AB6" s="300">
        <f>AS66</f>
        <v>265200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308</v>
      </c>
      <c r="C8" s="230" t="s">
        <v>281</v>
      </c>
      <c r="D8" s="231" t="s">
        <v>366</v>
      </c>
      <c r="E8" s="215" t="s">
        <v>296</v>
      </c>
      <c r="F8" s="231" t="s">
        <v>501</v>
      </c>
      <c r="G8" s="232" t="s">
        <v>367</v>
      </c>
      <c r="H8" s="371" t="s">
        <v>285</v>
      </c>
      <c r="I8" s="371" t="s">
        <v>286</v>
      </c>
      <c r="J8" s="215" t="s">
        <v>287</v>
      </c>
      <c r="K8" s="215"/>
      <c r="L8" s="234"/>
      <c r="M8" s="234"/>
      <c r="N8" s="234"/>
      <c r="O8" s="218">
        <v>240000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805</v>
      </c>
      <c r="C9" s="230" t="s">
        <v>281</v>
      </c>
      <c r="D9" s="231" t="s">
        <v>398</v>
      </c>
      <c r="E9" s="215" t="s">
        <v>516</v>
      </c>
      <c r="F9" s="231" t="s">
        <v>167</v>
      </c>
      <c r="G9" s="232" t="s">
        <v>283</v>
      </c>
      <c r="H9" s="371" t="s">
        <v>285</v>
      </c>
      <c r="I9" s="371" t="s">
        <v>286</v>
      </c>
      <c r="J9" s="215" t="s">
        <v>287</v>
      </c>
      <c r="K9" s="215"/>
      <c r="L9" s="234"/>
      <c r="M9" s="234"/>
      <c r="N9" s="234"/>
      <c r="O9" s="218">
        <v>65000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401</v>
      </c>
      <c r="C10" s="230" t="s">
        <v>292</v>
      </c>
      <c r="D10" s="231" t="s">
        <v>402</v>
      </c>
      <c r="E10" s="215" t="s">
        <v>516</v>
      </c>
      <c r="F10" s="231" t="s">
        <v>161</v>
      </c>
      <c r="G10" s="232" t="s">
        <v>283</v>
      </c>
      <c r="H10" s="371" t="s">
        <v>285</v>
      </c>
      <c r="I10" s="371" t="s">
        <v>286</v>
      </c>
      <c r="J10" s="233" t="s">
        <v>299</v>
      </c>
      <c r="K10" s="215"/>
      <c r="L10" s="411"/>
      <c r="M10" s="234"/>
      <c r="N10" s="234"/>
      <c r="O10" s="218">
        <v>65000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80000</v>
      </c>
      <c r="AS10" s="627"/>
      <c r="AT10" s="625">
        <f>COUNTA($O$8:$O$67)</f>
        <v>15</v>
      </c>
      <c r="AU10" s="625"/>
      <c r="AV10" s="625">
        <f>SUM(O8:O67)</f>
        <v>1190200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16</v>
      </c>
      <c r="BC10" s="799"/>
      <c r="BD10" s="800">
        <f>SUM(AN10+AR10+AV10+AZ10)</f>
        <v>1270200</v>
      </c>
      <c r="BE10" s="801"/>
    </row>
    <row r="11" spans="1:58" ht="64.5" customHeight="1" x14ac:dyDescent="0.3">
      <c r="A11" s="228">
        <v>4</v>
      </c>
      <c r="B11" s="229">
        <v>609</v>
      </c>
      <c r="C11" s="230" t="s">
        <v>281</v>
      </c>
      <c r="D11" s="230" t="s">
        <v>447</v>
      </c>
      <c r="E11" s="215" t="s">
        <v>516</v>
      </c>
      <c r="F11" s="231" t="s">
        <v>167</v>
      </c>
      <c r="G11" s="232" t="s">
        <v>290</v>
      </c>
      <c r="H11" s="371" t="s">
        <v>285</v>
      </c>
      <c r="I11" s="371" t="s">
        <v>286</v>
      </c>
      <c r="J11" s="233" t="s">
        <v>299</v>
      </c>
      <c r="K11" s="215"/>
      <c r="L11" s="234"/>
      <c r="M11" s="302"/>
      <c r="N11" s="234"/>
      <c r="O11" s="218">
        <v>130000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453">
        <v>1214</v>
      </c>
      <c r="C12" s="230" t="s">
        <v>292</v>
      </c>
      <c r="D12" s="231" t="s">
        <v>450</v>
      </c>
      <c r="E12" s="215" t="s">
        <v>296</v>
      </c>
      <c r="F12" s="231" t="s">
        <v>504</v>
      </c>
      <c r="G12" s="232" t="s">
        <v>283</v>
      </c>
      <c r="H12" s="371" t="s">
        <v>285</v>
      </c>
      <c r="I12" s="371" t="s">
        <v>286</v>
      </c>
      <c r="J12" s="215" t="s">
        <v>287</v>
      </c>
      <c r="K12" s="215"/>
      <c r="L12" s="234"/>
      <c r="M12" s="302"/>
      <c r="N12" s="234"/>
      <c r="O12" s="219">
        <v>60000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4</v>
      </c>
      <c r="AQ12" s="785"/>
      <c r="AR12" s="784">
        <f>SUM(M68:M76)</f>
        <v>100000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4</v>
      </c>
      <c r="BC12" s="785"/>
      <c r="BD12" s="780">
        <f>SUM(AN12+AR12+AV12+AZ12)</f>
        <v>100000</v>
      </c>
      <c r="BE12" s="781"/>
    </row>
    <row r="13" spans="1:58" ht="64.5" customHeight="1" x14ac:dyDescent="0.3">
      <c r="A13" s="228">
        <v>6</v>
      </c>
      <c r="B13" s="415">
        <v>307</v>
      </c>
      <c r="C13" s="230" t="s">
        <v>300</v>
      </c>
      <c r="D13" s="231" t="s">
        <v>478</v>
      </c>
      <c r="E13" s="215"/>
      <c r="F13" s="231" t="s">
        <v>289</v>
      </c>
      <c r="G13" s="232" t="s">
        <v>290</v>
      </c>
      <c r="H13" s="371" t="s">
        <v>285</v>
      </c>
      <c r="I13" s="371" t="s">
        <v>286</v>
      </c>
      <c r="J13" s="215" t="s">
        <v>287</v>
      </c>
      <c r="K13" s="215"/>
      <c r="L13" s="234"/>
      <c r="M13" s="302"/>
      <c r="N13" s="234"/>
      <c r="O13" s="220">
        <v>132600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506</v>
      </c>
      <c r="C14" s="230" t="s">
        <v>292</v>
      </c>
      <c r="D14" s="231" t="s">
        <v>481</v>
      </c>
      <c r="E14" s="215" t="s">
        <v>296</v>
      </c>
      <c r="F14" s="231" t="s">
        <v>519</v>
      </c>
      <c r="G14" s="232" t="s">
        <v>283</v>
      </c>
      <c r="H14" s="371" t="s">
        <v>285</v>
      </c>
      <c r="I14" s="371" t="s">
        <v>286</v>
      </c>
      <c r="J14" s="233" t="s">
        <v>299</v>
      </c>
      <c r="K14" s="215" t="s">
        <v>535</v>
      </c>
      <c r="L14" s="234"/>
      <c r="M14" s="234"/>
      <c r="N14" s="234"/>
      <c r="O14" s="218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180000</v>
      </c>
      <c r="AS14" s="653"/>
      <c r="AT14" s="653">
        <f t="shared" ref="AT14" si="1">SUM(AT10:AU11)</f>
        <v>15</v>
      </c>
      <c r="AU14" s="653"/>
      <c r="AV14" s="653">
        <f>SUM(AV10:AW13)</f>
        <v>1190200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16</v>
      </c>
      <c r="BC14" s="655"/>
      <c r="BD14" s="782">
        <f>SUM(BD10:BE13)</f>
        <v>1370200</v>
      </c>
      <c r="BE14" s="783"/>
    </row>
    <row r="15" spans="1:58" ht="64.5" customHeight="1" thickBot="1" x14ac:dyDescent="0.35">
      <c r="A15" s="228">
        <v>8</v>
      </c>
      <c r="B15" s="229">
        <v>303</v>
      </c>
      <c r="C15" s="230" t="s">
        <v>281</v>
      </c>
      <c r="D15" s="231" t="s">
        <v>484</v>
      </c>
      <c r="E15" s="215" t="s">
        <v>296</v>
      </c>
      <c r="F15" s="231" t="s">
        <v>501</v>
      </c>
      <c r="G15" s="232" t="s">
        <v>283</v>
      </c>
      <c r="H15" s="371" t="s">
        <v>285</v>
      </c>
      <c r="I15" s="371" t="s">
        <v>286</v>
      </c>
      <c r="J15" s="233" t="s">
        <v>299</v>
      </c>
      <c r="K15" s="215"/>
      <c r="L15" s="234"/>
      <c r="M15" s="234"/>
      <c r="N15" s="234"/>
      <c r="O15" s="220">
        <v>60000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1</v>
      </c>
      <c r="AQ15" s="633"/>
      <c r="AR15" s="632">
        <f>AR24</f>
        <v>2000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229">
        <v>811</v>
      </c>
      <c r="C16" s="230" t="s">
        <v>281</v>
      </c>
      <c r="D16" s="231" t="s">
        <v>485</v>
      </c>
      <c r="E16" s="215" t="s">
        <v>296</v>
      </c>
      <c r="F16" s="231" t="s">
        <v>518</v>
      </c>
      <c r="G16" s="232" t="s">
        <v>283</v>
      </c>
      <c r="H16" s="371" t="s">
        <v>285</v>
      </c>
      <c r="I16" s="371" t="s">
        <v>286</v>
      </c>
      <c r="J16" s="233" t="s">
        <v>299</v>
      </c>
      <c r="K16" s="215"/>
      <c r="L16" s="234"/>
      <c r="M16" s="234"/>
      <c r="N16" s="215"/>
      <c r="O16" s="220">
        <v>60000</v>
      </c>
      <c r="P16" s="402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1374200</v>
      </c>
      <c r="BE16" s="652"/>
      <c r="BF16" s="10"/>
    </row>
    <row r="17" spans="1:62" ht="64.5" customHeight="1" thickBot="1" x14ac:dyDescent="0.35">
      <c r="A17" s="228">
        <v>10</v>
      </c>
      <c r="B17" s="229">
        <v>1210</v>
      </c>
      <c r="C17" s="230" t="s">
        <v>486</v>
      </c>
      <c r="D17" s="304" t="s">
        <v>353</v>
      </c>
      <c r="E17" s="305"/>
      <c r="F17" s="304" t="s">
        <v>294</v>
      </c>
      <c r="G17" s="381" t="s">
        <v>283</v>
      </c>
      <c r="H17" s="215" t="s">
        <v>164</v>
      </c>
      <c r="I17" s="215" t="s">
        <v>165</v>
      </c>
      <c r="J17" s="382" t="s">
        <v>304</v>
      </c>
      <c r="K17" s="305"/>
      <c r="L17" s="303"/>
      <c r="M17" s="303">
        <v>80000</v>
      </c>
      <c r="N17" s="303"/>
      <c r="O17" s="220"/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809</v>
      </c>
      <c r="C18" s="230" t="s">
        <v>491</v>
      </c>
      <c r="D18" s="231" t="s">
        <v>502</v>
      </c>
      <c r="E18" s="215" t="s">
        <v>516</v>
      </c>
      <c r="F18" s="231" t="s">
        <v>519</v>
      </c>
      <c r="G18" s="232" t="s">
        <v>490</v>
      </c>
      <c r="H18" s="215" t="s">
        <v>503</v>
      </c>
      <c r="I18" s="371" t="s">
        <v>165</v>
      </c>
      <c r="J18" s="215" t="s">
        <v>189</v>
      </c>
      <c r="K18" s="215"/>
      <c r="L18" s="234"/>
      <c r="M18" s="234"/>
      <c r="N18" s="234"/>
      <c r="O18" s="220">
        <v>65000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309</v>
      </c>
      <c r="C19" s="230" t="s">
        <v>491</v>
      </c>
      <c r="D19" s="231" t="s">
        <v>512</v>
      </c>
      <c r="E19" s="215" t="s">
        <v>166</v>
      </c>
      <c r="F19" s="231" t="s">
        <v>501</v>
      </c>
      <c r="G19" s="232" t="s">
        <v>490</v>
      </c>
      <c r="H19" s="215" t="s">
        <v>503</v>
      </c>
      <c r="I19" s="215" t="s">
        <v>513</v>
      </c>
      <c r="J19" s="215" t="s">
        <v>510</v>
      </c>
      <c r="K19" s="215"/>
      <c r="L19" s="234"/>
      <c r="M19" s="234"/>
      <c r="N19" s="234"/>
      <c r="O19" s="317">
        <v>60000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409</v>
      </c>
      <c r="C20" s="230" t="s">
        <v>508</v>
      </c>
      <c r="D20" s="231" t="s">
        <v>527</v>
      </c>
      <c r="E20" s="215" t="s">
        <v>516</v>
      </c>
      <c r="F20" s="231" t="s">
        <v>519</v>
      </c>
      <c r="G20" s="232" t="s">
        <v>509</v>
      </c>
      <c r="H20" s="215" t="s">
        <v>503</v>
      </c>
      <c r="I20" s="215" t="s">
        <v>513</v>
      </c>
      <c r="J20" s="215" t="s">
        <v>510</v>
      </c>
      <c r="K20" s="215" t="s">
        <v>490</v>
      </c>
      <c r="L20" s="234"/>
      <c r="M20" s="234"/>
      <c r="N20" s="234"/>
      <c r="O20" s="218">
        <v>132600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1</v>
      </c>
      <c r="AQ20" s="655"/>
      <c r="AR20" s="654">
        <f>AP20*2000</f>
        <v>2000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1206</v>
      </c>
      <c r="C21" s="230" t="s">
        <v>491</v>
      </c>
      <c r="D21" s="231" t="s">
        <v>521</v>
      </c>
      <c r="E21" s="215" t="s">
        <v>166</v>
      </c>
      <c r="F21" s="231" t="s">
        <v>533</v>
      </c>
      <c r="G21" s="232" t="s">
        <v>490</v>
      </c>
      <c r="H21" s="215" t="s">
        <v>503</v>
      </c>
      <c r="I21" s="215" t="s">
        <v>513</v>
      </c>
      <c r="J21" s="215" t="s">
        <v>510</v>
      </c>
      <c r="K21" s="215"/>
      <c r="L21" s="234"/>
      <c r="M21" s="234"/>
      <c r="N21" s="234"/>
      <c r="O21" s="218">
        <v>60000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32"/>
      <c r="C22" s="380"/>
      <c r="D22" s="304"/>
      <c r="E22" s="305"/>
      <c r="F22" s="304"/>
      <c r="G22" s="381"/>
      <c r="H22" s="215"/>
      <c r="I22" s="215"/>
      <c r="J22" s="233"/>
      <c r="K22" s="215"/>
      <c r="L22" s="234"/>
      <c r="M22" s="234"/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32"/>
      <c r="C23" s="380"/>
      <c r="D23" s="304"/>
      <c r="E23" s="305"/>
      <c r="F23" s="304"/>
      <c r="G23" s="381"/>
      <c r="H23" s="215"/>
      <c r="I23" s="215"/>
      <c r="J23" s="233"/>
      <c r="K23" s="305"/>
      <c r="L23" s="303"/>
      <c r="M23" s="303"/>
      <c r="N23" s="303"/>
      <c r="O23" s="220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32"/>
      <c r="C24" s="380"/>
      <c r="D24" s="304"/>
      <c r="E24" s="305"/>
      <c r="F24" s="304"/>
      <c r="G24" s="381"/>
      <c r="H24" s="215"/>
      <c r="I24" s="215"/>
      <c r="J24" s="233"/>
      <c r="K24" s="215"/>
      <c r="L24" s="234"/>
      <c r="M24" s="234"/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1</v>
      </c>
      <c r="AQ24" s="655"/>
      <c r="AR24" s="654">
        <f>SUM(AR20:AS23)</f>
        <v>2000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31"/>
      <c r="E25" s="215"/>
      <c r="F25" s="231"/>
      <c r="G25" s="232"/>
      <c r="H25" s="215"/>
      <c r="I25" s="215"/>
      <c r="J25" s="215"/>
      <c r="K25" s="215"/>
      <c r="L25" s="234"/>
      <c r="M25" s="234"/>
      <c r="N25" s="234"/>
      <c r="O25" s="218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/>
      <c r="C26" s="230"/>
      <c r="D26" s="231"/>
      <c r="E26" s="215"/>
      <c r="F26" s="231"/>
      <c r="G26" s="232"/>
      <c r="H26" s="215"/>
      <c r="I26" s="215"/>
      <c r="J26" s="215"/>
      <c r="K26" s="215"/>
      <c r="L26" s="234"/>
      <c r="M26" s="234"/>
      <c r="N26" s="23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/>
      <c r="C27" s="230"/>
      <c r="D27" s="231"/>
      <c r="E27" s="215"/>
      <c r="F27" s="231"/>
      <c r="G27" s="232"/>
      <c r="H27" s="215"/>
      <c r="I27" s="215"/>
      <c r="J27" s="215"/>
      <c r="K27" s="215"/>
      <c r="L27" s="234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371"/>
      <c r="F28" s="231"/>
      <c r="G28" s="232"/>
      <c r="H28" s="215"/>
      <c r="I28" s="215"/>
      <c r="J28" s="215"/>
      <c r="K28" s="238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31"/>
      <c r="E29" s="371"/>
      <c r="F29" s="231"/>
      <c r="G29" s="232"/>
      <c r="H29" s="215"/>
      <c r="I29" s="215"/>
      <c r="J29" s="215"/>
      <c r="K29" s="215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9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1"/>
      <c r="E30" s="215"/>
      <c r="F30" s="231"/>
      <c r="G30" s="232"/>
      <c r="H30" s="215"/>
      <c r="I30" s="215"/>
      <c r="J30" s="233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1</v>
      </c>
      <c r="AO30" s="829"/>
      <c r="AP30" s="830">
        <f>COUNTIF(F8:F67,"at")</f>
        <v>1</v>
      </c>
      <c r="AQ30" s="830"/>
      <c r="AR30" s="323">
        <f>COUNTIF(F8:F67,"aD")</f>
        <v>1</v>
      </c>
      <c r="AS30" s="830">
        <f>COUNTIF(F8:F67,"sd")</f>
        <v>5</v>
      </c>
      <c r="AT30" s="830"/>
      <c r="AU30" s="830">
        <f>COUNTIF(F8:F67,"st")</f>
        <v>0</v>
      </c>
      <c r="AV30" s="830"/>
      <c r="AW30" s="324">
        <f>COUNTIF(F8:F67,"v")</f>
        <v>3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5"/>
      <c r="F31" s="231"/>
      <c r="G31" s="232"/>
      <c r="H31" s="215"/>
      <c r="I31" s="215"/>
      <c r="J31" s="215"/>
      <c r="K31" s="238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3</v>
      </c>
      <c r="AO31" s="816"/>
      <c r="AP31" s="817">
        <f>AP29-AP30</f>
        <v>9</v>
      </c>
      <c r="AQ31" s="817"/>
      <c r="AR31" s="322">
        <f>AR29-AR30</f>
        <v>1</v>
      </c>
      <c r="AS31" s="817">
        <f>AS29-AS30</f>
        <v>4</v>
      </c>
      <c r="AT31" s="817"/>
      <c r="AU31" s="817">
        <f>AU29-AU30</f>
        <v>5</v>
      </c>
      <c r="AV31" s="817"/>
      <c r="AW31" s="322">
        <f>AW29-AW30</f>
        <v>2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232"/>
      <c r="H32" s="215"/>
      <c r="I32" s="215"/>
      <c r="J32" s="215"/>
      <c r="K32" s="215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232"/>
      <c r="H33" s="215"/>
      <c r="I33" s="215"/>
      <c r="J33" s="215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15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33"/>
      <c r="K35" s="215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305"/>
      <c r="J36" s="233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15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15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15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51"/>
      <c r="E42" s="215"/>
      <c r="F42" s="231"/>
      <c r="G42" s="232"/>
      <c r="H42" s="215"/>
      <c r="I42" s="215"/>
      <c r="J42" s="233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0"/>
      <c r="E43" s="214"/>
      <c r="F43" s="231"/>
      <c r="G43" s="232"/>
      <c r="H43" s="215"/>
      <c r="I43" s="215"/>
      <c r="J43" s="233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/>
      <c r="C44" s="230"/>
      <c r="D44" s="251"/>
      <c r="E44" s="215"/>
      <c r="F44" s="231"/>
      <c r="G44" s="232"/>
      <c r="H44" s="215"/>
      <c r="I44" s="215"/>
      <c r="J44" s="233"/>
      <c r="K44" s="215"/>
      <c r="L44" s="234"/>
      <c r="M44" s="234"/>
      <c r="N44" s="234"/>
      <c r="O44" s="218"/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/>
      <c r="C45" s="230"/>
      <c r="D45" s="304"/>
      <c r="E45" s="305"/>
      <c r="F45" s="304"/>
      <c r="G45" s="381"/>
      <c r="H45" s="215"/>
      <c r="I45" s="215"/>
      <c r="J45" s="382"/>
      <c r="K45" s="305"/>
      <c r="L45" s="303"/>
      <c r="M45" s="303"/>
      <c r="N45" s="303"/>
      <c r="O45" s="220"/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1110</v>
      </c>
      <c r="C46" s="380" t="s">
        <v>394</v>
      </c>
      <c r="D46" s="304" t="s">
        <v>460</v>
      </c>
      <c r="E46" s="304" t="s">
        <v>459</v>
      </c>
      <c r="F46" s="304" t="s">
        <v>294</v>
      </c>
      <c r="G46" s="381" t="s">
        <v>309</v>
      </c>
      <c r="H46" s="215" t="s">
        <v>164</v>
      </c>
      <c r="I46" s="215" t="s">
        <v>165</v>
      </c>
      <c r="J46" s="233" t="s">
        <v>189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273">
        <v>305</v>
      </c>
      <c r="C47" s="399" t="s">
        <v>424</v>
      </c>
      <c r="D47" s="400" t="s">
        <v>426</v>
      </c>
      <c r="E47" s="401" t="s">
        <v>425</v>
      </c>
      <c r="F47" s="400" t="s">
        <v>289</v>
      </c>
      <c r="G47" s="381" t="s">
        <v>197</v>
      </c>
      <c r="H47" s="276" t="s">
        <v>164</v>
      </c>
      <c r="I47" s="276" t="s">
        <v>165</v>
      </c>
      <c r="J47" s="278" t="s">
        <v>189</v>
      </c>
      <c r="K47" s="401"/>
      <c r="L47" s="445"/>
      <c r="M47" s="445"/>
      <c r="N47" s="445"/>
      <c r="O47" s="442">
        <v>0</v>
      </c>
      <c r="P47" s="281">
        <v>40</v>
      </c>
      <c r="Q47" s="273"/>
      <c r="R47" s="274"/>
      <c r="S47" s="275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7"/>
      <c r="H48" s="266"/>
      <c r="I48" s="266"/>
      <c r="J48" s="266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30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30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3</v>
      </c>
      <c r="AQ60" s="56">
        <f>SUMIF($C$8:$C$72, $AK60, $L$8:$L$72)+SUMIF($C$8:$C$72, $AK60, $M$8:$M$72)+SUMIF($C$8:$C$72, $AK60, $N$8:$N$72)+SUMIF($C$8:$C$72, $AK60, $O$8:$O$72)</f>
        <v>185000</v>
      </c>
      <c r="AR60" s="57">
        <f>AQ60*0.9</f>
        <v>166500</v>
      </c>
      <c r="AS60" s="58">
        <f t="shared" ref="AS60:AS70" si="4">SUM(AN60+AQ60)</f>
        <v>185000</v>
      </c>
      <c r="AT60" s="59">
        <f t="shared" ref="AT60:AT70" si="5">AO60+AR60</f>
        <v>166500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30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8</v>
      </c>
      <c r="AQ61" s="56">
        <f t="shared" ref="AQ61:AQ70" si="8">SUMIF($C$8:$C$72, $AK61, $L$8:$L$72)+SUMIF($C$8:$C$72, $AK61, $M$8:$M$72)+SUMIF($C$8:$C$72, $AK61, $N$8:$N$72)+SUMIF($C$8:$C$72, $AK61, $O$8:$O$72)</f>
        <v>740000</v>
      </c>
      <c r="AR61" s="57">
        <f t="shared" ref="AR61:AR70" si="9">AQ61*0.9</f>
        <v>666000</v>
      </c>
      <c r="AS61" s="58">
        <f t="shared" si="4"/>
        <v>740000</v>
      </c>
      <c r="AT61" s="59">
        <f t="shared" si="5"/>
        <v>666000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30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30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30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2</v>
      </c>
      <c r="AQ66" s="56">
        <f t="shared" si="8"/>
        <v>265200</v>
      </c>
      <c r="AR66" s="57">
        <f t="shared" si="9"/>
        <v>238680</v>
      </c>
      <c r="AS66" s="58">
        <f t="shared" si="4"/>
        <v>265200</v>
      </c>
      <c r="AT66" s="59">
        <f t="shared" si="5"/>
        <v>238680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0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51" t="s">
        <v>492</v>
      </c>
      <c r="D68" s="251" t="s">
        <v>495</v>
      </c>
      <c r="E68" s="251" t="s">
        <v>493</v>
      </c>
      <c r="F68" s="250"/>
      <c r="G68" s="251"/>
      <c r="H68" s="217"/>
      <c r="I68" s="217" t="s">
        <v>494</v>
      </c>
      <c r="J68" s="217"/>
      <c r="K68" s="217"/>
      <c r="L68" s="252"/>
      <c r="M68" s="252">
        <v>20000</v>
      </c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1190200</v>
      </c>
      <c r="BD68" s="656"/>
      <c r="BE68" s="655"/>
    </row>
    <row r="69" spans="1:57" ht="64.5" customHeight="1" x14ac:dyDescent="0.3">
      <c r="A69" s="659"/>
      <c r="B69" s="660"/>
      <c r="C69" s="251" t="s">
        <v>496</v>
      </c>
      <c r="D69" s="251" t="s">
        <v>497</v>
      </c>
      <c r="E69" s="251" t="s">
        <v>493</v>
      </c>
      <c r="F69" s="250"/>
      <c r="G69" s="251"/>
      <c r="H69" s="217"/>
      <c r="I69" s="217" t="s">
        <v>494</v>
      </c>
      <c r="J69" s="217"/>
      <c r="K69" s="217"/>
      <c r="L69" s="253"/>
      <c r="M69" s="252">
        <v>20000</v>
      </c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51" t="s">
        <v>498</v>
      </c>
      <c r="D70" s="251" t="s">
        <v>499</v>
      </c>
      <c r="E70" s="251" t="s">
        <v>493</v>
      </c>
      <c r="F70" s="250"/>
      <c r="G70" s="251"/>
      <c r="H70" s="217"/>
      <c r="I70" s="217" t="s">
        <v>494</v>
      </c>
      <c r="J70" s="217"/>
      <c r="K70" s="217"/>
      <c r="L70" s="254"/>
      <c r="M70" s="252">
        <v>20000</v>
      </c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50" t="s">
        <v>505</v>
      </c>
      <c r="D71" s="251" t="s">
        <v>428</v>
      </c>
      <c r="E71" s="217" t="s">
        <v>506</v>
      </c>
      <c r="F71" s="250"/>
      <c r="G71" s="251"/>
      <c r="H71" s="217"/>
      <c r="I71" s="217" t="s">
        <v>507</v>
      </c>
      <c r="J71" s="217"/>
      <c r="K71" s="217"/>
      <c r="L71" s="254"/>
      <c r="M71" s="254">
        <v>40000</v>
      </c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51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1374200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1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14</v>
      </c>
      <c r="AQ73" s="22">
        <f t="shared" si="10"/>
        <v>1190200</v>
      </c>
      <c r="AR73" s="23">
        <f t="shared" si="10"/>
        <v>1071180</v>
      </c>
      <c r="AS73" s="24">
        <f t="shared" si="10"/>
        <v>1190200</v>
      </c>
      <c r="AT73" s="25">
        <f t="shared" si="10"/>
        <v>1071180</v>
      </c>
      <c r="AU73" s="692" t="s">
        <v>58</v>
      </c>
      <c r="AV73" s="693"/>
      <c r="AW73" s="693"/>
      <c r="AX73" s="693"/>
      <c r="AY73" s="694"/>
      <c r="AZ73" s="695">
        <f>AS58+AT73</f>
        <v>1071180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1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51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1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6000000}"/>
  <mergeCells count="307">
    <mergeCell ref="AZ67:BB67"/>
    <mergeCell ref="BC67:BE67"/>
    <mergeCell ref="AK68:AL68"/>
    <mergeCell ref="AU68:AY68"/>
    <mergeCell ref="AZ68:BB68"/>
    <mergeCell ref="BC68:BE68"/>
    <mergeCell ref="AI74:AJ74"/>
    <mergeCell ref="AK69:AL69"/>
    <mergeCell ref="AK70:AL70"/>
    <mergeCell ref="AK71:AL71"/>
    <mergeCell ref="AU71:AY71"/>
    <mergeCell ref="AZ71:BE71"/>
    <mergeCell ref="AK72:AL72"/>
    <mergeCell ref="AU72:AY72"/>
    <mergeCell ref="AZ72:BE72"/>
    <mergeCell ref="AI73:AJ73"/>
    <mergeCell ref="AU73:AY73"/>
    <mergeCell ref="AZ73:BE73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K61:AL61"/>
    <mergeCell ref="AW61:BA61"/>
    <mergeCell ref="BB61:BE61"/>
    <mergeCell ref="AK62:AL62"/>
    <mergeCell ref="AW62:BA62"/>
    <mergeCell ref="BB62:BE62"/>
    <mergeCell ref="AK63:AL63"/>
    <mergeCell ref="AW63:BA63"/>
    <mergeCell ref="BB63:BE63"/>
    <mergeCell ref="AK64:AL64"/>
    <mergeCell ref="AU64:AV65"/>
    <mergeCell ref="AW64:BA64"/>
    <mergeCell ref="BB64:BE64"/>
    <mergeCell ref="BB65:BE65"/>
    <mergeCell ref="AK66:AL66"/>
    <mergeCell ref="AK67:AL67"/>
    <mergeCell ref="BC53:BE53"/>
    <mergeCell ref="AK54:AL54"/>
    <mergeCell ref="AN54:AO54"/>
    <mergeCell ref="AQ54:AR54"/>
    <mergeCell ref="AS54:AT54"/>
    <mergeCell ref="AW54:AZ54"/>
    <mergeCell ref="BA54:BB54"/>
    <mergeCell ref="BC54:BE54"/>
    <mergeCell ref="AK55:AL55"/>
    <mergeCell ref="AN55:AO55"/>
    <mergeCell ref="AQ55:AR55"/>
    <mergeCell ref="AS55:AT55"/>
    <mergeCell ref="AW55:AZ55"/>
    <mergeCell ref="BA55:BB55"/>
    <mergeCell ref="BC55:BE55"/>
    <mergeCell ref="AP51:AR51"/>
    <mergeCell ref="AS51:AT52"/>
    <mergeCell ref="AU51:AV52"/>
    <mergeCell ref="AW51:BB51"/>
    <mergeCell ref="BC51:BE52"/>
    <mergeCell ref="AK52:AL52"/>
    <mergeCell ref="AN52:AO52"/>
    <mergeCell ref="AQ52:AR52"/>
    <mergeCell ref="AW52:AZ52"/>
    <mergeCell ref="BA52:BB52"/>
    <mergeCell ref="AX29:AY29"/>
    <mergeCell ref="AZ29:BA29"/>
    <mergeCell ref="AN30:AO30"/>
    <mergeCell ref="AP30:AQ30"/>
    <mergeCell ref="AS30:AT30"/>
    <mergeCell ref="AU30:AV30"/>
    <mergeCell ref="AX30:AY30"/>
    <mergeCell ref="AZ30:BA30"/>
    <mergeCell ref="AN31:AO31"/>
    <mergeCell ref="AP31:AQ31"/>
    <mergeCell ref="AS31:AT31"/>
    <mergeCell ref="AU31:AV31"/>
    <mergeCell ref="AX31:AY31"/>
    <mergeCell ref="AZ31:BA31"/>
    <mergeCell ref="AP29:AQ29"/>
    <mergeCell ref="AS29:AT29"/>
    <mergeCell ref="AU29:AV29"/>
    <mergeCell ref="AX25:AY25"/>
    <mergeCell ref="AZ25:BA25"/>
    <mergeCell ref="AJ27:AO27"/>
    <mergeCell ref="AN28:AO28"/>
    <mergeCell ref="AP28:AQ28"/>
    <mergeCell ref="AS28:AT28"/>
    <mergeCell ref="AU28:AV28"/>
    <mergeCell ref="AX28:AY28"/>
    <mergeCell ref="AZ28:BA28"/>
    <mergeCell ref="AV25:AW25"/>
    <mergeCell ref="AJ28:AK28"/>
    <mergeCell ref="AL28:AM28"/>
    <mergeCell ref="AN25:AO25"/>
    <mergeCell ref="AR25:AS25"/>
    <mergeCell ref="AI25:AJ25"/>
    <mergeCell ref="AP25:AQ25"/>
    <mergeCell ref="BB15:BC15"/>
    <mergeCell ref="BD15:BE15"/>
    <mergeCell ref="BB16:BC16"/>
    <mergeCell ref="BD16:BE16"/>
    <mergeCell ref="AI18:AJ24"/>
    <mergeCell ref="AK18:AK19"/>
    <mergeCell ref="AX18:BA18"/>
    <mergeCell ref="AX19:AY19"/>
    <mergeCell ref="AZ19:BA19"/>
    <mergeCell ref="AX20:AY20"/>
    <mergeCell ref="AZ20:BA20"/>
    <mergeCell ref="AX21:AY21"/>
    <mergeCell ref="AZ21:BA21"/>
    <mergeCell ref="AX22:AY22"/>
    <mergeCell ref="AZ22:BA22"/>
    <mergeCell ref="AX23:AY23"/>
    <mergeCell ref="AZ23:BA23"/>
    <mergeCell ref="AX24:AY24"/>
    <mergeCell ref="AZ24:BA24"/>
    <mergeCell ref="AT23:AU23"/>
    <mergeCell ref="AV23:AW23"/>
    <mergeCell ref="AL24:AM24"/>
    <mergeCell ref="AN24:AO24"/>
    <mergeCell ref="AP24:AQ24"/>
    <mergeCell ref="AL5:AP5"/>
    <mergeCell ref="AL6:AP6"/>
    <mergeCell ref="AL7:AM7"/>
    <mergeCell ref="AN7:AP7"/>
    <mergeCell ref="AI8:AJ14"/>
    <mergeCell ref="AK8:AK9"/>
    <mergeCell ref="BB8:BE8"/>
    <mergeCell ref="BB9:BC9"/>
    <mergeCell ref="BD9:BE9"/>
    <mergeCell ref="BB10:BC10"/>
    <mergeCell ref="BD10:BE10"/>
    <mergeCell ref="BB11:BC11"/>
    <mergeCell ref="BD11:BE11"/>
    <mergeCell ref="BB12:BC12"/>
    <mergeCell ref="BD12:BE12"/>
    <mergeCell ref="BB13:BC13"/>
    <mergeCell ref="BD13:BE13"/>
    <mergeCell ref="BB14:BC14"/>
    <mergeCell ref="BD14:BE14"/>
    <mergeCell ref="AZ14:BA14"/>
    <mergeCell ref="AZ12:BA12"/>
    <mergeCell ref="AL13:AM13"/>
    <mergeCell ref="AN13:AO13"/>
    <mergeCell ref="AP13:AQ13"/>
    <mergeCell ref="A68:B76"/>
    <mergeCell ref="P68:Q76"/>
    <mergeCell ref="AK65:AL65"/>
    <mergeCell ref="AW65:BA65"/>
    <mergeCell ref="AI53:AJ55"/>
    <mergeCell ref="AK53:AL53"/>
    <mergeCell ref="AN53:AO53"/>
    <mergeCell ref="AQ53:AR53"/>
    <mergeCell ref="AS53:AT53"/>
    <mergeCell ref="AU53:AV55"/>
    <mergeCell ref="AW53:AZ53"/>
    <mergeCell ref="BA53:BB53"/>
    <mergeCell ref="AI56:AJ57"/>
    <mergeCell ref="AK56:AL56"/>
    <mergeCell ref="AN56:AO56"/>
    <mergeCell ref="AQ56:AR56"/>
    <mergeCell ref="AS56:AT56"/>
    <mergeCell ref="AK57:AL57"/>
    <mergeCell ref="AN57:AO57"/>
    <mergeCell ref="AQ57:AR57"/>
    <mergeCell ref="AS57:AT57"/>
    <mergeCell ref="AI58:AL58"/>
    <mergeCell ref="AN58:AO58"/>
    <mergeCell ref="AQ58:AR58"/>
    <mergeCell ref="AJ31:AK31"/>
    <mergeCell ref="AL31:AM31"/>
    <mergeCell ref="AI51:AJ52"/>
    <mergeCell ref="AK51:AL51"/>
    <mergeCell ref="AM51:AO51"/>
    <mergeCell ref="AJ30:AK30"/>
    <mergeCell ref="AL30:AM30"/>
    <mergeCell ref="AJ29:AK29"/>
    <mergeCell ref="AL29:AM29"/>
    <mergeCell ref="AN29:AO29"/>
    <mergeCell ref="AR24:AS24"/>
    <mergeCell ref="AT24:AU24"/>
    <mergeCell ref="AV24:AW24"/>
    <mergeCell ref="AL23:AM23"/>
    <mergeCell ref="AN23:AO23"/>
    <mergeCell ref="AP23:AQ23"/>
    <mergeCell ref="AR23:AS23"/>
    <mergeCell ref="AV21:AW21"/>
    <mergeCell ref="AL22:AM22"/>
    <mergeCell ref="AN22:AO22"/>
    <mergeCell ref="AP22:AQ22"/>
    <mergeCell ref="AR22:AS22"/>
    <mergeCell ref="AT22:AU22"/>
    <mergeCell ref="AV22:AW22"/>
    <mergeCell ref="AL21:AM21"/>
    <mergeCell ref="AN21:AO21"/>
    <mergeCell ref="AP21:AQ21"/>
    <mergeCell ref="AR21:AS21"/>
    <mergeCell ref="AT21:AU21"/>
    <mergeCell ref="AL18:AO18"/>
    <mergeCell ref="AP18:AS18"/>
    <mergeCell ref="AT18:AW18"/>
    <mergeCell ref="AV19:AW19"/>
    <mergeCell ref="AL20:AM20"/>
    <mergeCell ref="AN20:AO20"/>
    <mergeCell ref="AP20:AQ20"/>
    <mergeCell ref="AR20:AS20"/>
    <mergeCell ref="AT20:AU20"/>
    <mergeCell ref="AV20:AW20"/>
    <mergeCell ref="AL19:AM19"/>
    <mergeCell ref="AP19:AQ19"/>
    <mergeCell ref="AR19:AS19"/>
    <mergeCell ref="AT19:AU19"/>
    <mergeCell ref="AL15:AM15"/>
    <mergeCell ref="AN15:AO15"/>
    <mergeCell ref="AR15:AS15"/>
    <mergeCell ref="AV15:AW15"/>
    <mergeCell ref="AX15:AY15"/>
    <mergeCell ref="AZ15:BA15"/>
    <mergeCell ref="AI15:AJ15"/>
    <mergeCell ref="AP15:AQ15"/>
    <mergeCell ref="AL14:AM14"/>
    <mergeCell ref="AN14:AO14"/>
    <mergeCell ref="AP14:AQ14"/>
    <mergeCell ref="AR14:AS14"/>
    <mergeCell ref="AT14:AU14"/>
    <mergeCell ref="AV14:AW14"/>
    <mergeCell ref="AX14:AY14"/>
    <mergeCell ref="AR13:AS13"/>
    <mergeCell ref="AT13:AU13"/>
    <mergeCell ref="AV13:AW13"/>
    <mergeCell ref="AX13:AY13"/>
    <mergeCell ref="AZ13:BA13"/>
    <mergeCell ref="AL12:AM12"/>
    <mergeCell ref="AN12:AO12"/>
    <mergeCell ref="AP12:AQ12"/>
    <mergeCell ref="AR12:AS12"/>
    <mergeCell ref="AT12:AU12"/>
    <mergeCell ref="AV12:AW12"/>
    <mergeCell ref="AX12:AY12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AP8:AS8"/>
    <mergeCell ref="AT8:AW8"/>
    <mergeCell ref="AX8:BA8"/>
    <mergeCell ref="AL9:AM9"/>
    <mergeCell ref="AP9:AQ9"/>
    <mergeCell ref="AR9:AS9"/>
    <mergeCell ref="AT9:AU9"/>
    <mergeCell ref="AV9:AW9"/>
    <mergeCell ref="AX9:AY9"/>
    <mergeCell ref="AZ9:BA9"/>
    <mergeCell ref="AL8:AO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4:M4"/>
    <mergeCell ref="N2:O2"/>
    <mergeCell ref="Z2:Z3"/>
    <mergeCell ref="AB2:AG2"/>
    <mergeCell ref="AI2:AK2"/>
    <mergeCell ref="AL2:AO2"/>
    <mergeCell ref="AB3:AG3"/>
    <mergeCell ref="P4:AE4"/>
    <mergeCell ref="AL4:AP4"/>
    <mergeCell ref="AA1:AG1"/>
    <mergeCell ref="AI1:BE1"/>
    <mergeCell ref="AP2:AR2"/>
    <mergeCell ref="AS2:AY2"/>
    <mergeCell ref="BA2:BE2"/>
    <mergeCell ref="A1:O1"/>
    <mergeCell ref="P1:R3"/>
    <mergeCell ref="S1:Y3"/>
    <mergeCell ref="A2:B3"/>
    <mergeCell ref="C2:F3"/>
    <mergeCell ref="G2:G3"/>
    <mergeCell ref="H2:L2"/>
    <mergeCell ref="M2:M3"/>
    <mergeCell ref="H3:L3"/>
    <mergeCell ref="N3:O3"/>
  </mergeCells>
  <phoneticPr fontId="2" type="noConversion"/>
  <conditionalFormatting sqref="C8:C67">
    <cfRule type="cellIs" dxfId="610" priority="2" operator="equal">
      <formula>"여기어때"</formula>
    </cfRule>
    <cfRule type="cellIs" dxfId="609" priority="3" operator="equal">
      <formula>"야놀자"</formula>
    </cfRule>
  </conditionalFormatting>
  <conditionalFormatting sqref="D11">
    <cfRule type="cellIs" dxfId="608" priority="86" operator="equal">
      <formula>"여기어때"</formula>
    </cfRule>
    <cfRule type="cellIs" dxfId="607" priority="87" operator="equal">
      <formula>"야놀자"</formula>
    </cfRule>
  </conditionalFormatting>
  <conditionalFormatting sqref="D43">
    <cfRule type="cellIs" dxfId="606" priority="62" operator="equal">
      <formula>"여기어때"</formula>
    </cfRule>
    <cfRule type="cellIs" dxfId="605" priority="63" operator="equal">
      <formula>"야놀자"</formula>
    </cfRule>
  </conditionalFormatting>
  <conditionalFormatting sqref="I13:J13">
    <cfRule type="duplicateValues" dxfId="604" priority="1"/>
  </conditionalFormatting>
  <conditionalFormatting sqref="R8:R66">
    <cfRule type="cellIs" dxfId="603" priority="124" operator="equal">
      <formula>"여기어때"</formula>
    </cfRule>
    <cfRule type="cellIs" dxfId="602" priority="125" operator="equal">
      <formula>"야놀자"</formula>
    </cfRule>
  </conditionalFormatting>
  <conditionalFormatting sqref="R73">
    <cfRule type="cellIs" dxfId="601" priority="126" operator="equal">
      <formula>"여기어때"</formula>
    </cfRule>
    <cfRule type="cellIs" dxfId="600" priority="127" operator="equal">
      <formula>"야놀자"</formula>
    </cfRule>
  </conditionalFormatting>
  <conditionalFormatting sqref="AL30:AM30">
    <cfRule type="cellIs" dxfId="599" priority="111" operator="greaterThan">
      <formula>$AL$29</formula>
    </cfRule>
    <cfRule type="cellIs" dxfId="598" priority="119" operator="equal">
      <formula>$AL$29</formula>
    </cfRule>
  </conditionalFormatting>
  <conditionalFormatting sqref="AN30:AO30">
    <cfRule type="cellIs" dxfId="597" priority="110" operator="greaterThan">
      <formula>$AN$29</formula>
    </cfRule>
    <cfRule type="cellIs" dxfId="596" priority="118" operator="equal">
      <formula>$AN$29</formula>
    </cfRule>
  </conditionalFormatting>
  <conditionalFormatting sqref="AP30:AQ30">
    <cfRule type="cellIs" dxfId="595" priority="109" operator="greaterThan">
      <formula>$AP$29</formula>
    </cfRule>
    <cfRule type="cellIs" dxfId="594" priority="117" operator="equal">
      <formula>$AP$29</formula>
    </cfRule>
  </conditionalFormatting>
  <conditionalFormatting sqref="AR30">
    <cfRule type="cellIs" dxfId="593" priority="108" operator="greaterThan">
      <formula>$AR$29</formula>
    </cfRule>
    <cfRule type="cellIs" dxfId="592" priority="116" operator="equal">
      <formula>$AR$29</formula>
    </cfRule>
  </conditionalFormatting>
  <conditionalFormatting sqref="AS30:AT30">
    <cfRule type="cellIs" dxfId="591" priority="107" operator="greaterThan">
      <formula>$AS$29</formula>
    </cfRule>
    <cfRule type="cellIs" dxfId="590" priority="115" operator="equal">
      <formula>$AS$29</formula>
    </cfRule>
  </conditionalFormatting>
  <conditionalFormatting sqref="AU30:AV30">
    <cfRule type="cellIs" dxfId="589" priority="106" operator="greaterThan">
      <formula>$AU$29</formula>
    </cfRule>
    <cfRule type="cellIs" dxfId="588" priority="114" operator="equal">
      <formula>$AU$29</formula>
    </cfRule>
  </conditionalFormatting>
  <conditionalFormatting sqref="AW30">
    <cfRule type="cellIs" dxfId="587" priority="105" operator="greaterThan">
      <formula>$AW$29</formula>
    </cfRule>
    <cfRule type="cellIs" dxfId="586" priority="113" operator="equal">
      <formula>$AW$29</formula>
    </cfRule>
  </conditionalFormatting>
  <conditionalFormatting sqref="AX30:AY30">
    <cfRule type="cellIs" dxfId="585" priority="104" operator="greaterThan">
      <formula>$AX$29</formula>
    </cfRule>
    <cfRule type="cellIs" dxfId="584" priority="112" operator="equal">
      <formula>$AX$29</formula>
    </cfRule>
  </conditionalFormatting>
  <dataValidations count="1">
    <dataValidation type="list" allowBlank="1" showInputMessage="1" showErrorMessage="1" sqref="A8:A67 P8:P67" xr:uid="{A854D88E-053C-48C2-89F5-DD254191FB23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colBreaks count="1" manualBreakCount="1">
    <brk id="33" max="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6505-8C69-429B-9495-6C628520F9C3}">
  <sheetPr codeName="Sheet8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G31" sqref="G31"/>
      <selection pane="bottomLeft" activeCell="T22" sqref="T22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45908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1008750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19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309500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'8'!AA1</f>
        <v>45908</v>
      </c>
      <c r="AM2" s="863"/>
      <c r="AN2" s="863"/>
      <c r="AO2" s="864"/>
      <c r="AP2" s="865" t="s">
        <v>10</v>
      </c>
      <c r="AQ2" s="866"/>
      <c r="AR2" s="866"/>
      <c r="AS2" s="863">
        <f>AA1+1</f>
        <v>45909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1008750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309500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7</v>
      </c>
      <c r="O4" s="299">
        <f>SUM(COUNTIF(B8:B67,{201,202,203,205,206,207,208,209,506,507,508,509,601,602,603,605,606,607,608,609}))</f>
        <v>1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1</v>
      </c>
      <c r="E6" s="356">
        <f>AP31</f>
        <v>8</v>
      </c>
      <c r="F6" s="356">
        <f>AR31</f>
        <v>1</v>
      </c>
      <c r="G6" s="356">
        <f>AS31</f>
        <v>4</v>
      </c>
      <c r="H6" s="356">
        <f>AU31</f>
        <v>5</v>
      </c>
      <c r="I6" s="356">
        <f>AW31</f>
        <v>2</v>
      </c>
      <c r="J6" s="356">
        <f>AX31</f>
        <v>0</v>
      </c>
      <c r="K6" s="606"/>
      <c r="L6" s="607"/>
      <c r="M6" s="356"/>
      <c r="N6" s="606">
        <f>C6+D6+E6+F6+G6+H6+I6+J6+K6</f>
        <v>21</v>
      </c>
      <c r="O6" s="602"/>
      <c r="P6" s="599">
        <f>C2</f>
        <v>1008750</v>
      </c>
      <c r="Q6" s="600"/>
      <c r="R6" s="300">
        <f>AN14+AN15</f>
        <v>0</v>
      </c>
      <c r="S6" s="300">
        <f>AZ14+AZ15</f>
        <v>0</v>
      </c>
      <c r="T6" s="300">
        <f>AR14+AR15</f>
        <v>0</v>
      </c>
      <c r="U6" s="609">
        <f>AS60</f>
        <v>445000</v>
      </c>
      <c r="V6" s="600"/>
      <c r="W6" s="609">
        <f>AS61</f>
        <v>320000</v>
      </c>
      <c r="X6" s="600"/>
      <c r="Y6" s="609">
        <f>AS62</f>
        <v>0</v>
      </c>
      <c r="Z6" s="600"/>
      <c r="AA6" s="300">
        <f>AS63</f>
        <v>0</v>
      </c>
      <c r="AB6" s="300">
        <f>AS66</f>
        <v>66300</v>
      </c>
      <c r="AC6" s="300">
        <f>AS67</f>
        <v>177450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1111</v>
      </c>
      <c r="C8" s="230" t="s">
        <v>292</v>
      </c>
      <c r="D8" s="231" t="s">
        <v>332</v>
      </c>
      <c r="E8" s="215" t="s">
        <v>296</v>
      </c>
      <c r="F8" s="231" t="s">
        <v>518</v>
      </c>
      <c r="G8" s="232" t="s">
        <v>283</v>
      </c>
      <c r="H8" s="215" t="s">
        <v>285</v>
      </c>
      <c r="I8" s="215" t="s">
        <v>286</v>
      </c>
      <c r="J8" s="215" t="s">
        <v>299</v>
      </c>
      <c r="K8" s="215"/>
      <c r="L8" s="234"/>
      <c r="M8" s="234"/>
      <c r="N8" s="234"/>
      <c r="O8" s="220">
        <v>60000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1112</v>
      </c>
      <c r="C9" s="230" t="s">
        <v>81</v>
      </c>
      <c r="D9" s="231" t="s">
        <v>384</v>
      </c>
      <c r="E9" s="215" t="s">
        <v>545</v>
      </c>
      <c r="F9" s="231" t="s">
        <v>159</v>
      </c>
      <c r="G9" s="232" t="s">
        <v>173</v>
      </c>
      <c r="H9" s="215" t="s">
        <v>164</v>
      </c>
      <c r="I9" s="215" t="s">
        <v>165</v>
      </c>
      <c r="J9" s="215" t="s">
        <v>189</v>
      </c>
      <c r="K9" s="215"/>
      <c r="L9" s="234"/>
      <c r="M9" s="234"/>
      <c r="N9" s="234"/>
      <c r="O9" s="220">
        <v>177450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303</v>
      </c>
      <c r="C10" s="230" t="s">
        <v>73</v>
      </c>
      <c r="D10" s="231" t="s">
        <v>403</v>
      </c>
      <c r="E10" s="215"/>
      <c r="F10" s="231" t="s">
        <v>501</v>
      </c>
      <c r="G10" s="232" t="s">
        <v>163</v>
      </c>
      <c r="H10" s="215" t="s">
        <v>164</v>
      </c>
      <c r="I10" s="215" t="s">
        <v>165</v>
      </c>
      <c r="J10" s="233" t="s">
        <v>247</v>
      </c>
      <c r="K10" s="215"/>
      <c r="L10" s="234"/>
      <c r="M10" s="234"/>
      <c r="N10" s="234"/>
      <c r="O10" s="219">
        <v>65000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19</v>
      </c>
      <c r="AU10" s="625"/>
      <c r="AV10" s="625">
        <f>SUM(O8:O67)</f>
        <v>1008750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19</v>
      </c>
      <c r="BC10" s="799"/>
      <c r="BD10" s="800">
        <f>SUM(AN10+AR10+AV10+AZ10)</f>
        <v>1008750</v>
      </c>
      <c r="BE10" s="801"/>
    </row>
    <row r="11" spans="1:58" ht="64.5" customHeight="1" x14ac:dyDescent="0.3">
      <c r="A11" s="228">
        <v>4</v>
      </c>
      <c r="B11" s="229">
        <v>1105</v>
      </c>
      <c r="C11" s="230" t="s">
        <v>73</v>
      </c>
      <c r="D11" s="231" t="s">
        <v>351</v>
      </c>
      <c r="E11" s="215"/>
      <c r="F11" s="231" t="s">
        <v>160</v>
      </c>
      <c r="G11" s="232" t="s">
        <v>163</v>
      </c>
      <c r="H11" s="215" t="s">
        <v>164</v>
      </c>
      <c r="I11" s="215" t="s">
        <v>165</v>
      </c>
      <c r="J11" s="233" t="s">
        <v>247</v>
      </c>
      <c r="K11" s="215"/>
      <c r="L11" s="234"/>
      <c r="M11" s="234"/>
      <c r="N11" s="234"/>
      <c r="O11" s="220">
        <v>70000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907</v>
      </c>
      <c r="C12" s="230" t="s">
        <v>508</v>
      </c>
      <c r="D12" s="231" t="s">
        <v>542</v>
      </c>
      <c r="E12" s="215" t="s">
        <v>516</v>
      </c>
      <c r="F12" s="231" t="s">
        <v>167</v>
      </c>
      <c r="G12" s="232" t="s">
        <v>490</v>
      </c>
      <c r="H12" s="215" t="s">
        <v>164</v>
      </c>
      <c r="I12" s="215" t="s">
        <v>165</v>
      </c>
      <c r="J12" s="215" t="s">
        <v>189</v>
      </c>
      <c r="K12" s="215"/>
      <c r="L12" s="234"/>
      <c r="M12" s="234"/>
      <c r="N12" s="234"/>
      <c r="O12" s="218">
        <v>66300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1011</v>
      </c>
      <c r="C13" s="230" t="s">
        <v>491</v>
      </c>
      <c r="D13" s="231" t="s">
        <v>543</v>
      </c>
      <c r="E13" s="215" t="s">
        <v>166</v>
      </c>
      <c r="F13" s="231" t="s">
        <v>518</v>
      </c>
      <c r="G13" s="232" t="s">
        <v>490</v>
      </c>
      <c r="H13" s="215" t="s">
        <v>164</v>
      </c>
      <c r="I13" s="215" t="s">
        <v>165</v>
      </c>
      <c r="J13" s="215" t="s">
        <v>189</v>
      </c>
      <c r="K13" s="215"/>
      <c r="L13" s="234"/>
      <c r="M13" s="234"/>
      <c r="N13" s="234"/>
      <c r="O13" s="218">
        <v>60000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911</v>
      </c>
      <c r="C14" s="230" t="s">
        <v>514</v>
      </c>
      <c r="D14" s="231" t="s">
        <v>544</v>
      </c>
      <c r="E14" s="215" t="s">
        <v>166</v>
      </c>
      <c r="F14" s="231" t="s">
        <v>518</v>
      </c>
      <c r="G14" s="232" t="s">
        <v>490</v>
      </c>
      <c r="H14" s="215" t="s">
        <v>164</v>
      </c>
      <c r="I14" s="215" t="s">
        <v>165</v>
      </c>
      <c r="J14" s="215" t="s">
        <v>189</v>
      </c>
      <c r="K14" s="215"/>
      <c r="L14" s="234"/>
      <c r="M14" s="234"/>
      <c r="N14" s="234"/>
      <c r="O14" s="218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19</v>
      </c>
      <c r="AU14" s="653"/>
      <c r="AV14" s="653">
        <f>SUM(AV10:AW13)</f>
        <v>1008750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19</v>
      </c>
      <c r="BC14" s="655"/>
      <c r="BD14" s="782">
        <f>SUM(BD10:BE13)</f>
        <v>1008750</v>
      </c>
      <c r="BE14" s="783"/>
    </row>
    <row r="15" spans="1:58" ht="64.5" customHeight="1" thickBot="1" x14ac:dyDescent="0.35">
      <c r="A15" s="228">
        <v>8</v>
      </c>
      <c r="B15" s="229">
        <v>1004</v>
      </c>
      <c r="C15" s="230" t="s">
        <v>514</v>
      </c>
      <c r="D15" s="231" t="s">
        <v>549</v>
      </c>
      <c r="E15" s="215"/>
      <c r="F15" s="231" t="s">
        <v>519</v>
      </c>
      <c r="G15" s="232" t="s">
        <v>490</v>
      </c>
      <c r="H15" s="215" t="s">
        <v>164</v>
      </c>
      <c r="I15" s="215" t="s">
        <v>165</v>
      </c>
      <c r="J15" s="215" t="s">
        <v>487</v>
      </c>
      <c r="K15" s="215"/>
      <c r="L15" s="234"/>
      <c r="M15" s="234"/>
      <c r="N15" s="234"/>
      <c r="O15" s="218">
        <v>75000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0</v>
      </c>
      <c r="AQ15" s="633"/>
      <c r="AR15" s="632">
        <f>AR24</f>
        <v>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0</v>
      </c>
      <c r="BC15" s="633"/>
      <c r="BD15" s="776">
        <f>SUM(AN15+AR15+AV15+AZ15)</f>
        <v>0</v>
      </c>
      <c r="BE15" s="777"/>
    </row>
    <row r="16" spans="1:58" ht="64.5" customHeight="1" thickBot="1" x14ac:dyDescent="0.35">
      <c r="A16" s="228">
        <v>9</v>
      </c>
      <c r="B16" s="229">
        <v>1114</v>
      </c>
      <c r="C16" s="230" t="s">
        <v>73</v>
      </c>
      <c r="D16" s="231" t="s">
        <v>550</v>
      </c>
      <c r="E16" s="215" t="s">
        <v>166</v>
      </c>
      <c r="F16" s="231" t="s">
        <v>504</v>
      </c>
      <c r="G16" s="232" t="s">
        <v>490</v>
      </c>
      <c r="H16" s="215" t="s">
        <v>164</v>
      </c>
      <c r="I16" s="215" t="s">
        <v>165</v>
      </c>
      <c r="J16" s="215" t="s">
        <v>487</v>
      </c>
      <c r="K16" s="215"/>
      <c r="L16" s="234"/>
      <c r="M16" s="234"/>
      <c r="N16" s="234"/>
      <c r="O16" s="220">
        <v>60000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1008750</v>
      </c>
      <c r="BE16" s="652"/>
      <c r="BF16" s="10"/>
    </row>
    <row r="17" spans="1:62" ht="64.5" customHeight="1" thickBot="1" x14ac:dyDescent="0.35">
      <c r="A17" s="228">
        <v>10</v>
      </c>
      <c r="B17" s="229">
        <v>902</v>
      </c>
      <c r="C17" s="230" t="s">
        <v>514</v>
      </c>
      <c r="D17" s="231" t="s">
        <v>552</v>
      </c>
      <c r="E17" s="215" t="s">
        <v>553</v>
      </c>
      <c r="F17" s="231" t="s">
        <v>519</v>
      </c>
      <c r="G17" s="232" t="s">
        <v>490</v>
      </c>
      <c r="H17" s="215" t="s">
        <v>164</v>
      </c>
      <c r="I17" s="215" t="s">
        <v>165</v>
      </c>
      <c r="J17" s="215" t="s">
        <v>189</v>
      </c>
      <c r="K17" s="215"/>
      <c r="L17" s="234"/>
      <c r="M17" s="234"/>
      <c r="N17" s="234"/>
      <c r="O17" s="218">
        <v>70000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501</v>
      </c>
      <c r="C18" s="230" t="s">
        <v>491</v>
      </c>
      <c r="D18" s="230" t="s">
        <v>554</v>
      </c>
      <c r="E18" s="215" t="s">
        <v>516</v>
      </c>
      <c r="F18" s="231" t="s">
        <v>489</v>
      </c>
      <c r="G18" s="232" t="s">
        <v>490</v>
      </c>
      <c r="H18" s="215" t="s">
        <v>164</v>
      </c>
      <c r="I18" s="215" t="s">
        <v>165</v>
      </c>
      <c r="J18" s="215" t="s">
        <v>189</v>
      </c>
      <c r="K18" s="215"/>
      <c r="L18" s="234"/>
      <c r="M18" s="234"/>
      <c r="N18" s="234"/>
      <c r="O18" s="220">
        <v>65000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309</v>
      </c>
      <c r="C19" s="230" t="s">
        <v>514</v>
      </c>
      <c r="D19" s="231" t="s">
        <v>556</v>
      </c>
      <c r="E19" s="215" t="s">
        <v>166</v>
      </c>
      <c r="F19" s="231" t="s">
        <v>501</v>
      </c>
      <c r="G19" s="232" t="s">
        <v>509</v>
      </c>
      <c r="H19" s="215" t="s">
        <v>164</v>
      </c>
      <c r="I19" s="215" t="s">
        <v>165</v>
      </c>
      <c r="J19" s="215" t="s">
        <v>189</v>
      </c>
      <c r="K19" s="215"/>
      <c r="L19" s="234"/>
      <c r="M19" s="234"/>
      <c r="N19" s="234"/>
      <c r="O19" s="224">
        <v>120000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701</v>
      </c>
      <c r="C20" s="230" t="s">
        <v>514</v>
      </c>
      <c r="D20" s="231" t="s">
        <v>570</v>
      </c>
      <c r="E20" s="215" t="s">
        <v>166</v>
      </c>
      <c r="F20" s="231" t="s">
        <v>489</v>
      </c>
      <c r="G20" s="232" t="s">
        <v>490</v>
      </c>
      <c r="H20" s="215" t="s">
        <v>164</v>
      </c>
      <c r="I20" s="215" t="s">
        <v>165</v>
      </c>
      <c r="J20" s="215" t="s">
        <v>530</v>
      </c>
      <c r="K20" s="215"/>
      <c r="L20" s="234"/>
      <c r="M20" s="234"/>
      <c r="N20" s="234"/>
      <c r="O20" s="220">
        <v>60000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0</v>
      </c>
      <c r="AQ20" s="655"/>
      <c r="AR20" s="654">
        <f>AP20*2000</f>
        <v>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0</v>
      </c>
      <c r="AY20" s="647"/>
      <c r="AZ20" s="648">
        <f>SUM(AJ20+AN20+AR20+AV20)</f>
        <v>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/>
      <c r="C21" s="230"/>
      <c r="D21" s="231"/>
      <c r="E21" s="215"/>
      <c r="F21" s="231"/>
      <c r="G21" s="232"/>
      <c r="H21" s="215"/>
      <c r="I21" s="215"/>
      <c r="J21" s="215"/>
      <c r="K21" s="215"/>
      <c r="L21" s="234"/>
      <c r="M21" s="234"/>
      <c r="N21" s="234"/>
      <c r="O21" s="218"/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/>
      <c r="C22" s="230"/>
      <c r="D22" s="231"/>
      <c r="E22" s="215"/>
      <c r="F22" s="231"/>
      <c r="G22" s="232"/>
      <c r="H22" s="215"/>
      <c r="I22" s="215"/>
      <c r="J22" s="215"/>
      <c r="K22" s="215"/>
      <c r="L22" s="234"/>
      <c r="M22" s="234"/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/>
      <c r="C23" s="230"/>
      <c r="D23" s="231"/>
      <c r="E23" s="215"/>
      <c r="F23" s="231"/>
      <c r="G23" s="232"/>
      <c r="H23" s="215"/>
      <c r="I23" s="215"/>
      <c r="J23" s="233"/>
      <c r="K23" s="215"/>
      <c r="L23" s="234"/>
      <c r="M23" s="234"/>
      <c r="N23" s="23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/>
      <c r="C24" s="230"/>
      <c r="D24" s="231"/>
      <c r="E24" s="215"/>
      <c r="F24" s="231"/>
      <c r="G24" s="232"/>
      <c r="H24" s="215"/>
      <c r="I24" s="215"/>
      <c r="J24" s="233"/>
      <c r="K24" s="215"/>
      <c r="L24" s="234"/>
      <c r="M24" s="234"/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0</v>
      </c>
      <c r="AQ24" s="655"/>
      <c r="AR24" s="654">
        <f>SUM(AR20:AS23)</f>
        <v>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0</v>
      </c>
      <c r="AY24" s="647"/>
      <c r="AZ24" s="648">
        <f>SUM(AZ20:BA23)</f>
        <v>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31"/>
      <c r="E25" s="215"/>
      <c r="F25" s="231"/>
      <c r="G25" s="232"/>
      <c r="H25" s="215"/>
      <c r="I25" s="215"/>
      <c r="J25" s="215"/>
      <c r="K25" s="215"/>
      <c r="L25" s="234"/>
      <c r="M25" s="234"/>
      <c r="N25" s="234"/>
      <c r="O25" s="218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/>
      <c r="C26" s="230"/>
      <c r="D26" s="231"/>
      <c r="E26" s="215"/>
      <c r="F26" s="231"/>
      <c r="G26" s="232"/>
      <c r="H26" s="215"/>
      <c r="I26" s="215"/>
      <c r="J26" s="237"/>
      <c r="K26" s="238"/>
      <c r="L26" s="234"/>
      <c r="M26" s="234"/>
      <c r="N26" s="23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/>
      <c r="C27" s="230"/>
      <c r="D27" s="304"/>
      <c r="E27" s="305"/>
      <c r="F27" s="304"/>
      <c r="G27" s="232"/>
      <c r="H27" s="215"/>
      <c r="I27" s="215"/>
      <c r="J27" s="215"/>
      <c r="K27" s="215"/>
      <c r="L27" s="234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215"/>
      <c r="F28" s="231"/>
      <c r="G28" s="232"/>
      <c r="H28" s="215"/>
      <c r="I28" s="215"/>
      <c r="J28" s="215"/>
      <c r="K28" s="215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31"/>
      <c r="E29" s="215"/>
      <c r="F29" s="231"/>
      <c r="G29" s="232"/>
      <c r="H29" s="215"/>
      <c r="I29" s="215"/>
      <c r="J29" s="215"/>
      <c r="K29" s="215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9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1"/>
      <c r="E30" s="215"/>
      <c r="F30" s="231"/>
      <c r="G30" s="232"/>
      <c r="H30" s="215"/>
      <c r="I30" s="215"/>
      <c r="J30" s="215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3</v>
      </c>
      <c r="AO30" s="829"/>
      <c r="AP30" s="830">
        <f>COUNTIF(F8:F67,"at")</f>
        <v>2</v>
      </c>
      <c r="AQ30" s="830"/>
      <c r="AR30" s="323">
        <f>COUNTIF(F8:F67,"aD")</f>
        <v>1</v>
      </c>
      <c r="AS30" s="830">
        <f>COUNTIF(F8:F67,"sd")</f>
        <v>5</v>
      </c>
      <c r="AT30" s="830"/>
      <c r="AU30" s="830">
        <f>COUNTIF(F8:F67,"st")</f>
        <v>0</v>
      </c>
      <c r="AV30" s="830"/>
      <c r="AW30" s="324">
        <f>COUNTIF(F8:F67,"v")</f>
        <v>3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5"/>
      <c r="F31" s="231"/>
      <c r="G31" s="232"/>
      <c r="H31" s="215"/>
      <c r="I31" s="215"/>
      <c r="J31" s="233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1</v>
      </c>
      <c r="AO31" s="816"/>
      <c r="AP31" s="817">
        <f>AP29-AP30</f>
        <v>8</v>
      </c>
      <c r="AQ31" s="817"/>
      <c r="AR31" s="322">
        <f>AR29-AR30</f>
        <v>1</v>
      </c>
      <c r="AS31" s="817">
        <f>AS29-AS30</f>
        <v>4</v>
      </c>
      <c r="AT31" s="817"/>
      <c r="AU31" s="817">
        <f>AU29-AU30</f>
        <v>5</v>
      </c>
      <c r="AV31" s="817"/>
      <c r="AW31" s="322">
        <f>AW29-AW30</f>
        <v>2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232"/>
      <c r="H32" s="215"/>
      <c r="I32" s="215"/>
      <c r="J32" s="237"/>
      <c r="K32" s="238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232"/>
      <c r="H33" s="215"/>
      <c r="I33" s="215"/>
      <c r="J33" s="215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33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37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33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0"/>
      <c r="E40" s="214"/>
      <c r="F40" s="231"/>
      <c r="G40" s="232"/>
      <c r="H40" s="215"/>
      <c r="I40" s="215"/>
      <c r="J40" s="233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439">
        <v>409</v>
      </c>
      <c r="C42" s="230" t="s">
        <v>508</v>
      </c>
      <c r="D42" s="231" t="s">
        <v>527</v>
      </c>
      <c r="E42" s="215"/>
      <c r="F42" s="231" t="s">
        <v>519</v>
      </c>
      <c r="G42" s="232" t="s">
        <v>511</v>
      </c>
      <c r="H42" s="215" t="s">
        <v>503</v>
      </c>
      <c r="I42" s="215" t="s">
        <v>513</v>
      </c>
      <c r="J42" s="215" t="s">
        <v>510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439">
        <v>307</v>
      </c>
      <c r="C43" s="230" t="s">
        <v>300</v>
      </c>
      <c r="D43" s="231" t="s">
        <v>478</v>
      </c>
      <c r="E43" s="215"/>
      <c r="F43" s="231" t="s">
        <v>289</v>
      </c>
      <c r="G43" s="232" t="s">
        <v>291</v>
      </c>
      <c r="H43" s="371" t="s">
        <v>285</v>
      </c>
      <c r="I43" s="371" t="s">
        <v>286</v>
      </c>
      <c r="J43" s="215" t="s">
        <v>287</v>
      </c>
      <c r="K43" s="215"/>
      <c r="L43" s="234"/>
      <c r="M43" s="302"/>
      <c r="N43" s="234"/>
      <c r="O43" s="220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439">
        <v>1110</v>
      </c>
      <c r="C44" s="380" t="s">
        <v>394</v>
      </c>
      <c r="D44" s="304" t="s">
        <v>460</v>
      </c>
      <c r="E44" s="304" t="s">
        <v>459</v>
      </c>
      <c r="F44" s="304" t="s">
        <v>294</v>
      </c>
      <c r="G44" s="381" t="s">
        <v>310</v>
      </c>
      <c r="H44" s="215" t="s">
        <v>164</v>
      </c>
      <c r="I44" s="215" t="s">
        <v>165</v>
      </c>
      <c r="J44" s="233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439">
        <v>609</v>
      </c>
      <c r="C45" s="230" t="s">
        <v>281</v>
      </c>
      <c r="D45" s="230" t="s">
        <v>447</v>
      </c>
      <c r="E45" s="215"/>
      <c r="F45" s="231" t="s">
        <v>167</v>
      </c>
      <c r="G45" s="232" t="s">
        <v>291</v>
      </c>
      <c r="H45" s="371" t="s">
        <v>285</v>
      </c>
      <c r="I45" s="371" t="s">
        <v>286</v>
      </c>
      <c r="J45" s="233" t="s">
        <v>299</v>
      </c>
      <c r="K45" s="215"/>
      <c r="L45" s="234"/>
      <c r="M45" s="302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439">
        <v>305</v>
      </c>
      <c r="C46" s="446" t="s">
        <v>424</v>
      </c>
      <c r="D46" s="304" t="s">
        <v>426</v>
      </c>
      <c r="E46" s="305" t="s">
        <v>425</v>
      </c>
      <c r="F46" s="304" t="s">
        <v>289</v>
      </c>
      <c r="G46" s="381" t="s">
        <v>198</v>
      </c>
      <c r="H46" s="215" t="s">
        <v>164</v>
      </c>
      <c r="I46" s="215" t="s">
        <v>165</v>
      </c>
      <c r="J46" s="233" t="s">
        <v>189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457">
        <v>308</v>
      </c>
      <c r="C47" s="434" t="s">
        <v>281</v>
      </c>
      <c r="D47" s="406" t="s">
        <v>366</v>
      </c>
      <c r="E47" s="407" t="s">
        <v>296</v>
      </c>
      <c r="F47" s="406" t="s">
        <v>501</v>
      </c>
      <c r="G47" s="408" t="s">
        <v>368</v>
      </c>
      <c r="H47" s="447" t="s">
        <v>285</v>
      </c>
      <c r="I47" s="447" t="s">
        <v>286</v>
      </c>
      <c r="J47" s="407" t="s">
        <v>287</v>
      </c>
      <c r="K47" s="276"/>
      <c r="L47" s="279"/>
      <c r="M47" s="279"/>
      <c r="N47" s="279"/>
      <c r="O47" s="280">
        <v>0</v>
      </c>
      <c r="P47" s="281">
        <v>40</v>
      </c>
      <c r="Q47" s="273"/>
      <c r="R47" s="274"/>
      <c r="S47" s="276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7"/>
      <c r="H48" s="266"/>
      <c r="I48" s="266"/>
      <c r="J48" s="266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0</v>
      </c>
      <c r="BB54" s="681"/>
      <c r="BC54" s="679">
        <f>AZ24</f>
        <v>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0</v>
      </c>
      <c r="BB55" s="681"/>
      <c r="BC55" s="679">
        <f>SUM(BC53:BE54)</f>
        <v>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30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30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6</v>
      </c>
      <c r="AQ60" s="56">
        <f>SUMIF($C$8:$C$72, $AK60, $L$8:$L$72)+SUMIF($C$8:$C$72, $AK60, $M$8:$M$72)+SUMIF($C$8:$C$72, $AK60, $N$8:$N$72)+SUMIF($C$8:$C$72, $AK60, $O$8:$O$72)</f>
        <v>445000</v>
      </c>
      <c r="AR60" s="57">
        <f>AQ60*0.9</f>
        <v>400500</v>
      </c>
      <c r="AS60" s="58">
        <f t="shared" ref="AS60:AS70" si="4">SUM(AN60+AQ60)</f>
        <v>445000</v>
      </c>
      <c r="AT60" s="59">
        <f t="shared" ref="AT60:AT70" si="5">AO60+AR60</f>
        <v>400500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30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7</v>
      </c>
      <c r="AQ61" s="56">
        <f t="shared" ref="AQ61:AQ70" si="8">SUMIF($C$8:$C$72, $AK61, $L$8:$L$72)+SUMIF($C$8:$C$72, $AK61, $M$8:$M$72)+SUMIF($C$8:$C$72, $AK61, $N$8:$N$72)+SUMIF($C$8:$C$72, $AK61, $O$8:$O$72)</f>
        <v>320000</v>
      </c>
      <c r="AR61" s="57">
        <f t="shared" ref="AR61:AR70" si="9">AQ61*0.9</f>
        <v>288000</v>
      </c>
      <c r="AS61" s="58">
        <f t="shared" si="4"/>
        <v>320000</v>
      </c>
      <c r="AT61" s="59">
        <f t="shared" si="5"/>
        <v>288000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30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30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30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66300</v>
      </c>
      <c r="AR66" s="57">
        <f t="shared" si="9"/>
        <v>59670</v>
      </c>
      <c r="AS66" s="58">
        <f t="shared" si="4"/>
        <v>66300</v>
      </c>
      <c r="AT66" s="59">
        <f t="shared" si="5"/>
        <v>59670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1</v>
      </c>
      <c r="AQ67" s="56">
        <f t="shared" si="8"/>
        <v>177450</v>
      </c>
      <c r="AR67" s="57">
        <f t="shared" si="9"/>
        <v>159705</v>
      </c>
      <c r="AS67" s="58">
        <f t="shared" si="4"/>
        <v>177450</v>
      </c>
      <c r="AT67" s="59">
        <f t="shared" si="5"/>
        <v>159705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49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1008750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1008750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18</v>
      </c>
      <c r="AQ73" s="22">
        <f t="shared" si="10"/>
        <v>1008750</v>
      </c>
      <c r="AR73" s="23">
        <f t="shared" si="10"/>
        <v>907875</v>
      </c>
      <c r="AS73" s="24">
        <f t="shared" si="10"/>
        <v>1008750</v>
      </c>
      <c r="AT73" s="25">
        <f t="shared" si="10"/>
        <v>907875</v>
      </c>
      <c r="AU73" s="692" t="s">
        <v>58</v>
      </c>
      <c r="AV73" s="693"/>
      <c r="AW73" s="693"/>
      <c r="AX73" s="693"/>
      <c r="AY73" s="694"/>
      <c r="AZ73" s="695">
        <f>AS58+AT73</f>
        <v>907875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7000000}"/>
  <mergeCells count="307">
    <mergeCell ref="AZ67:BB67"/>
    <mergeCell ref="BC67:BE67"/>
    <mergeCell ref="AK68:AL68"/>
    <mergeCell ref="AU68:AY68"/>
    <mergeCell ref="AZ68:BB68"/>
    <mergeCell ref="BC68:BE68"/>
    <mergeCell ref="AK69:AL69"/>
    <mergeCell ref="AI74:AJ74"/>
    <mergeCell ref="AK70:AL70"/>
    <mergeCell ref="AK71:AL71"/>
    <mergeCell ref="AU71:AY71"/>
    <mergeCell ref="AZ71:BE71"/>
    <mergeCell ref="AK72:AL72"/>
    <mergeCell ref="AU72:AY72"/>
    <mergeCell ref="AZ72:BE72"/>
    <mergeCell ref="AI73:AJ73"/>
    <mergeCell ref="AU73:AY73"/>
    <mergeCell ref="AZ73:BE73"/>
    <mergeCell ref="AI59:AJ72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AU59:AV63"/>
    <mergeCell ref="AW59:BA59"/>
    <mergeCell ref="BB59:BE59"/>
    <mergeCell ref="AK60:AL60"/>
    <mergeCell ref="AW60:BA60"/>
    <mergeCell ref="BB60:BE60"/>
    <mergeCell ref="AK61:AL61"/>
    <mergeCell ref="AW61:BA61"/>
    <mergeCell ref="BB61:BE61"/>
    <mergeCell ref="AK62:AL62"/>
    <mergeCell ref="AW62:BA62"/>
    <mergeCell ref="BB62:BE62"/>
    <mergeCell ref="AK63:AL63"/>
    <mergeCell ref="BC55:BE55"/>
    <mergeCell ref="AI56:AJ57"/>
    <mergeCell ref="AK56:AL56"/>
    <mergeCell ref="AN56:AO56"/>
    <mergeCell ref="AS56:AT56"/>
    <mergeCell ref="AK57:AL57"/>
    <mergeCell ref="AN57:AO57"/>
    <mergeCell ref="AS57:AT57"/>
    <mergeCell ref="AI58:AL58"/>
    <mergeCell ref="AN58:AO58"/>
    <mergeCell ref="AS58:AT58"/>
    <mergeCell ref="BA55:BB55"/>
    <mergeCell ref="BC51:BE52"/>
    <mergeCell ref="AK52:AL52"/>
    <mergeCell ref="AN52:AO52"/>
    <mergeCell ref="AQ52:AR52"/>
    <mergeCell ref="AW52:AZ52"/>
    <mergeCell ref="BA52:BB52"/>
    <mergeCell ref="AI53:AJ55"/>
    <mergeCell ref="AK53:AL53"/>
    <mergeCell ref="AN53:AO53"/>
    <mergeCell ref="AS53:AT53"/>
    <mergeCell ref="AU53:AV55"/>
    <mergeCell ref="AW53:AZ53"/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AZ25:BA25"/>
    <mergeCell ref="AJ27:AO27"/>
    <mergeCell ref="AP28:AQ28"/>
    <mergeCell ref="AU28:AV28"/>
    <mergeCell ref="AZ28:BA28"/>
    <mergeCell ref="AP29:AQ29"/>
    <mergeCell ref="AU29:AV29"/>
    <mergeCell ref="AZ29:BA29"/>
    <mergeCell ref="AP30:AQ30"/>
    <mergeCell ref="AU30:AV30"/>
    <mergeCell ref="AZ30:BA30"/>
    <mergeCell ref="AJ30:AK30"/>
    <mergeCell ref="AL30:AM30"/>
    <mergeCell ref="AN25:AO25"/>
    <mergeCell ref="AN28:AO28"/>
    <mergeCell ref="AS28:AT28"/>
    <mergeCell ref="AN30:AO30"/>
    <mergeCell ref="AS30:AT30"/>
    <mergeCell ref="AX30:AY30"/>
    <mergeCell ref="AV25:AW25"/>
    <mergeCell ref="AJ28:AK28"/>
    <mergeCell ref="AL28:AM28"/>
    <mergeCell ref="AI25:AJ25"/>
    <mergeCell ref="AR25:AS25"/>
    <mergeCell ref="BD14:BE14"/>
    <mergeCell ref="AI15:AJ15"/>
    <mergeCell ref="AR15:AS15"/>
    <mergeCell ref="BD15:BE15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Z19:BA19"/>
    <mergeCell ref="AZ20:BA20"/>
    <mergeCell ref="AZ21:BA21"/>
    <mergeCell ref="AZ22:BA22"/>
    <mergeCell ref="AZ23:BA23"/>
    <mergeCell ref="AZ24:BA24"/>
    <mergeCell ref="BB16:BC16"/>
    <mergeCell ref="AX19:AY19"/>
    <mergeCell ref="AX20:AY20"/>
    <mergeCell ref="AN22:AO22"/>
    <mergeCell ref="AP22:AQ22"/>
    <mergeCell ref="AR22:AS22"/>
    <mergeCell ref="AT8:AW8"/>
    <mergeCell ref="AX8:BA8"/>
    <mergeCell ref="BB8:BE8"/>
    <mergeCell ref="AL9:AM9"/>
    <mergeCell ref="BD9:BE9"/>
    <mergeCell ref="BD10:BE10"/>
    <mergeCell ref="BD11:BE11"/>
    <mergeCell ref="BD12:BE12"/>
    <mergeCell ref="BD13:BE13"/>
    <mergeCell ref="BB9:BC9"/>
    <mergeCell ref="BB10:BC10"/>
    <mergeCell ref="AT12:AU12"/>
    <mergeCell ref="AV12:AW12"/>
    <mergeCell ref="AX10:AY10"/>
    <mergeCell ref="AZ10:BA10"/>
    <mergeCell ref="AT11:AU11"/>
    <mergeCell ref="AV11:AW11"/>
    <mergeCell ref="AX9:AY9"/>
    <mergeCell ref="AZ9:BA9"/>
    <mergeCell ref="AT10:AU10"/>
    <mergeCell ref="AV10:AW10"/>
    <mergeCell ref="AT9:AU9"/>
    <mergeCell ref="AV9:AW9"/>
    <mergeCell ref="BB11:BC11"/>
    <mergeCell ref="AP8:AS8"/>
    <mergeCell ref="AL11:AM11"/>
    <mergeCell ref="AN11:AO11"/>
    <mergeCell ref="AP11:AQ11"/>
    <mergeCell ref="AR11:AS11"/>
    <mergeCell ref="AL10:AM10"/>
    <mergeCell ref="AN10:AO10"/>
    <mergeCell ref="AP10:AQ10"/>
    <mergeCell ref="AR10:AS10"/>
    <mergeCell ref="AP9:AQ9"/>
    <mergeCell ref="AR9:AS9"/>
    <mergeCell ref="AX31:AY31"/>
    <mergeCell ref="AP31:AQ31"/>
    <mergeCell ref="AU31:AV31"/>
    <mergeCell ref="AZ31:BA31"/>
    <mergeCell ref="AW51:BB51"/>
    <mergeCell ref="AJ29:AK29"/>
    <mergeCell ref="AL29:AM29"/>
    <mergeCell ref="AA1:AG1"/>
    <mergeCell ref="AI1:BE1"/>
    <mergeCell ref="AB2:AG2"/>
    <mergeCell ref="AI2:AK2"/>
    <mergeCell ref="AL2:AO2"/>
    <mergeCell ref="AP2:AR2"/>
    <mergeCell ref="AS2:AY2"/>
    <mergeCell ref="BA2:BE2"/>
    <mergeCell ref="AB3:AG3"/>
    <mergeCell ref="AL4:AP4"/>
    <mergeCell ref="AL5:AP5"/>
    <mergeCell ref="AL6:AP6"/>
    <mergeCell ref="AL7:AM7"/>
    <mergeCell ref="AN7:AP7"/>
    <mergeCell ref="AI8:AJ14"/>
    <mergeCell ref="AK8:AK9"/>
    <mergeCell ref="AL8:AO8"/>
    <mergeCell ref="AT21:AU21"/>
    <mergeCell ref="AV21:AW21"/>
    <mergeCell ref="AL22:AM22"/>
    <mergeCell ref="AX28:AY28"/>
    <mergeCell ref="AN29:AO29"/>
    <mergeCell ref="AS29:AT29"/>
    <mergeCell ref="AX29:AY29"/>
    <mergeCell ref="AX21:AY21"/>
    <mergeCell ref="AX22:AY22"/>
    <mergeCell ref="AX23:AY23"/>
    <mergeCell ref="AX24:AY24"/>
    <mergeCell ref="AP25:AQ25"/>
    <mergeCell ref="AX25:AY25"/>
    <mergeCell ref="AT22:AU22"/>
    <mergeCell ref="AV22:AW22"/>
    <mergeCell ref="AL21:AM21"/>
    <mergeCell ref="AN21:AO21"/>
    <mergeCell ref="AP21:AQ21"/>
    <mergeCell ref="AR21:AS21"/>
    <mergeCell ref="BB12:BC12"/>
    <mergeCell ref="BB13:BC13"/>
    <mergeCell ref="BB14:BC14"/>
    <mergeCell ref="AP15:AQ15"/>
    <mergeCell ref="BB15:BC15"/>
    <mergeCell ref="AX15:AY15"/>
    <mergeCell ref="AZ15:BA15"/>
    <mergeCell ref="AX12:AY12"/>
    <mergeCell ref="AZ12:BA12"/>
    <mergeCell ref="AZ14:BA14"/>
    <mergeCell ref="AX11:AY11"/>
    <mergeCell ref="AZ11:BA11"/>
    <mergeCell ref="AL12:AM12"/>
    <mergeCell ref="AN12:AO12"/>
    <mergeCell ref="AP12:AQ12"/>
    <mergeCell ref="AR12:AS12"/>
    <mergeCell ref="AV19:AW19"/>
    <mergeCell ref="AL20:AM20"/>
    <mergeCell ref="A68:B76"/>
    <mergeCell ref="P68:Q76"/>
    <mergeCell ref="AQ56:AR56"/>
    <mergeCell ref="AQ57:AR57"/>
    <mergeCell ref="AQ58:AR58"/>
    <mergeCell ref="AS51:AT52"/>
    <mergeCell ref="AJ31:AK31"/>
    <mergeCell ref="AL31:AM31"/>
    <mergeCell ref="AU51:AV52"/>
    <mergeCell ref="AI51:AJ52"/>
    <mergeCell ref="AK51:AL51"/>
    <mergeCell ref="AM51:AO51"/>
    <mergeCell ref="AP51:AR51"/>
    <mergeCell ref="AQ54:AR54"/>
    <mergeCell ref="AQ53:AR53"/>
    <mergeCell ref="AQ55:AR55"/>
    <mergeCell ref="AK66:AL66"/>
    <mergeCell ref="AK67:AL67"/>
    <mergeCell ref="AT23:AU23"/>
    <mergeCell ref="AV23:AW23"/>
    <mergeCell ref="AL24:AM24"/>
    <mergeCell ref="AN24:AO24"/>
    <mergeCell ref="AP24:AQ24"/>
    <mergeCell ref="AR24:AS24"/>
    <mergeCell ref="AT24:AU24"/>
    <mergeCell ref="AV24:AW24"/>
    <mergeCell ref="AL23:AM23"/>
    <mergeCell ref="AN23:AO23"/>
    <mergeCell ref="AP23:AQ23"/>
    <mergeCell ref="AR23:AS23"/>
    <mergeCell ref="AN31:AO31"/>
    <mergeCell ref="AS31:AT31"/>
    <mergeCell ref="AN20:AO20"/>
    <mergeCell ref="AP20:AQ20"/>
    <mergeCell ref="AR20:AS20"/>
    <mergeCell ref="AT20:AU20"/>
    <mergeCell ref="AV20:AW20"/>
    <mergeCell ref="AP19:AQ19"/>
    <mergeCell ref="AR19:AS19"/>
    <mergeCell ref="AT19:AU19"/>
    <mergeCell ref="AX14:AY14"/>
    <mergeCell ref="AL15:AM15"/>
    <mergeCell ref="AN15:AO15"/>
    <mergeCell ref="AV15:AW15"/>
    <mergeCell ref="AX13:AY13"/>
    <mergeCell ref="AZ13:BA13"/>
    <mergeCell ref="AL14:AM14"/>
    <mergeCell ref="AN14:AO14"/>
    <mergeCell ref="AP14:AQ14"/>
    <mergeCell ref="AR14:AS14"/>
    <mergeCell ref="AT14:AU14"/>
    <mergeCell ref="AV14:AW14"/>
    <mergeCell ref="AL13:AM13"/>
    <mergeCell ref="AN13:AO13"/>
    <mergeCell ref="AP13:AQ13"/>
    <mergeCell ref="AR13:AS13"/>
    <mergeCell ref="AT13:AU13"/>
    <mergeCell ref="AV13:AW13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Y5:Z5"/>
    <mergeCell ref="H3:L3"/>
    <mergeCell ref="N3:O3"/>
    <mergeCell ref="A4:M4"/>
    <mergeCell ref="N2:O2"/>
    <mergeCell ref="Z2:Z3"/>
    <mergeCell ref="A1:O1"/>
    <mergeCell ref="P1:R3"/>
    <mergeCell ref="S1:Y3"/>
    <mergeCell ref="A2:B3"/>
    <mergeCell ref="C2:F3"/>
    <mergeCell ref="G2:G3"/>
    <mergeCell ref="H2:L2"/>
    <mergeCell ref="M2:M3"/>
    <mergeCell ref="P4:AE4"/>
  </mergeCells>
  <phoneticPr fontId="2" type="noConversion"/>
  <conditionalFormatting sqref="C8:C67">
    <cfRule type="cellIs" dxfId="583" priority="3" operator="equal">
      <formula>"여기어때"</formula>
    </cfRule>
    <cfRule type="cellIs" dxfId="582" priority="4" operator="equal">
      <formula>"야놀자"</formula>
    </cfRule>
  </conditionalFormatting>
  <conditionalFormatting sqref="D18">
    <cfRule type="cellIs" dxfId="581" priority="1" operator="equal">
      <formula>"여기어때"</formula>
    </cfRule>
    <cfRule type="cellIs" dxfId="580" priority="2" operator="equal">
      <formula>"야놀자"</formula>
    </cfRule>
  </conditionalFormatting>
  <conditionalFormatting sqref="D40">
    <cfRule type="cellIs" dxfId="579" priority="21" operator="equal">
      <formula>"여기어때"</formula>
    </cfRule>
    <cfRule type="cellIs" dxfId="578" priority="22" operator="equal">
      <formula>"야놀자"</formula>
    </cfRule>
  </conditionalFormatting>
  <conditionalFormatting sqref="D45">
    <cfRule type="cellIs" dxfId="577" priority="9" operator="equal">
      <formula>"여기어때"</formula>
    </cfRule>
    <cfRule type="cellIs" dxfId="576" priority="10" operator="equal">
      <formula>"야놀자"</formula>
    </cfRule>
  </conditionalFormatting>
  <conditionalFormatting sqref="R8:R66">
    <cfRule type="cellIs" dxfId="575" priority="79" operator="equal">
      <formula>"여기어때"</formula>
    </cfRule>
    <cfRule type="cellIs" dxfId="574" priority="80" operator="equal">
      <formula>"야놀자"</formula>
    </cfRule>
  </conditionalFormatting>
  <conditionalFormatting sqref="R73">
    <cfRule type="cellIs" dxfId="573" priority="81" operator="equal">
      <formula>"여기어때"</formula>
    </cfRule>
    <cfRule type="cellIs" dxfId="572" priority="82" operator="equal">
      <formula>"야놀자"</formula>
    </cfRule>
  </conditionalFormatting>
  <conditionalFormatting sqref="AL30:AM30">
    <cfRule type="cellIs" dxfId="571" priority="66" operator="greaterThan">
      <formula>$AL$29</formula>
    </cfRule>
    <cfRule type="cellIs" dxfId="570" priority="74" operator="equal">
      <formula>$AL$29</formula>
    </cfRule>
  </conditionalFormatting>
  <conditionalFormatting sqref="AN30:AO30">
    <cfRule type="cellIs" dxfId="569" priority="65" operator="greaterThan">
      <formula>$AN$29</formula>
    </cfRule>
    <cfRule type="cellIs" dxfId="568" priority="73" operator="equal">
      <formula>$AN$29</formula>
    </cfRule>
  </conditionalFormatting>
  <conditionalFormatting sqref="AP30:AQ30">
    <cfRule type="cellIs" dxfId="567" priority="64" operator="greaterThan">
      <formula>$AP$29</formula>
    </cfRule>
    <cfRule type="cellIs" dxfId="566" priority="72" operator="equal">
      <formula>$AP$29</formula>
    </cfRule>
  </conditionalFormatting>
  <conditionalFormatting sqref="AR30">
    <cfRule type="cellIs" dxfId="565" priority="63" operator="greaterThan">
      <formula>$AR$29</formula>
    </cfRule>
    <cfRule type="cellIs" dxfId="564" priority="71" operator="equal">
      <formula>$AR$29</formula>
    </cfRule>
  </conditionalFormatting>
  <conditionalFormatting sqref="AS30:AT30">
    <cfRule type="cellIs" dxfId="563" priority="62" operator="greaterThan">
      <formula>$AS$29</formula>
    </cfRule>
    <cfRule type="cellIs" dxfId="562" priority="70" operator="equal">
      <formula>$AS$29</formula>
    </cfRule>
  </conditionalFormatting>
  <conditionalFormatting sqref="AU30:AV30">
    <cfRule type="cellIs" dxfId="561" priority="61" operator="greaterThan">
      <formula>$AU$29</formula>
    </cfRule>
    <cfRule type="cellIs" dxfId="560" priority="69" operator="equal">
      <formula>$AU$29</formula>
    </cfRule>
  </conditionalFormatting>
  <conditionalFormatting sqref="AW30">
    <cfRule type="cellIs" dxfId="559" priority="60" operator="greaterThan">
      <formula>$AW$29</formula>
    </cfRule>
    <cfRule type="cellIs" dxfId="558" priority="68" operator="equal">
      <formula>$AW$29</formula>
    </cfRule>
  </conditionalFormatting>
  <conditionalFormatting sqref="AX30:AY30">
    <cfRule type="cellIs" dxfId="557" priority="59" operator="greaterThan">
      <formula>$AX$29</formula>
    </cfRule>
    <cfRule type="cellIs" dxfId="556" priority="67" operator="equal">
      <formula>$AX$29</formula>
    </cfRule>
  </conditionalFormatting>
  <dataValidations count="1">
    <dataValidation type="list" allowBlank="1" showInputMessage="1" showErrorMessage="1" sqref="A8:A67 P8:P67 C75:C76 C68:C73" xr:uid="{879C95A4-9A95-4DF8-9113-608E1818A457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B181-CA1D-422E-AAEA-042DD788B238}">
  <sheetPr codeName="Sheet9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G31" sqref="G31"/>
      <selection pane="bottomLeft" activeCell="G45" sqref="G45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598</v>
      </c>
      <c r="T1" s="834"/>
      <c r="U1" s="834"/>
      <c r="V1" s="834"/>
      <c r="W1" s="834"/>
      <c r="X1" s="834"/>
      <c r="Y1" s="835"/>
      <c r="Z1" s="1" t="s">
        <v>2</v>
      </c>
      <c r="AA1" s="873">
        <v>45909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1736500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COUNTA($O$8:$O$67)</f>
        <v>27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309500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'9'!AA1</f>
        <v>45909</v>
      </c>
      <c r="AM2" s="863"/>
      <c r="AN2" s="863"/>
      <c r="AO2" s="864"/>
      <c r="AP2" s="865" t="s">
        <v>10</v>
      </c>
      <c r="AQ2" s="866"/>
      <c r="AR2" s="866"/>
      <c r="AS2" s="863">
        <f>AA1+1</f>
        <v>45910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양동건 대체 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1736500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309500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1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1</v>
      </c>
      <c r="D6" s="356">
        <f>AN31</f>
        <v>2</v>
      </c>
      <c r="E6" s="356">
        <f>AP31</f>
        <v>1</v>
      </c>
      <c r="F6" s="356">
        <f>AR31</f>
        <v>1</v>
      </c>
      <c r="G6" s="356">
        <f>AS31</f>
        <v>8</v>
      </c>
      <c r="H6" s="356">
        <f>AU31</f>
        <v>2</v>
      </c>
      <c r="I6" s="356">
        <f>AW31</f>
        <v>1</v>
      </c>
      <c r="J6" s="356">
        <f>AX31</f>
        <v>0</v>
      </c>
      <c r="K6" s="606"/>
      <c r="L6" s="607"/>
      <c r="M6" s="356"/>
      <c r="N6" s="606">
        <f>C6+D6+E6+F6+G6+H6+I6+J6+K6</f>
        <v>16</v>
      </c>
      <c r="O6" s="602"/>
      <c r="P6" s="599">
        <f>C2</f>
        <v>1736500</v>
      </c>
      <c r="Q6" s="600"/>
      <c r="R6" s="300">
        <f>AN14+AN15</f>
        <v>0</v>
      </c>
      <c r="S6" s="300">
        <f>AZ14+AZ15</f>
        <v>0</v>
      </c>
      <c r="T6" s="300">
        <f>AR14+AR15</f>
        <v>166000</v>
      </c>
      <c r="U6" s="609">
        <f>AS60</f>
        <v>725000</v>
      </c>
      <c r="V6" s="600"/>
      <c r="W6" s="609">
        <f>AS61</f>
        <v>555000</v>
      </c>
      <c r="X6" s="600"/>
      <c r="Y6" s="609">
        <f>AS62</f>
        <v>145000</v>
      </c>
      <c r="Z6" s="600"/>
      <c r="AA6" s="300">
        <f>AS63</f>
        <v>0</v>
      </c>
      <c r="AB6" s="300">
        <f>AS66</f>
        <v>145500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1111</v>
      </c>
      <c r="C8" s="230" t="s">
        <v>70</v>
      </c>
      <c r="D8" s="231" t="s">
        <v>213</v>
      </c>
      <c r="E8" s="215"/>
      <c r="F8" s="231" t="s">
        <v>158</v>
      </c>
      <c r="G8" s="232" t="s">
        <v>163</v>
      </c>
      <c r="H8" s="215" t="s">
        <v>164</v>
      </c>
      <c r="I8" s="215" t="s">
        <v>165</v>
      </c>
      <c r="J8" s="215" t="s">
        <v>189</v>
      </c>
      <c r="K8" s="215"/>
      <c r="L8" s="234"/>
      <c r="M8" s="234"/>
      <c r="N8" s="234"/>
      <c r="O8" s="218">
        <v>79200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458">
        <v>2</v>
      </c>
      <c r="B9" s="319">
        <v>1107</v>
      </c>
      <c r="C9" s="230" t="s">
        <v>52</v>
      </c>
      <c r="D9" s="231" t="s">
        <v>214</v>
      </c>
      <c r="E9" s="215" t="s">
        <v>516</v>
      </c>
      <c r="F9" s="231" t="s">
        <v>167</v>
      </c>
      <c r="G9" s="232" t="s">
        <v>163</v>
      </c>
      <c r="H9" s="215" t="s">
        <v>164</v>
      </c>
      <c r="I9" s="215" t="s">
        <v>165</v>
      </c>
      <c r="J9" s="215" t="s">
        <v>193</v>
      </c>
      <c r="K9" s="215"/>
      <c r="L9" s="234"/>
      <c r="M9" s="234"/>
      <c r="N9" s="234"/>
      <c r="O9" s="218">
        <v>80000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458">
        <v>3</v>
      </c>
      <c r="B10" s="319">
        <v>1110</v>
      </c>
      <c r="C10" s="230" t="s">
        <v>74</v>
      </c>
      <c r="D10" s="231" t="s">
        <v>215</v>
      </c>
      <c r="E10" s="215"/>
      <c r="F10" s="231" t="s">
        <v>161</v>
      </c>
      <c r="G10" s="232" t="s">
        <v>163</v>
      </c>
      <c r="H10" s="215" t="s">
        <v>164</v>
      </c>
      <c r="I10" s="215" t="s">
        <v>165</v>
      </c>
      <c r="J10" s="233" t="s">
        <v>190</v>
      </c>
      <c r="K10" s="215"/>
      <c r="L10" s="234"/>
      <c r="M10" s="234"/>
      <c r="N10" s="234"/>
      <c r="O10" s="218">
        <v>95000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2</v>
      </c>
      <c r="AQ10" s="627"/>
      <c r="AR10" s="626">
        <f>SUM(M8:M67)</f>
        <v>140000</v>
      </c>
      <c r="AS10" s="627"/>
      <c r="AT10" s="625">
        <f>COUNTA($O$8:$O$67)</f>
        <v>27</v>
      </c>
      <c r="AU10" s="625"/>
      <c r="AV10" s="625">
        <f>SUM(O8:O67)</f>
        <v>1570500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29</v>
      </c>
      <c r="BC10" s="799"/>
      <c r="BD10" s="800">
        <f>SUM(AN10+AR10+AV10+AZ10)</f>
        <v>1710500</v>
      </c>
      <c r="BE10" s="801"/>
    </row>
    <row r="11" spans="1:58" ht="64.5" customHeight="1" x14ac:dyDescent="0.3">
      <c r="A11" s="458">
        <v>4</v>
      </c>
      <c r="B11" s="319">
        <v>1105</v>
      </c>
      <c r="C11" s="230" t="s">
        <v>241</v>
      </c>
      <c r="D11" s="231" t="s">
        <v>242</v>
      </c>
      <c r="E11" s="215" t="s">
        <v>516</v>
      </c>
      <c r="F11" s="231" t="s">
        <v>167</v>
      </c>
      <c r="G11" s="232" t="s">
        <v>243</v>
      </c>
      <c r="H11" s="215" t="s">
        <v>164</v>
      </c>
      <c r="I11" s="215" t="s">
        <v>165</v>
      </c>
      <c r="J11" s="215" t="s">
        <v>189</v>
      </c>
      <c r="K11" s="215"/>
      <c r="L11" s="234"/>
      <c r="M11" s="234"/>
      <c r="N11" s="234"/>
      <c r="O11" s="218">
        <v>65000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458">
        <v>5</v>
      </c>
      <c r="B12" s="376">
        <v>1210</v>
      </c>
      <c r="C12" s="230" t="s">
        <v>292</v>
      </c>
      <c r="D12" s="251" t="s">
        <v>307</v>
      </c>
      <c r="E12" s="215"/>
      <c r="F12" s="231" t="s">
        <v>294</v>
      </c>
      <c r="G12" s="232" t="s">
        <v>308</v>
      </c>
      <c r="H12" s="215" t="s">
        <v>164</v>
      </c>
      <c r="I12" s="215" t="s">
        <v>165</v>
      </c>
      <c r="J12" s="233" t="s">
        <v>304</v>
      </c>
      <c r="K12" s="215"/>
      <c r="L12" s="234"/>
      <c r="M12" s="234"/>
      <c r="N12" s="234"/>
      <c r="O12" s="218">
        <v>240000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1</v>
      </c>
      <c r="AQ12" s="785"/>
      <c r="AR12" s="784">
        <f>SUM(M68:M76)</f>
        <v>20000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1</v>
      </c>
      <c r="BC12" s="785"/>
      <c r="BD12" s="780">
        <f>SUM(AN12+AR12+AV12+AZ12)</f>
        <v>20000</v>
      </c>
      <c r="BE12" s="781"/>
    </row>
    <row r="13" spans="1:58" ht="64.5" customHeight="1" x14ac:dyDescent="0.3">
      <c r="A13" s="458">
        <v>6</v>
      </c>
      <c r="B13" s="319">
        <v>409</v>
      </c>
      <c r="C13" s="230" t="s">
        <v>300</v>
      </c>
      <c r="D13" s="251" t="s">
        <v>383</v>
      </c>
      <c r="E13" s="215" t="s">
        <v>516</v>
      </c>
      <c r="F13" s="231" t="s">
        <v>167</v>
      </c>
      <c r="G13" s="232" t="s">
        <v>283</v>
      </c>
      <c r="H13" s="215" t="s">
        <v>164</v>
      </c>
      <c r="I13" s="215" t="s">
        <v>165</v>
      </c>
      <c r="J13" s="215" t="s">
        <v>189</v>
      </c>
      <c r="K13" s="215"/>
      <c r="L13" s="234"/>
      <c r="M13" s="234"/>
      <c r="N13" s="234"/>
      <c r="O13" s="218">
        <v>66300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458">
        <v>7</v>
      </c>
      <c r="B14" s="319">
        <v>1115</v>
      </c>
      <c r="C14" s="230" t="s">
        <v>281</v>
      </c>
      <c r="D14" s="251" t="s">
        <v>397</v>
      </c>
      <c r="E14" s="217" t="s">
        <v>296</v>
      </c>
      <c r="F14" s="231" t="s">
        <v>504</v>
      </c>
      <c r="G14" s="232" t="s">
        <v>283</v>
      </c>
      <c r="H14" s="215" t="s">
        <v>164</v>
      </c>
      <c r="I14" s="215" t="s">
        <v>165</v>
      </c>
      <c r="J14" s="215" t="s">
        <v>189</v>
      </c>
      <c r="K14" s="215"/>
      <c r="L14" s="234"/>
      <c r="M14" s="234"/>
      <c r="N14" s="234"/>
      <c r="O14" s="218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2</v>
      </c>
      <c r="AQ14" s="653"/>
      <c r="AR14" s="653">
        <f>SUM(AR10:AS13)</f>
        <v>160000</v>
      </c>
      <c r="AS14" s="653"/>
      <c r="AT14" s="653">
        <f t="shared" ref="AT14" si="1">SUM(AT10:AU11)</f>
        <v>27</v>
      </c>
      <c r="AU14" s="653"/>
      <c r="AV14" s="653">
        <f>SUM(AV10:AW13)</f>
        <v>1570500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29</v>
      </c>
      <c r="BC14" s="655"/>
      <c r="BD14" s="782">
        <f>SUM(BD10:BE13)</f>
        <v>1730500</v>
      </c>
      <c r="BE14" s="783"/>
    </row>
    <row r="15" spans="1:58" ht="64.5" customHeight="1" thickBot="1" x14ac:dyDescent="0.35">
      <c r="A15" s="458">
        <v>8</v>
      </c>
      <c r="B15" s="319">
        <v>506</v>
      </c>
      <c r="C15" s="230" t="s">
        <v>74</v>
      </c>
      <c r="D15" s="251" t="s">
        <v>410</v>
      </c>
      <c r="E15" s="215"/>
      <c r="F15" s="231" t="s">
        <v>289</v>
      </c>
      <c r="G15" s="232" t="s">
        <v>290</v>
      </c>
      <c r="H15" s="215" t="s">
        <v>164</v>
      </c>
      <c r="I15" s="215" t="s">
        <v>165</v>
      </c>
      <c r="J15" s="237" t="s">
        <v>299</v>
      </c>
      <c r="K15" s="238"/>
      <c r="L15" s="234"/>
      <c r="M15" s="234"/>
      <c r="N15" s="234"/>
      <c r="O15" s="218">
        <v>130000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3</v>
      </c>
      <c r="AQ15" s="633"/>
      <c r="AR15" s="632">
        <f>AR24</f>
        <v>6000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3</v>
      </c>
      <c r="BC15" s="633"/>
      <c r="BD15" s="776">
        <f>SUM(AN15+AR15+AV15+AZ15)</f>
        <v>6000</v>
      </c>
      <c r="BE15" s="777"/>
    </row>
    <row r="16" spans="1:58" ht="64.5" customHeight="1" thickBot="1" x14ac:dyDescent="0.35">
      <c r="A16" s="458">
        <v>9</v>
      </c>
      <c r="B16" s="319">
        <v>1004</v>
      </c>
      <c r="C16" s="454" t="s">
        <v>546</v>
      </c>
      <c r="D16" s="251" t="s">
        <v>547</v>
      </c>
      <c r="E16" s="217" t="s">
        <v>548</v>
      </c>
      <c r="F16" s="251" t="s">
        <v>501</v>
      </c>
      <c r="G16" s="331" t="s">
        <v>490</v>
      </c>
      <c r="H16" s="217" t="s">
        <v>164</v>
      </c>
      <c r="I16" s="217" t="s">
        <v>165</v>
      </c>
      <c r="J16" s="217" t="s">
        <v>487</v>
      </c>
      <c r="K16" s="217"/>
      <c r="L16" s="217"/>
      <c r="M16" s="254">
        <v>65000</v>
      </c>
      <c r="N16" s="254"/>
      <c r="O16" s="224">
        <v>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1736500</v>
      </c>
      <c r="BE16" s="652"/>
      <c r="BF16" s="10"/>
    </row>
    <row r="17" spans="1:62" ht="64.5" customHeight="1" thickBot="1" x14ac:dyDescent="0.35">
      <c r="A17" s="458">
        <v>10</v>
      </c>
      <c r="B17" s="319">
        <v>1116</v>
      </c>
      <c r="C17" s="230" t="s">
        <v>514</v>
      </c>
      <c r="D17" s="251" t="s">
        <v>557</v>
      </c>
      <c r="E17" s="215" t="s">
        <v>166</v>
      </c>
      <c r="F17" s="231" t="s">
        <v>504</v>
      </c>
      <c r="G17" s="232" t="s">
        <v>490</v>
      </c>
      <c r="H17" s="217" t="s">
        <v>164</v>
      </c>
      <c r="I17" s="217" t="s">
        <v>165</v>
      </c>
      <c r="J17" s="316" t="s">
        <v>487</v>
      </c>
      <c r="K17" s="238"/>
      <c r="L17" s="234"/>
      <c r="M17" s="234"/>
      <c r="N17" s="234"/>
      <c r="O17" s="224">
        <v>60000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458">
        <v>11</v>
      </c>
      <c r="B18" s="319">
        <v>1215</v>
      </c>
      <c r="C18" s="230" t="s">
        <v>514</v>
      </c>
      <c r="D18" s="251" t="s">
        <v>558</v>
      </c>
      <c r="E18" s="215" t="s">
        <v>166</v>
      </c>
      <c r="F18" s="231" t="s">
        <v>504</v>
      </c>
      <c r="G18" s="232" t="s">
        <v>490</v>
      </c>
      <c r="H18" s="217" t="s">
        <v>164</v>
      </c>
      <c r="I18" s="217" t="s">
        <v>165</v>
      </c>
      <c r="J18" s="233" t="s">
        <v>487</v>
      </c>
      <c r="K18" s="215" t="s">
        <v>535</v>
      </c>
      <c r="L18" s="234"/>
      <c r="M18" s="234"/>
      <c r="N18" s="234"/>
      <c r="O18" s="218">
        <v>60000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458">
        <v>12</v>
      </c>
      <c r="B19" s="319">
        <v>1216</v>
      </c>
      <c r="C19" s="230" t="s">
        <v>514</v>
      </c>
      <c r="D19" s="251" t="s">
        <v>569</v>
      </c>
      <c r="E19" s="215" t="s">
        <v>166</v>
      </c>
      <c r="F19" s="231" t="s">
        <v>504</v>
      </c>
      <c r="G19" s="232" t="s">
        <v>490</v>
      </c>
      <c r="H19" s="217" t="s">
        <v>164</v>
      </c>
      <c r="I19" s="217" t="s">
        <v>165</v>
      </c>
      <c r="J19" s="233" t="s">
        <v>530</v>
      </c>
      <c r="K19" s="215"/>
      <c r="L19" s="234"/>
      <c r="M19" s="234"/>
      <c r="N19" s="234"/>
      <c r="O19" s="218">
        <v>60000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458">
        <v>13</v>
      </c>
      <c r="B20" s="319">
        <v>1206</v>
      </c>
      <c r="C20" s="230" t="s">
        <v>491</v>
      </c>
      <c r="D20" s="251" t="s">
        <v>571</v>
      </c>
      <c r="E20" s="215" t="s">
        <v>516</v>
      </c>
      <c r="F20" s="251" t="s">
        <v>533</v>
      </c>
      <c r="G20" s="331" t="s">
        <v>490</v>
      </c>
      <c r="H20" s="217" t="s">
        <v>164</v>
      </c>
      <c r="I20" s="217" t="s">
        <v>165</v>
      </c>
      <c r="J20" s="233" t="s">
        <v>530</v>
      </c>
      <c r="K20" s="215"/>
      <c r="L20" s="234"/>
      <c r="M20" s="234"/>
      <c r="N20" s="234"/>
      <c r="O20" s="218">
        <v>65000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3</v>
      </c>
      <c r="AQ20" s="655"/>
      <c r="AR20" s="654">
        <f>AP20*2000</f>
        <v>6000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3</v>
      </c>
      <c r="AY20" s="647"/>
      <c r="AZ20" s="648">
        <f>SUM(AJ20+AN20+AR20+AV20)</f>
        <v>6000</v>
      </c>
      <c r="BA20" s="649"/>
      <c r="BB20" s="10"/>
      <c r="BC20" s="10"/>
      <c r="BD20" s="10"/>
      <c r="BE20" s="10"/>
    </row>
    <row r="21" spans="1:62" ht="64.5" customHeight="1" x14ac:dyDescent="0.3">
      <c r="A21" s="458">
        <v>14</v>
      </c>
      <c r="B21" s="319">
        <v>615</v>
      </c>
      <c r="C21" s="230" t="s">
        <v>73</v>
      </c>
      <c r="D21" s="251" t="s">
        <v>580</v>
      </c>
      <c r="E21" s="215" t="s">
        <v>166</v>
      </c>
      <c r="F21" s="231" t="s">
        <v>504</v>
      </c>
      <c r="G21" s="331" t="s">
        <v>490</v>
      </c>
      <c r="H21" s="217" t="s">
        <v>164</v>
      </c>
      <c r="I21" s="217" t="s">
        <v>165</v>
      </c>
      <c r="J21" s="233" t="s">
        <v>487</v>
      </c>
      <c r="K21" s="215"/>
      <c r="L21" s="234"/>
      <c r="M21" s="234"/>
      <c r="N21" s="234"/>
      <c r="O21" s="218">
        <v>60000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458">
        <v>15</v>
      </c>
      <c r="B22" s="319">
        <v>715</v>
      </c>
      <c r="C22" s="230" t="s">
        <v>491</v>
      </c>
      <c r="D22" s="251" t="s">
        <v>581</v>
      </c>
      <c r="E22" s="215" t="s">
        <v>166</v>
      </c>
      <c r="F22" s="231" t="s">
        <v>504</v>
      </c>
      <c r="G22" s="232" t="s">
        <v>490</v>
      </c>
      <c r="H22" s="217" t="s">
        <v>164</v>
      </c>
      <c r="I22" s="217" t="s">
        <v>165</v>
      </c>
      <c r="J22" s="233" t="s">
        <v>487</v>
      </c>
      <c r="K22" s="215"/>
      <c r="L22" s="234"/>
      <c r="M22" s="234"/>
      <c r="N22" s="234"/>
      <c r="O22" s="218">
        <v>60000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458">
        <v>16</v>
      </c>
      <c r="B23" s="319">
        <v>713</v>
      </c>
      <c r="C23" s="230" t="s">
        <v>491</v>
      </c>
      <c r="D23" s="360" t="s">
        <v>543</v>
      </c>
      <c r="E23" s="305" t="s">
        <v>166</v>
      </c>
      <c r="F23" s="304" t="s">
        <v>526</v>
      </c>
      <c r="G23" s="232" t="s">
        <v>490</v>
      </c>
      <c r="H23" s="217" t="s">
        <v>164</v>
      </c>
      <c r="I23" s="217" t="s">
        <v>165</v>
      </c>
      <c r="J23" s="215" t="s">
        <v>487</v>
      </c>
      <c r="K23" s="215"/>
      <c r="L23" s="234"/>
      <c r="M23" s="234"/>
      <c r="N23" s="234"/>
      <c r="O23" s="218">
        <v>60000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458">
        <v>17</v>
      </c>
      <c r="B24" s="319">
        <v>1011</v>
      </c>
      <c r="C24" s="230" t="s">
        <v>577</v>
      </c>
      <c r="D24" s="231" t="s">
        <v>590</v>
      </c>
      <c r="E24" s="215" t="s">
        <v>591</v>
      </c>
      <c r="F24" s="231" t="s">
        <v>518</v>
      </c>
      <c r="G24" s="232" t="s">
        <v>490</v>
      </c>
      <c r="H24" s="215" t="s">
        <v>164</v>
      </c>
      <c r="I24" s="215" t="s">
        <v>165</v>
      </c>
      <c r="J24" s="215" t="s">
        <v>487</v>
      </c>
      <c r="K24" s="233"/>
      <c r="L24" s="234"/>
      <c r="M24" s="234"/>
      <c r="N24" s="234"/>
      <c r="O24" s="218">
        <v>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3</v>
      </c>
      <c r="AQ24" s="655"/>
      <c r="AR24" s="654">
        <f>SUM(AR20:AS23)</f>
        <v>6000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3</v>
      </c>
      <c r="AY24" s="647"/>
      <c r="AZ24" s="648">
        <f>SUM(AZ20:BA23)</f>
        <v>6000</v>
      </c>
      <c r="BA24" s="649"/>
      <c r="BB24" s="10"/>
      <c r="BC24" s="10"/>
      <c r="BD24" s="10"/>
      <c r="BE24" s="10"/>
    </row>
    <row r="25" spans="1:62" ht="64.5" customHeight="1" thickBot="1" x14ac:dyDescent="0.35">
      <c r="A25" s="458">
        <v>18</v>
      </c>
      <c r="B25" s="319">
        <v>1114</v>
      </c>
      <c r="C25" s="230" t="s">
        <v>491</v>
      </c>
      <c r="D25" s="231" t="s">
        <v>596</v>
      </c>
      <c r="E25" s="215" t="s">
        <v>545</v>
      </c>
      <c r="F25" s="231" t="s">
        <v>504</v>
      </c>
      <c r="G25" s="232" t="s">
        <v>490</v>
      </c>
      <c r="H25" s="215" t="s">
        <v>164</v>
      </c>
      <c r="I25" s="215" t="s">
        <v>165</v>
      </c>
      <c r="J25" s="215" t="s">
        <v>487</v>
      </c>
      <c r="K25" s="215" t="s">
        <v>535</v>
      </c>
      <c r="L25" s="234"/>
      <c r="M25" s="234"/>
      <c r="N25" s="234"/>
      <c r="O25" s="218">
        <v>65000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458">
        <v>19</v>
      </c>
      <c r="B26" s="319">
        <v>1214</v>
      </c>
      <c r="C26" s="230" t="s">
        <v>491</v>
      </c>
      <c r="D26" s="231" t="s">
        <v>597</v>
      </c>
      <c r="E26" s="215" t="s">
        <v>166</v>
      </c>
      <c r="F26" s="231" t="s">
        <v>504</v>
      </c>
      <c r="G26" s="232" t="s">
        <v>490</v>
      </c>
      <c r="H26" s="215" t="s">
        <v>164</v>
      </c>
      <c r="I26" s="215" t="s">
        <v>165</v>
      </c>
      <c r="J26" s="237" t="s">
        <v>487</v>
      </c>
      <c r="K26" s="238"/>
      <c r="L26" s="234"/>
      <c r="M26" s="234"/>
      <c r="N26" s="234"/>
      <c r="O26" s="218">
        <v>60000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458">
        <v>20</v>
      </c>
      <c r="B27" s="319">
        <v>906</v>
      </c>
      <c r="C27" s="230" t="s">
        <v>73</v>
      </c>
      <c r="D27" s="231" t="s">
        <v>601</v>
      </c>
      <c r="E27" s="215" t="s">
        <v>545</v>
      </c>
      <c r="F27" s="231" t="s">
        <v>526</v>
      </c>
      <c r="G27" s="232" t="s">
        <v>490</v>
      </c>
      <c r="H27" s="215" t="s">
        <v>164</v>
      </c>
      <c r="I27" s="215" t="s">
        <v>165</v>
      </c>
      <c r="J27" s="215" t="s">
        <v>579</v>
      </c>
      <c r="K27" s="215" t="s">
        <v>535</v>
      </c>
      <c r="L27" s="234"/>
      <c r="M27" s="234"/>
      <c r="N27" s="234"/>
      <c r="O27" s="218">
        <v>65000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458">
        <v>21</v>
      </c>
      <c r="B28" s="319">
        <v>401</v>
      </c>
      <c r="C28" s="230" t="s">
        <v>491</v>
      </c>
      <c r="D28" s="231" t="s">
        <v>604</v>
      </c>
      <c r="E28" s="215" t="s">
        <v>166</v>
      </c>
      <c r="F28" s="231" t="s">
        <v>489</v>
      </c>
      <c r="G28" s="232" t="s">
        <v>490</v>
      </c>
      <c r="H28" s="215" t="s">
        <v>164</v>
      </c>
      <c r="I28" s="215" t="s">
        <v>165</v>
      </c>
      <c r="J28" s="215" t="s">
        <v>530</v>
      </c>
      <c r="K28" s="215"/>
      <c r="L28" s="234"/>
      <c r="M28" s="234"/>
      <c r="N28" s="234"/>
      <c r="O28" s="220">
        <v>60000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458">
        <v>22</v>
      </c>
      <c r="B29" s="319">
        <v>501</v>
      </c>
      <c r="C29" s="230" t="s">
        <v>514</v>
      </c>
      <c r="D29" s="231" t="s">
        <v>605</v>
      </c>
      <c r="E29" s="215"/>
      <c r="F29" s="231" t="s">
        <v>489</v>
      </c>
      <c r="G29" s="232" t="s">
        <v>490</v>
      </c>
      <c r="H29" s="215" t="s">
        <v>164</v>
      </c>
      <c r="I29" s="215" t="s">
        <v>165</v>
      </c>
      <c r="J29" s="215" t="s">
        <v>530</v>
      </c>
      <c r="K29" s="215"/>
      <c r="L29" s="234"/>
      <c r="M29" s="234"/>
      <c r="N29" s="234"/>
      <c r="O29" s="218">
        <v>80000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6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>
        <v>702</v>
      </c>
      <c r="C30" s="454" t="s">
        <v>612</v>
      </c>
      <c r="D30" s="231" t="s">
        <v>611</v>
      </c>
      <c r="E30" s="217" t="s">
        <v>548</v>
      </c>
      <c r="F30" s="231" t="s">
        <v>526</v>
      </c>
      <c r="G30" s="232" t="s">
        <v>490</v>
      </c>
      <c r="H30" s="215" t="s">
        <v>164</v>
      </c>
      <c r="I30" s="215" t="s">
        <v>165</v>
      </c>
      <c r="J30" s="215" t="s">
        <v>530</v>
      </c>
      <c r="K30" s="215"/>
      <c r="L30" s="234"/>
      <c r="M30" s="254">
        <v>75000</v>
      </c>
      <c r="N30" s="234"/>
      <c r="O30" s="218">
        <v>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2</v>
      </c>
      <c r="AO30" s="829"/>
      <c r="AP30" s="830">
        <f>COUNTIF(F8:F67,"at")</f>
        <v>9</v>
      </c>
      <c r="AQ30" s="830"/>
      <c r="AR30" s="323">
        <f>COUNTIF(F8:F67,"aD")</f>
        <v>1</v>
      </c>
      <c r="AS30" s="830">
        <f>COUNTIF(F8:F67,"sd")</f>
        <v>3</v>
      </c>
      <c r="AT30" s="830"/>
      <c r="AU30" s="830">
        <f>COUNTIF(F8:F67,"st")</f>
        <v>3</v>
      </c>
      <c r="AV30" s="830"/>
      <c r="AW30" s="324">
        <f>COUNTIF(F8:F67,"v")</f>
        <v>4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5"/>
      <c r="F31" s="231"/>
      <c r="G31" s="232"/>
      <c r="H31" s="215"/>
      <c r="I31" s="215"/>
      <c r="J31" s="215"/>
      <c r="K31" s="215"/>
      <c r="L31" s="234"/>
      <c r="M31" s="234"/>
      <c r="N31" s="215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1</v>
      </c>
      <c r="AM31" s="815"/>
      <c r="AN31" s="816">
        <f>AN29-AN30</f>
        <v>2</v>
      </c>
      <c r="AO31" s="816"/>
      <c r="AP31" s="817">
        <f>AP29-AP30</f>
        <v>1</v>
      </c>
      <c r="AQ31" s="817"/>
      <c r="AR31" s="322">
        <f>AR29-AR30</f>
        <v>1</v>
      </c>
      <c r="AS31" s="817">
        <f>AS29-AS30</f>
        <v>8</v>
      </c>
      <c r="AT31" s="817"/>
      <c r="AU31" s="817">
        <f>AU29-AU30</f>
        <v>2</v>
      </c>
      <c r="AV31" s="817"/>
      <c r="AW31" s="322">
        <f>AW29-AW30</f>
        <v>1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232"/>
      <c r="H32" s="215"/>
      <c r="I32" s="215"/>
      <c r="J32" s="215"/>
      <c r="K32" s="215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232"/>
      <c r="H33" s="215"/>
      <c r="I33" s="215"/>
      <c r="J33" s="215"/>
      <c r="K33" s="238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/>
      <c r="C34" s="230"/>
      <c r="D34" s="231"/>
      <c r="E34" s="215"/>
      <c r="F34" s="231"/>
      <c r="G34" s="232"/>
      <c r="H34" s="215"/>
      <c r="I34" s="215"/>
      <c r="J34" s="215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33"/>
      <c r="K35" s="215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15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33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33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33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232"/>
      <c r="H43" s="215"/>
      <c r="I43" s="215"/>
      <c r="J43" s="215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319">
        <v>309</v>
      </c>
      <c r="C44" s="230" t="s">
        <v>514</v>
      </c>
      <c r="D44" s="231" t="s">
        <v>556</v>
      </c>
      <c r="E44" s="215" t="s">
        <v>166</v>
      </c>
      <c r="F44" s="304" t="s">
        <v>55</v>
      </c>
      <c r="G44" s="232" t="s">
        <v>511</v>
      </c>
      <c r="H44" s="215" t="s">
        <v>164</v>
      </c>
      <c r="I44" s="217" t="s">
        <v>165</v>
      </c>
      <c r="J44" s="215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305</v>
      </c>
      <c r="C45" s="446" t="s">
        <v>424</v>
      </c>
      <c r="D45" s="304" t="s">
        <v>426</v>
      </c>
      <c r="E45" s="305" t="s">
        <v>425</v>
      </c>
      <c r="F45" s="304" t="s">
        <v>289</v>
      </c>
      <c r="G45" s="381" t="s">
        <v>199</v>
      </c>
      <c r="H45" s="215" t="s">
        <v>164</v>
      </c>
      <c r="I45" s="215" t="s">
        <v>165</v>
      </c>
      <c r="J45" s="233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1112</v>
      </c>
      <c r="C46" s="255" t="s">
        <v>298</v>
      </c>
      <c r="D46" s="265" t="s">
        <v>384</v>
      </c>
      <c r="E46" s="266"/>
      <c r="F46" s="265" t="s">
        <v>159</v>
      </c>
      <c r="G46" s="267" t="s">
        <v>309</v>
      </c>
      <c r="H46" s="266" t="s">
        <v>285</v>
      </c>
      <c r="I46" s="266" t="s">
        <v>286</v>
      </c>
      <c r="J46" s="266" t="s">
        <v>287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273">
        <v>308</v>
      </c>
      <c r="C47" s="285" t="s">
        <v>281</v>
      </c>
      <c r="D47" s="275" t="s">
        <v>366</v>
      </c>
      <c r="E47" s="276" t="s">
        <v>296</v>
      </c>
      <c r="F47" s="275" t="s">
        <v>501</v>
      </c>
      <c r="G47" s="277" t="s">
        <v>369</v>
      </c>
      <c r="H47" s="443" t="s">
        <v>285</v>
      </c>
      <c r="I47" s="443" t="s">
        <v>286</v>
      </c>
      <c r="J47" s="276" t="s">
        <v>287</v>
      </c>
      <c r="K47" s="276"/>
      <c r="L47" s="279"/>
      <c r="M47" s="279"/>
      <c r="N47" s="279"/>
      <c r="O47" s="280">
        <v>0</v>
      </c>
      <c r="P47" s="281">
        <v>40</v>
      </c>
      <c r="Q47" s="273"/>
      <c r="R47" s="274"/>
      <c r="S47" s="275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/>
      <c r="C48" s="266"/>
      <c r="D48" s="265"/>
      <c r="E48" s="266"/>
      <c r="F48" s="265"/>
      <c r="G48" s="267"/>
      <c r="H48" s="266"/>
      <c r="I48" s="266"/>
      <c r="J48" s="441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1</v>
      </c>
      <c r="AQ53" s="742">
        <f>SUMIF($C$8:$C$72, "워크인", $L$8:$L$72)+SUMIF($C$8:$C$72, "워크인", $M$8:$M$72)+SUMIF($C$8:$C$72, "워크인", $N$8:$N$72)+SUMIF($C$8:$C$72, "워크인", $O$8:$O$72)</f>
        <v>75000</v>
      </c>
      <c r="AR53" s="743"/>
      <c r="AS53" s="744">
        <f>SUM(AN53+AQ53)</f>
        <v>75000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3</v>
      </c>
      <c r="BB54" s="681"/>
      <c r="BC54" s="679">
        <f>AZ24</f>
        <v>6000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3</v>
      </c>
      <c r="BB55" s="681"/>
      <c r="BC55" s="679">
        <f>SUM(BC53:BE54)</f>
        <v>6000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1</v>
      </c>
      <c r="AQ58" s="714">
        <f>SUM(AQ53:AR57)</f>
        <v>75000</v>
      </c>
      <c r="AR58" s="714"/>
      <c r="AS58" s="715">
        <f>SUM(AS53:AT57)</f>
        <v>75000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8</v>
      </c>
      <c r="AQ60" s="56">
        <f>SUMIF($C$8:$C$72, $AK60, $L$8:$L$72)+SUMIF($C$8:$C$72, $AK60, $M$8:$M$72)+SUMIF($C$8:$C$72, $AK60, $N$8:$N$72)+SUMIF($C$8:$C$72, $AK60, $O$8:$O$72)</f>
        <v>725000</v>
      </c>
      <c r="AR60" s="57">
        <f>AQ60*0.9</f>
        <v>652500</v>
      </c>
      <c r="AS60" s="58">
        <f t="shared" ref="AS60:AS70" si="4">SUM(AN60+AQ60)</f>
        <v>725000</v>
      </c>
      <c r="AT60" s="59">
        <f t="shared" ref="AT60:AT70" si="5">AO60+AR60</f>
        <v>652500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10</v>
      </c>
      <c r="AQ61" s="56">
        <f t="shared" ref="AQ61:AQ70" si="8">SUMIF($C$8:$C$72, $AK61, $L$8:$L$72)+SUMIF($C$8:$C$72, $AK61, $M$8:$M$72)+SUMIF($C$8:$C$72, $AK61, $N$8:$N$72)+SUMIF($C$8:$C$72, $AK61, $O$8:$O$72)</f>
        <v>555000</v>
      </c>
      <c r="AR61" s="57">
        <f t="shared" ref="AR61:AR70" si="9">AQ61*0.9</f>
        <v>499500</v>
      </c>
      <c r="AS61" s="58">
        <f t="shared" si="4"/>
        <v>555000</v>
      </c>
      <c r="AT61" s="59">
        <f t="shared" si="5"/>
        <v>499500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2</v>
      </c>
      <c r="AQ62" s="56">
        <f t="shared" si="8"/>
        <v>145000</v>
      </c>
      <c r="AR62" s="57">
        <f t="shared" si="9"/>
        <v>130500</v>
      </c>
      <c r="AS62" s="58">
        <f t="shared" si="4"/>
        <v>145000</v>
      </c>
      <c r="AT62" s="59">
        <f t="shared" si="5"/>
        <v>130500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2</v>
      </c>
      <c r="AQ66" s="56">
        <f t="shared" si="8"/>
        <v>145500</v>
      </c>
      <c r="AR66" s="57">
        <f t="shared" si="9"/>
        <v>130950</v>
      </c>
      <c r="AS66" s="58">
        <f t="shared" si="4"/>
        <v>145500</v>
      </c>
      <c r="AT66" s="59">
        <f t="shared" si="5"/>
        <v>130950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1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50" t="s">
        <v>614</v>
      </c>
      <c r="D68" s="230" t="s">
        <v>608</v>
      </c>
      <c r="E68" s="251" t="s">
        <v>493</v>
      </c>
      <c r="F68" s="215"/>
      <c r="G68" s="231"/>
      <c r="H68" s="232"/>
      <c r="I68" s="215" t="s">
        <v>457</v>
      </c>
      <c r="J68" s="215"/>
      <c r="K68" s="233"/>
      <c r="L68" s="252"/>
      <c r="M68" s="252">
        <v>20000</v>
      </c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1645500</v>
      </c>
      <c r="BD68" s="656"/>
      <c r="BE68" s="655"/>
    </row>
    <row r="69" spans="1:57" ht="64.5" customHeight="1" x14ac:dyDescent="0.3">
      <c r="A69" s="659"/>
      <c r="B69" s="660"/>
      <c r="C69" s="250"/>
      <c r="D69" s="230"/>
      <c r="E69" s="251"/>
      <c r="F69" s="217"/>
      <c r="G69" s="231"/>
      <c r="H69" s="232"/>
      <c r="I69" s="215"/>
      <c r="J69" s="215"/>
      <c r="K69" s="215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393"/>
      <c r="D70" s="230"/>
      <c r="E70" s="231"/>
      <c r="F70" s="215"/>
      <c r="G70" s="231"/>
      <c r="H70" s="232"/>
      <c r="I70" s="215"/>
      <c r="J70" s="215"/>
      <c r="K70" s="233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6000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1736500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24</v>
      </c>
      <c r="AQ73" s="22">
        <f t="shared" si="10"/>
        <v>1570500</v>
      </c>
      <c r="AR73" s="23">
        <f t="shared" si="10"/>
        <v>1413450</v>
      </c>
      <c r="AS73" s="24">
        <f t="shared" si="10"/>
        <v>1570500</v>
      </c>
      <c r="AT73" s="25">
        <f t="shared" si="10"/>
        <v>1413450</v>
      </c>
      <c r="AU73" s="692" t="s">
        <v>58</v>
      </c>
      <c r="AV73" s="693"/>
      <c r="AW73" s="693"/>
      <c r="AX73" s="693"/>
      <c r="AY73" s="694"/>
      <c r="AZ73" s="695">
        <f>AS58+AT73</f>
        <v>1488450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8000000}"/>
  <mergeCells count="307">
    <mergeCell ref="AZ67:BB67"/>
    <mergeCell ref="BC67:BE67"/>
    <mergeCell ref="AK68:AL68"/>
    <mergeCell ref="AU68:AY68"/>
    <mergeCell ref="AZ68:BB68"/>
    <mergeCell ref="BC68:BE68"/>
    <mergeCell ref="AK69:AL69"/>
    <mergeCell ref="AI74:AJ74"/>
    <mergeCell ref="AK70:AL70"/>
    <mergeCell ref="AK71:AL71"/>
    <mergeCell ref="AU71:AY71"/>
    <mergeCell ref="AZ71:BE71"/>
    <mergeCell ref="AK72:AL72"/>
    <mergeCell ref="AU72:AY72"/>
    <mergeCell ref="AZ72:BE72"/>
    <mergeCell ref="AI73:AJ73"/>
    <mergeCell ref="AU73:AY73"/>
    <mergeCell ref="AZ73:BE73"/>
    <mergeCell ref="AI59:AJ72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AU59:AV63"/>
    <mergeCell ref="AW59:BA59"/>
    <mergeCell ref="BB59:BE59"/>
    <mergeCell ref="AK60:AL60"/>
    <mergeCell ref="AW60:BA60"/>
    <mergeCell ref="BB60:BE60"/>
    <mergeCell ref="AK61:AL61"/>
    <mergeCell ref="AW61:BA61"/>
    <mergeCell ref="BB61:BE61"/>
    <mergeCell ref="AK62:AL62"/>
    <mergeCell ref="AW62:BA62"/>
    <mergeCell ref="BB62:BE62"/>
    <mergeCell ref="AK63:AL63"/>
    <mergeCell ref="BC55:BE55"/>
    <mergeCell ref="AI56:AJ57"/>
    <mergeCell ref="AK56:AL56"/>
    <mergeCell ref="AN56:AO56"/>
    <mergeCell ref="AS56:AT56"/>
    <mergeCell ref="AK57:AL57"/>
    <mergeCell ref="AN57:AO57"/>
    <mergeCell ref="AS57:AT57"/>
    <mergeCell ref="AI58:AL58"/>
    <mergeCell ref="AN58:AO58"/>
    <mergeCell ref="AS58:AT58"/>
    <mergeCell ref="BA55:BB55"/>
    <mergeCell ref="BC51:BE52"/>
    <mergeCell ref="AK52:AL52"/>
    <mergeCell ref="AN52:AO52"/>
    <mergeCell ref="AQ52:AR52"/>
    <mergeCell ref="AW52:AZ52"/>
    <mergeCell ref="BA52:BB52"/>
    <mergeCell ref="AI53:AJ55"/>
    <mergeCell ref="AK53:AL53"/>
    <mergeCell ref="AN53:AO53"/>
    <mergeCell ref="AS53:AT53"/>
    <mergeCell ref="AU53:AV55"/>
    <mergeCell ref="AW53:AZ53"/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AZ25:BA25"/>
    <mergeCell ref="AJ27:AO27"/>
    <mergeCell ref="AP28:AQ28"/>
    <mergeCell ref="AU28:AV28"/>
    <mergeCell ref="AZ28:BA28"/>
    <mergeCell ref="AP29:AQ29"/>
    <mergeCell ref="AU29:AV29"/>
    <mergeCell ref="AZ29:BA29"/>
    <mergeCell ref="AP30:AQ30"/>
    <mergeCell ref="AU30:AV30"/>
    <mergeCell ref="AZ30:BA30"/>
    <mergeCell ref="AJ30:AK30"/>
    <mergeCell ref="AL30:AM30"/>
    <mergeCell ref="AN25:AO25"/>
    <mergeCell ref="AN28:AO28"/>
    <mergeCell ref="AS28:AT28"/>
    <mergeCell ref="AN30:AO30"/>
    <mergeCell ref="AS30:AT30"/>
    <mergeCell ref="AX30:AY30"/>
    <mergeCell ref="AV25:AW25"/>
    <mergeCell ref="AJ28:AK28"/>
    <mergeCell ref="AL28:AM28"/>
    <mergeCell ref="AI25:AJ25"/>
    <mergeCell ref="AR25:AS25"/>
    <mergeCell ref="BD14:BE14"/>
    <mergeCell ref="AI15:AJ15"/>
    <mergeCell ref="AR15:AS15"/>
    <mergeCell ref="BD15:BE15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Z19:BA19"/>
    <mergeCell ref="AZ20:BA20"/>
    <mergeCell ref="AZ21:BA21"/>
    <mergeCell ref="AZ22:BA22"/>
    <mergeCell ref="AZ23:BA23"/>
    <mergeCell ref="AZ24:BA24"/>
    <mergeCell ref="BB16:BC16"/>
    <mergeCell ref="AX19:AY19"/>
    <mergeCell ref="AX20:AY20"/>
    <mergeCell ref="AN22:AO22"/>
    <mergeCell ref="AP22:AQ22"/>
    <mergeCell ref="AR22:AS22"/>
    <mergeCell ref="AT8:AW8"/>
    <mergeCell ref="AX8:BA8"/>
    <mergeCell ref="BB8:BE8"/>
    <mergeCell ref="AL9:AM9"/>
    <mergeCell ref="BD9:BE9"/>
    <mergeCell ref="BD10:BE10"/>
    <mergeCell ref="BD11:BE11"/>
    <mergeCell ref="BD12:BE12"/>
    <mergeCell ref="BD13:BE13"/>
    <mergeCell ref="BB9:BC9"/>
    <mergeCell ref="BB10:BC10"/>
    <mergeCell ref="AT12:AU12"/>
    <mergeCell ref="AV12:AW12"/>
    <mergeCell ref="AX10:AY10"/>
    <mergeCell ref="AZ10:BA10"/>
    <mergeCell ref="AT11:AU11"/>
    <mergeCell ref="AV11:AW11"/>
    <mergeCell ref="AX9:AY9"/>
    <mergeCell ref="AZ9:BA9"/>
    <mergeCell ref="AT10:AU10"/>
    <mergeCell ref="AV10:AW10"/>
    <mergeCell ref="AT9:AU9"/>
    <mergeCell ref="AV9:AW9"/>
    <mergeCell ref="BB11:BC11"/>
    <mergeCell ref="AP8:AS8"/>
    <mergeCell ref="AL11:AM11"/>
    <mergeCell ref="AN11:AO11"/>
    <mergeCell ref="AP11:AQ11"/>
    <mergeCell ref="AR11:AS11"/>
    <mergeCell ref="AL10:AM10"/>
    <mergeCell ref="AN10:AO10"/>
    <mergeCell ref="AP10:AQ10"/>
    <mergeCell ref="AR10:AS10"/>
    <mergeCell ref="AP9:AQ9"/>
    <mergeCell ref="AR9:AS9"/>
    <mergeCell ref="AX31:AY31"/>
    <mergeCell ref="AP31:AQ31"/>
    <mergeCell ref="AU31:AV31"/>
    <mergeCell ref="AZ31:BA31"/>
    <mergeCell ref="AW51:BB51"/>
    <mergeCell ref="AJ29:AK29"/>
    <mergeCell ref="AL29:AM29"/>
    <mergeCell ref="AA1:AG1"/>
    <mergeCell ref="AI1:BE1"/>
    <mergeCell ref="AB2:AG2"/>
    <mergeCell ref="AI2:AK2"/>
    <mergeCell ref="AL2:AO2"/>
    <mergeCell ref="AP2:AR2"/>
    <mergeCell ref="AS2:AY2"/>
    <mergeCell ref="BA2:BE2"/>
    <mergeCell ref="AB3:AG3"/>
    <mergeCell ref="AL4:AP4"/>
    <mergeCell ref="AL5:AP5"/>
    <mergeCell ref="AL6:AP6"/>
    <mergeCell ref="AL7:AM7"/>
    <mergeCell ref="AN7:AP7"/>
    <mergeCell ref="AI8:AJ14"/>
    <mergeCell ref="AK8:AK9"/>
    <mergeCell ref="AL8:AO8"/>
    <mergeCell ref="AT21:AU21"/>
    <mergeCell ref="AV21:AW21"/>
    <mergeCell ref="AL22:AM22"/>
    <mergeCell ref="AX28:AY28"/>
    <mergeCell ref="AN29:AO29"/>
    <mergeCell ref="AS29:AT29"/>
    <mergeCell ref="AX29:AY29"/>
    <mergeCell ref="AX21:AY21"/>
    <mergeCell ref="AX22:AY22"/>
    <mergeCell ref="AX23:AY23"/>
    <mergeCell ref="AX24:AY24"/>
    <mergeCell ref="AP25:AQ25"/>
    <mergeCell ref="AX25:AY25"/>
    <mergeCell ref="AT22:AU22"/>
    <mergeCell ref="AV22:AW22"/>
    <mergeCell ref="AL21:AM21"/>
    <mergeCell ref="AN21:AO21"/>
    <mergeCell ref="AP21:AQ21"/>
    <mergeCell ref="AR21:AS21"/>
    <mergeCell ref="BB12:BC12"/>
    <mergeCell ref="BB13:BC13"/>
    <mergeCell ref="BB14:BC14"/>
    <mergeCell ref="AP15:AQ15"/>
    <mergeCell ref="BB15:BC15"/>
    <mergeCell ref="AX15:AY15"/>
    <mergeCell ref="AZ15:BA15"/>
    <mergeCell ref="AX12:AY12"/>
    <mergeCell ref="AZ12:BA12"/>
    <mergeCell ref="AZ14:BA14"/>
    <mergeCell ref="AX11:AY11"/>
    <mergeCell ref="AZ11:BA11"/>
    <mergeCell ref="AL12:AM12"/>
    <mergeCell ref="AN12:AO12"/>
    <mergeCell ref="AP12:AQ12"/>
    <mergeCell ref="AR12:AS12"/>
    <mergeCell ref="AV19:AW19"/>
    <mergeCell ref="AL20:AM20"/>
    <mergeCell ref="A68:B76"/>
    <mergeCell ref="P68:Q76"/>
    <mergeCell ref="AQ56:AR56"/>
    <mergeCell ref="AQ57:AR57"/>
    <mergeCell ref="AQ58:AR58"/>
    <mergeCell ref="AS51:AT52"/>
    <mergeCell ref="AJ31:AK31"/>
    <mergeCell ref="AL31:AM31"/>
    <mergeCell ref="AU51:AV52"/>
    <mergeCell ref="AI51:AJ52"/>
    <mergeCell ref="AK51:AL51"/>
    <mergeCell ref="AM51:AO51"/>
    <mergeCell ref="AP51:AR51"/>
    <mergeCell ref="AQ54:AR54"/>
    <mergeCell ref="AQ53:AR53"/>
    <mergeCell ref="AQ55:AR55"/>
    <mergeCell ref="AK66:AL66"/>
    <mergeCell ref="AK67:AL67"/>
    <mergeCell ref="AT23:AU23"/>
    <mergeCell ref="AV23:AW23"/>
    <mergeCell ref="AL24:AM24"/>
    <mergeCell ref="AN24:AO24"/>
    <mergeCell ref="AP24:AQ24"/>
    <mergeCell ref="AR24:AS24"/>
    <mergeCell ref="AT24:AU24"/>
    <mergeCell ref="AV24:AW24"/>
    <mergeCell ref="AL23:AM23"/>
    <mergeCell ref="AN23:AO23"/>
    <mergeCell ref="AP23:AQ23"/>
    <mergeCell ref="AR23:AS23"/>
    <mergeCell ref="AN31:AO31"/>
    <mergeCell ref="AS31:AT31"/>
    <mergeCell ref="AN20:AO20"/>
    <mergeCell ref="AP20:AQ20"/>
    <mergeCell ref="AR20:AS20"/>
    <mergeCell ref="AT20:AU20"/>
    <mergeCell ref="AV20:AW20"/>
    <mergeCell ref="AP19:AQ19"/>
    <mergeCell ref="AR19:AS19"/>
    <mergeCell ref="AT19:AU19"/>
    <mergeCell ref="AX14:AY14"/>
    <mergeCell ref="AL15:AM15"/>
    <mergeCell ref="AN15:AO15"/>
    <mergeCell ref="AV15:AW15"/>
    <mergeCell ref="AX13:AY13"/>
    <mergeCell ref="AZ13:BA13"/>
    <mergeCell ref="AL14:AM14"/>
    <mergeCell ref="AN14:AO14"/>
    <mergeCell ref="AP14:AQ14"/>
    <mergeCell ref="AR14:AS14"/>
    <mergeCell ref="AT14:AU14"/>
    <mergeCell ref="AV14:AW14"/>
    <mergeCell ref="AL13:AM13"/>
    <mergeCell ref="AN13:AO13"/>
    <mergeCell ref="AP13:AQ13"/>
    <mergeCell ref="AR13:AS13"/>
    <mergeCell ref="AT13:AU13"/>
    <mergeCell ref="AV13:AW13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Y5:Z5"/>
    <mergeCell ref="H3:L3"/>
    <mergeCell ref="N3:O3"/>
    <mergeCell ref="A4:M4"/>
    <mergeCell ref="N2:O2"/>
    <mergeCell ref="Z2:Z3"/>
    <mergeCell ref="A1:O1"/>
    <mergeCell ref="P1:R3"/>
    <mergeCell ref="S1:Y3"/>
    <mergeCell ref="A2:B3"/>
    <mergeCell ref="C2:F3"/>
    <mergeCell ref="G2:G3"/>
    <mergeCell ref="H2:L2"/>
    <mergeCell ref="M2:M3"/>
    <mergeCell ref="P4:AE4"/>
  </mergeCells>
  <phoneticPr fontId="2" type="noConversion"/>
  <conditionalFormatting sqref="C8:C47">
    <cfRule type="cellIs" dxfId="555" priority="3" operator="equal">
      <formula>"여기어때"</formula>
    </cfRule>
    <cfRule type="cellIs" dxfId="554" priority="4" operator="equal">
      <formula>"야놀자"</formula>
    </cfRule>
  </conditionalFormatting>
  <conditionalFormatting sqref="C49:C67">
    <cfRule type="cellIs" dxfId="553" priority="85" operator="equal">
      <formula>"여기어때"</formula>
    </cfRule>
    <cfRule type="cellIs" dxfId="552" priority="86" operator="equal">
      <formula>"야놀자"</formula>
    </cfRule>
  </conditionalFormatting>
  <conditionalFormatting sqref="D68:D70">
    <cfRule type="cellIs" dxfId="551" priority="1" operator="equal">
      <formula>"여기어때"</formula>
    </cfRule>
    <cfRule type="cellIs" dxfId="550" priority="2" operator="equal">
      <formula>"야놀자"</formula>
    </cfRule>
  </conditionalFormatting>
  <conditionalFormatting sqref="R8:R66">
    <cfRule type="cellIs" dxfId="549" priority="107" operator="equal">
      <formula>"여기어때"</formula>
    </cfRule>
    <cfRule type="cellIs" dxfId="548" priority="108" operator="equal">
      <formula>"야놀자"</formula>
    </cfRule>
  </conditionalFormatting>
  <conditionalFormatting sqref="R73">
    <cfRule type="cellIs" dxfId="547" priority="109" operator="equal">
      <formula>"여기어때"</formula>
    </cfRule>
    <cfRule type="cellIs" dxfId="546" priority="110" operator="equal">
      <formula>"야놀자"</formula>
    </cfRule>
  </conditionalFormatting>
  <conditionalFormatting sqref="AL30:AM30">
    <cfRule type="cellIs" dxfId="545" priority="94" operator="greaterThan">
      <formula>$AL$29</formula>
    </cfRule>
    <cfRule type="cellIs" dxfId="544" priority="102" operator="equal">
      <formula>$AL$29</formula>
    </cfRule>
  </conditionalFormatting>
  <conditionalFormatting sqref="AN30:AO30">
    <cfRule type="cellIs" dxfId="543" priority="93" operator="greaterThan">
      <formula>$AN$29</formula>
    </cfRule>
    <cfRule type="cellIs" dxfId="542" priority="101" operator="equal">
      <formula>$AN$29</formula>
    </cfRule>
  </conditionalFormatting>
  <conditionalFormatting sqref="AP30:AQ30">
    <cfRule type="cellIs" dxfId="541" priority="92" operator="greaterThan">
      <formula>$AP$29</formula>
    </cfRule>
    <cfRule type="cellIs" dxfId="540" priority="100" operator="equal">
      <formula>$AP$29</formula>
    </cfRule>
  </conditionalFormatting>
  <conditionalFormatting sqref="AR30">
    <cfRule type="cellIs" dxfId="539" priority="91" operator="greaterThan">
      <formula>$AR$29</formula>
    </cfRule>
    <cfRule type="cellIs" dxfId="538" priority="99" operator="equal">
      <formula>$AR$29</formula>
    </cfRule>
  </conditionalFormatting>
  <conditionalFormatting sqref="AS30:AT30">
    <cfRule type="cellIs" dxfId="537" priority="90" operator="greaterThan">
      <formula>$AS$29</formula>
    </cfRule>
    <cfRule type="cellIs" dxfId="536" priority="98" operator="equal">
      <formula>$AS$29</formula>
    </cfRule>
  </conditionalFormatting>
  <conditionalFormatting sqref="AU30:AV30">
    <cfRule type="cellIs" dxfId="535" priority="89" operator="greaterThan">
      <formula>$AU$29</formula>
    </cfRule>
    <cfRule type="cellIs" dxfId="534" priority="97" operator="equal">
      <formula>$AU$29</formula>
    </cfRule>
  </conditionalFormatting>
  <conditionalFormatting sqref="AW30">
    <cfRule type="cellIs" dxfId="533" priority="88" operator="greaterThan">
      <formula>$AW$29</formula>
    </cfRule>
    <cfRule type="cellIs" dxfId="532" priority="96" operator="equal">
      <formula>$AW$29</formula>
    </cfRule>
  </conditionalFormatting>
  <conditionalFormatting sqref="AX30:AY30">
    <cfRule type="cellIs" dxfId="531" priority="87" operator="greaterThan">
      <formula>$AX$29</formula>
    </cfRule>
    <cfRule type="cellIs" dxfId="530" priority="95" operator="equal">
      <formula>$AX$29</formula>
    </cfRule>
  </conditionalFormatting>
  <dataValidations disablePrompts="1" count="1">
    <dataValidation type="list" allowBlank="1" showInputMessage="1" showErrorMessage="1" sqref="A8:A67 P8:P67 C75:C76 C71:C73" xr:uid="{10A6F57D-F613-4E31-8DCF-62C53995EE53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184C-6A23-4E2D-A1F8-A4A028724E2B}">
  <sheetPr codeName="Sheet10">
    <tabColor theme="0" tint="-0.14999847407452621"/>
    <pageSetUpPr fitToPage="1"/>
  </sheetPr>
  <dimension ref="A1:BJ89"/>
  <sheetViews>
    <sheetView zoomScale="25" zoomScaleNormal="25" zoomScaleSheetLayoutView="25" workbookViewId="0">
      <pane ySplit="7" topLeftCell="A8" activePane="bottomLeft" state="frozen"/>
      <selection activeCell="H40" sqref="H40:I40"/>
      <selection pane="bottomLeft" activeCell="H51" sqref="H51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90" t="s">
        <v>0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2"/>
      <c r="P1" s="805" t="s">
        <v>1</v>
      </c>
      <c r="Q1" s="806"/>
      <c r="R1" s="806"/>
      <c r="S1" s="833" t="s">
        <v>359</v>
      </c>
      <c r="T1" s="834"/>
      <c r="U1" s="834"/>
      <c r="V1" s="834"/>
      <c r="W1" s="834"/>
      <c r="X1" s="834"/>
      <c r="Y1" s="835"/>
      <c r="Z1" s="1" t="s">
        <v>2</v>
      </c>
      <c r="AA1" s="873">
        <v>45910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93"/>
      <c r="C2" s="867">
        <f>AZ72</f>
        <v>919472</v>
      </c>
      <c r="D2" s="868"/>
      <c r="E2" s="868"/>
      <c r="F2" s="869"/>
      <c r="G2" s="896" t="s">
        <v>5</v>
      </c>
      <c r="H2" s="623">
        <f>COUNTA($Z$8:$AE$67)</f>
        <v>0</v>
      </c>
      <c r="I2" s="786"/>
      <c r="J2" s="786"/>
      <c r="K2" s="786"/>
      <c r="L2" s="796"/>
      <c r="M2" s="896" t="s">
        <v>6</v>
      </c>
      <c r="N2" s="623">
        <f>COUNTA($L$8:$O$67)</f>
        <v>15</v>
      </c>
      <c r="O2" s="787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309500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'10'!AA1</f>
        <v>45910</v>
      </c>
      <c r="AM2" s="863"/>
      <c r="AN2" s="863"/>
      <c r="AO2" s="864"/>
      <c r="AP2" s="865" t="s">
        <v>10</v>
      </c>
      <c r="AQ2" s="866"/>
      <c r="AR2" s="866"/>
      <c r="AS2" s="863">
        <f>AA1+1</f>
        <v>45911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주간/양동건 대체/황경현 팀장</v>
      </c>
      <c r="BB2" s="860"/>
      <c r="BC2" s="860"/>
      <c r="BD2" s="860"/>
      <c r="BE2" s="861"/>
    </row>
    <row r="3" spans="1:58" ht="60" customHeight="1" thickBot="1" x14ac:dyDescent="0.35">
      <c r="A3" s="894"/>
      <c r="B3" s="895"/>
      <c r="C3" s="870"/>
      <c r="D3" s="871"/>
      <c r="E3" s="871"/>
      <c r="F3" s="872"/>
      <c r="G3" s="897"/>
      <c r="H3" s="884">
        <f>SUM(Z8:AE76)+AZ21</f>
        <v>0</v>
      </c>
      <c r="I3" s="885"/>
      <c r="J3" s="885"/>
      <c r="K3" s="885"/>
      <c r="L3" s="886"/>
      <c r="M3" s="897"/>
      <c r="N3" s="887">
        <f>SUM(L8:O76)+AZ20</f>
        <v>919472</v>
      </c>
      <c r="O3" s="888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313500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889"/>
      <c r="N4" s="298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602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882" t="s">
        <v>151</v>
      </c>
      <c r="O5" s="883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607"/>
      <c r="C6" s="356">
        <f>AL31</f>
        <v>3</v>
      </c>
      <c r="D6" s="356">
        <f>AN31</f>
        <v>1</v>
      </c>
      <c r="E6" s="356">
        <f>AP31</f>
        <v>7</v>
      </c>
      <c r="F6" s="356">
        <f>AR31</f>
        <v>2</v>
      </c>
      <c r="G6" s="356">
        <f>AS31</f>
        <v>10</v>
      </c>
      <c r="H6" s="356">
        <f>AU31</f>
        <v>5</v>
      </c>
      <c r="I6" s="356">
        <f>AW31</f>
        <v>1</v>
      </c>
      <c r="J6" s="356">
        <f>AX31</f>
        <v>0</v>
      </c>
      <c r="K6" s="606"/>
      <c r="L6" s="607"/>
      <c r="M6" s="356"/>
      <c r="N6" s="606">
        <f>C6+D6+E6+F6+G6+H6+I6+J6+K6</f>
        <v>29</v>
      </c>
      <c r="O6" s="607"/>
      <c r="P6" s="599">
        <f>C2</f>
        <v>919472</v>
      </c>
      <c r="Q6" s="600"/>
      <c r="R6" s="300">
        <f>AN14+AN15</f>
        <v>4000</v>
      </c>
      <c r="S6" s="300">
        <f>AZ14+AZ15</f>
        <v>0</v>
      </c>
      <c r="T6" s="300">
        <f>AR14+AR15</f>
        <v>77000</v>
      </c>
      <c r="U6" s="609">
        <f>AS60</f>
        <v>175000</v>
      </c>
      <c r="V6" s="600"/>
      <c r="W6" s="609">
        <f>AS61</f>
        <v>160000</v>
      </c>
      <c r="X6" s="600"/>
      <c r="Y6" s="609">
        <f>AS62</f>
        <v>0</v>
      </c>
      <c r="Z6" s="600"/>
      <c r="AA6" s="300">
        <f>AS63</f>
        <v>0</v>
      </c>
      <c r="AB6" s="300">
        <f>AS66</f>
        <v>66300</v>
      </c>
      <c r="AC6" s="300">
        <f>AS67</f>
        <v>145572</v>
      </c>
      <c r="AD6" s="300">
        <f>SUMIFS(O7:O47,C7:C47,"트립")</f>
        <v>115600</v>
      </c>
      <c r="AE6" s="300">
        <f>AS65</f>
        <v>0</v>
      </c>
      <c r="AF6" s="300">
        <f>AS69</f>
        <v>176000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1110</v>
      </c>
      <c r="C8" s="230" t="s">
        <v>301</v>
      </c>
      <c r="D8" s="231" t="s">
        <v>409</v>
      </c>
      <c r="E8" s="215"/>
      <c r="F8" s="231" t="s">
        <v>294</v>
      </c>
      <c r="G8" s="232" t="s">
        <v>283</v>
      </c>
      <c r="H8" s="215" t="s">
        <v>285</v>
      </c>
      <c r="I8" s="215" t="s">
        <v>286</v>
      </c>
      <c r="J8" s="233" t="s">
        <v>299</v>
      </c>
      <c r="K8" s="215" t="s">
        <v>616</v>
      </c>
      <c r="L8" s="234"/>
      <c r="M8" s="234"/>
      <c r="N8" s="234"/>
      <c r="O8" s="219">
        <v>115600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501</v>
      </c>
      <c r="C9" s="380" t="s">
        <v>298</v>
      </c>
      <c r="D9" s="304" t="s">
        <v>541</v>
      </c>
      <c r="E9" s="305"/>
      <c r="F9" s="304" t="s">
        <v>294</v>
      </c>
      <c r="G9" s="381" t="s">
        <v>290</v>
      </c>
      <c r="H9" s="215" t="s">
        <v>285</v>
      </c>
      <c r="I9" s="215" t="s">
        <v>286</v>
      </c>
      <c r="J9" s="215" t="s">
        <v>287</v>
      </c>
      <c r="K9" s="305"/>
      <c r="L9" s="303"/>
      <c r="M9" s="303"/>
      <c r="N9" s="303"/>
      <c r="O9" s="317">
        <v>145572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701</v>
      </c>
      <c r="C10" s="230" t="s">
        <v>528</v>
      </c>
      <c r="D10" s="231" t="s">
        <v>568</v>
      </c>
      <c r="E10" s="215"/>
      <c r="F10" s="231" t="s">
        <v>489</v>
      </c>
      <c r="G10" s="232" t="s">
        <v>509</v>
      </c>
      <c r="H10" s="215" t="s">
        <v>164</v>
      </c>
      <c r="I10" s="215" t="s">
        <v>165</v>
      </c>
      <c r="J10" s="215" t="s">
        <v>189</v>
      </c>
      <c r="K10" s="215"/>
      <c r="L10" s="234"/>
      <c r="M10" s="234"/>
      <c r="N10" s="234"/>
      <c r="O10" s="218">
        <v>176000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65000</v>
      </c>
      <c r="AS10" s="627"/>
      <c r="AT10" s="625">
        <f>COUNTA($O$8:$O$67)</f>
        <v>14</v>
      </c>
      <c r="AU10" s="625"/>
      <c r="AV10" s="625">
        <f>SUM(O8:O67)</f>
        <v>772172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15</v>
      </c>
      <c r="BC10" s="799"/>
      <c r="BD10" s="800">
        <f>SUM(AN10+AR10+AV10+AZ10)</f>
        <v>837172</v>
      </c>
      <c r="BE10" s="801"/>
    </row>
    <row r="11" spans="1:58" ht="64.5" customHeight="1" x14ac:dyDescent="0.3">
      <c r="A11" s="228">
        <v>4</v>
      </c>
      <c r="B11" s="229">
        <v>1114</v>
      </c>
      <c r="C11" s="230" t="s">
        <v>514</v>
      </c>
      <c r="D11" s="231" t="s">
        <v>589</v>
      </c>
      <c r="E11" s="215" t="s">
        <v>166</v>
      </c>
      <c r="F11" s="231" t="s">
        <v>653</v>
      </c>
      <c r="G11" s="232" t="s">
        <v>490</v>
      </c>
      <c r="H11" s="215" t="s">
        <v>164</v>
      </c>
      <c r="I11" s="215" t="s">
        <v>165</v>
      </c>
      <c r="J11" s="215" t="s">
        <v>487</v>
      </c>
      <c r="K11" s="215"/>
      <c r="L11" s="234"/>
      <c r="M11" s="234"/>
      <c r="N11" s="234"/>
      <c r="O11" s="218">
        <v>60000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911</v>
      </c>
      <c r="C12" s="230" t="s">
        <v>73</v>
      </c>
      <c r="D12" s="231" t="s">
        <v>599</v>
      </c>
      <c r="E12" s="215" t="s">
        <v>166</v>
      </c>
      <c r="F12" s="231" t="s">
        <v>633</v>
      </c>
      <c r="G12" s="232" t="s">
        <v>163</v>
      </c>
      <c r="H12" s="215" t="s">
        <v>164</v>
      </c>
      <c r="I12" s="215" t="s">
        <v>165</v>
      </c>
      <c r="J12" s="237" t="s">
        <v>193</v>
      </c>
      <c r="K12" s="238"/>
      <c r="L12" s="234"/>
      <c r="M12" s="234"/>
      <c r="N12" s="234"/>
      <c r="O12" s="218">
        <v>60000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1</v>
      </c>
      <c r="AQ12" s="785"/>
      <c r="AR12" s="784">
        <f>SUM(M68:M76)</f>
        <v>10000</v>
      </c>
      <c r="AS12" s="785"/>
      <c r="AT12" s="780">
        <f>COUNTA($O$68:$O$76)</f>
        <v>1</v>
      </c>
      <c r="AU12" s="780"/>
      <c r="AV12" s="784">
        <f>SUM(O68:O76)</f>
        <v>66300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2</v>
      </c>
      <c r="BC12" s="785"/>
      <c r="BD12" s="780">
        <f>SUM(AN12+AR12+AV12+AZ12)</f>
        <v>76300</v>
      </c>
      <c r="BE12" s="781"/>
    </row>
    <row r="13" spans="1:58" ht="64.5" customHeight="1" x14ac:dyDescent="0.3">
      <c r="A13" s="228">
        <v>6</v>
      </c>
      <c r="B13" s="319">
        <v>309</v>
      </c>
      <c r="C13" s="230" t="s">
        <v>248</v>
      </c>
      <c r="D13" s="231" t="s">
        <v>556</v>
      </c>
      <c r="E13" s="215" t="s">
        <v>622</v>
      </c>
      <c r="F13" s="304" t="s">
        <v>55</v>
      </c>
      <c r="G13" s="232" t="s">
        <v>163</v>
      </c>
      <c r="H13" s="215" t="s">
        <v>164</v>
      </c>
      <c r="I13" s="217" t="s">
        <v>165</v>
      </c>
      <c r="J13" s="215" t="s">
        <v>189</v>
      </c>
      <c r="K13" s="215"/>
      <c r="L13" s="234"/>
      <c r="M13" s="234">
        <v>65000</v>
      </c>
      <c r="N13" s="234"/>
      <c r="O13" s="317"/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19">
        <v>1111</v>
      </c>
      <c r="C14" s="230" t="s">
        <v>625</v>
      </c>
      <c r="D14" s="231" t="s">
        <v>635</v>
      </c>
      <c r="E14" s="215"/>
      <c r="F14" s="231" t="s">
        <v>633</v>
      </c>
      <c r="G14" s="232" t="s">
        <v>616</v>
      </c>
      <c r="H14" s="215" t="s">
        <v>164</v>
      </c>
      <c r="I14" s="217" t="s">
        <v>165</v>
      </c>
      <c r="J14" s="215" t="s">
        <v>189</v>
      </c>
      <c r="K14" s="215" t="s">
        <v>616</v>
      </c>
      <c r="L14" s="234"/>
      <c r="M14" s="234"/>
      <c r="N14" s="234"/>
      <c r="O14" s="218">
        <v>65000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75000</v>
      </c>
      <c r="AS14" s="653"/>
      <c r="AT14" s="653">
        <f t="shared" ref="AT14" si="1">SUM(AT10:AU11)</f>
        <v>14</v>
      </c>
      <c r="AU14" s="653"/>
      <c r="AV14" s="653">
        <f>SUM(AV10:AW13)</f>
        <v>838472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15</v>
      </c>
      <c r="BC14" s="655"/>
      <c r="BD14" s="782">
        <f>SUM(BD10:BE13)</f>
        <v>913472</v>
      </c>
      <c r="BE14" s="783"/>
    </row>
    <row r="15" spans="1:58" ht="64.5" customHeight="1" thickBot="1" x14ac:dyDescent="0.35">
      <c r="A15" s="228">
        <v>8</v>
      </c>
      <c r="B15" s="319">
        <v>1115</v>
      </c>
      <c r="C15" s="230" t="s">
        <v>620</v>
      </c>
      <c r="D15" s="231" t="s">
        <v>652</v>
      </c>
      <c r="E15" s="231" t="s">
        <v>627</v>
      </c>
      <c r="F15" s="231" t="s">
        <v>653</v>
      </c>
      <c r="G15" s="232" t="s">
        <v>616</v>
      </c>
      <c r="H15" s="215" t="s">
        <v>164</v>
      </c>
      <c r="I15" s="217" t="s">
        <v>165</v>
      </c>
      <c r="J15" s="215" t="s">
        <v>189</v>
      </c>
      <c r="K15" s="215"/>
      <c r="L15" s="234"/>
      <c r="M15" s="234"/>
      <c r="N15" s="234"/>
      <c r="O15" s="218">
        <v>50000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2</v>
      </c>
      <c r="AM15" s="881"/>
      <c r="AN15" s="632">
        <f>AN24</f>
        <v>4000</v>
      </c>
      <c r="AO15" s="633"/>
      <c r="AP15" s="632">
        <f>AP24</f>
        <v>1</v>
      </c>
      <c r="AQ15" s="633"/>
      <c r="AR15" s="632">
        <f>AR24</f>
        <v>2000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3</v>
      </c>
      <c r="BC15" s="633"/>
      <c r="BD15" s="776">
        <f>SUM(AN15+AR15+AV15+AZ15)</f>
        <v>6000</v>
      </c>
      <c r="BE15" s="777"/>
    </row>
    <row r="16" spans="1:58" ht="64.5" customHeight="1" thickBot="1" x14ac:dyDescent="0.35">
      <c r="A16" s="228">
        <v>9</v>
      </c>
      <c r="B16" s="319">
        <v>715</v>
      </c>
      <c r="C16" s="230" t="s">
        <v>74</v>
      </c>
      <c r="D16" s="231" t="s">
        <v>658</v>
      </c>
      <c r="E16" s="215" t="s">
        <v>166</v>
      </c>
      <c r="F16" s="231" t="s">
        <v>653</v>
      </c>
      <c r="G16" s="232" t="s">
        <v>163</v>
      </c>
      <c r="H16" s="215" t="s">
        <v>164</v>
      </c>
      <c r="I16" s="215" t="s">
        <v>165</v>
      </c>
      <c r="J16" s="237" t="s">
        <v>193</v>
      </c>
      <c r="K16" s="215" t="s">
        <v>660</v>
      </c>
      <c r="L16" s="234"/>
      <c r="M16" s="234"/>
      <c r="N16" s="234"/>
      <c r="O16" s="218">
        <v>50000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919472</v>
      </c>
      <c r="BE16" s="652"/>
      <c r="BF16" s="10"/>
    </row>
    <row r="17" spans="1:62" ht="64.5" customHeight="1" thickBot="1" x14ac:dyDescent="0.35">
      <c r="A17" s="228">
        <v>10</v>
      </c>
      <c r="B17" s="319">
        <v>609</v>
      </c>
      <c r="C17" s="230" t="s">
        <v>73</v>
      </c>
      <c r="D17" s="231" t="s">
        <v>663</v>
      </c>
      <c r="E17" s="215" t="s">
        <v>166</v>
      </c>
      <c r="F17" s="231" t="s">
        <v>642</v>
      </c>
      <c r="G17" s="232" t="s">
        <v>163</v>
      </c>
      <c r="H17" s="215" t="s">
        <v>164</v>
      </c>
      <c r="I17" s="215" t="s">
        <v>165</v>
      </c>
      <c r="J17" s="237" t="s">
        <v>193</v>
      </c>
      <c r="K17" s="238"/>
      <c r="L17" s="234"/>
      <c r="M17" s="234"/>
      <c r="N17" s="234"/>
      <c r="O17" s="218">
        <v>50000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19"/>
      <c r="C18" s="230"/>
      <c r="D18" s="231"/>
      <c r="E18" s="215"/>
      <c r="F18" s="231"/>
      <c r="G18" s="232"/>
      <c r="H18" s="215"/>
      <c r="I18" s="215"/>
      <c r="J18" s="233"/>
      <c r="K18" s="215"/>
      <c r="L18" s="234"/>
      <c r="M18" s="234"/>
      <c r="N18" s="234"/>
      <c r="O18" s="317"/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19"/>
      <c r="C19" s="230"/>
      <c r="D19" s="231"/>
      <c r="E19" s="215"/>
      <c r="F19" s="231"/>
      <c r="G19" s="232"/>
      <c r="H19" s="215"/>
      <c r="I19" s="215"/>
      <c r="J19" s="215"/>
      <c r="K19" s="215"/>
      <c r="L19" s="234"/>
      <c r="M19" s="234"/>
      <c r="N19" s="234"/>
      <c r="O19" s="218"/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19"/>
      <c r="C20" s="230"/>
      <c r="D20" s="231"/>
      <c r="E20" s="215"/>
      <c r="F20" s="231"/>
      <c r="G20" s="232"/>
      <c r="H20" s="215"/>
      <c r="I20" s="215"/>
      <c r="J20" s="215"/>
      <c r="K20" s="215"/>
      <c r="L20" s="234"/>
      <c r="M20" s="234"/>
      <c r="N20" s="234"/>
      <c r="O20" s="218"/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2</v>
      </c>
      <c r="AM20" s="653"/>
      <c r="AN20" s="654">
        <f>AL20*2000</f>
        <v>4000</v>
      </c>
      <c r="AO20" s="655"/>
      <c r="AP20" s="656">
        <f>COUNTIF(K7:K67,2)</f>
        <v>1</v>
      </c>
      <c r="AQ20" s="655"/>
      <c r="AR20" s="654">
        <f>AP20*2000</f>
        <v>2000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3</v>
      </c>
      <c r="AY20" s="647"/>
      <c r="AZ20" s="648">
        <f>SUM(AJ20+AN20+AR20+AV20)</f>
        <v>6000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19"/>
      <c r="C21" s="230"/>
      <c r="D21" s="231"/>
      <c r="E21" s="215"/>
      <c r="F21" s="231"/>
      <c r="G21" s="232"/>
      <c r="H21" s="215"/>
      <c r="I21" s="215"/>
      <c r="J21" s="215"/>
      <c r="K21" s="215"/>
      <c r="L21" s="234"/>
      <c r="M21" s="234"/>
      <c r="N21" s="234"/>
      <c r="O21" s="218"/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19"/>
      <c r="C22" s="230"/>
      <c r="D22" s="231"/>
      <c r="E22" s="215"/>
      <c r="F22" s="231"/>
      <c r="G22" s="232"/>
      <c r="H22" s="215"/>
      <c r="I22" s="215"/>
      <c r="J22" s="215"/>
      <c r="K22" s="215"/>
      <c r="L22" s="234"/>
      <c r="M22" s="234"/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19"/>
      <c r="C23" s="460"/>
      <c r="D23" s="461"/>
      <c r="E23" s="461"/>
      <c r="F23" s="461"/>
      <c r="G23" s="461"/>
      <c r="H23" s="461"/>
      <c r="I23" s="461"/>
      <c r="J23" s="461"/>
      <c r="K23" s="461"/>
      <c r="L23" s="234"/>
      <c r="M23" s="234"/>
      <c r="N23" s="23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/>
      <c r="C24" s="230"/>
      <c r="D24" s="231"/>
      <c r="E24" s="215"/>
      <c r="F24" s="231"/>
      <c r="G24" s="331"/>
      <c r="H24" s="217"/>
      <c r="I24" s="217"/>
      <c r="J24" s="368"/>
      <c r="K24" s="217"/>
      <c r="L24" s="254"/>
      <c r="M24" s="254"/>
      <c r="N24" s="25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2</v>
      </c>
      <c r="AM24" s="653"/>
      <c r="AN24" s="654">
        <f>SUM(AN20:AO23)</f>
        <v>4000</v>
      </c>
      <c r="AO24" s="655"/>
      <c r="AP24" s="656">
        <f>SUM(AP20:AQ23)</f>
        <v>1</v>
      </c>
      <c r="AQ24" s="655"/>
      <c r="AR24" s="654">
        <f>SUM(AR20:AS23)</f>
        <v>2000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3</v>
      </c>
      <c r="AY24" s="647"/>
      <c r="AZ24" s="648">
        <f>SUM(AZ20:BA23)</f>
        <v>6000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31"/>
      <c r="E25" s="215"/>
      <c r="F25" s="231"/>
      <c r="G25" s="331"/>
      <c r="H25" s="217"/>
      <c r="I25" s="217"/>
      <c r="J25" s="217"/>
      <c r="K25" s="217"/>
      <c r="L25" s="364"/>
      <c r="M25" s="254"/>
      <c r="N25" s="254"/>
      <c r="O25" s="220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/>
      <c r="C26" s="230"/>
      <c r="D26" s="231"/>
      <c r="E26" s="215"/>
      <c r="F26" s="231"/>
      <c r="G26" s="331"/>
      <c r="H26" s="217"/>
      <c r="I26" s="217"/>
      <c r="J26" s="217"/>
      <c r="K26" s="217"/>
      <c r="L26" s="254"/>
      <c r="M26" s="254"/>
      <c r="N26" s="25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/>
      <c r="C27" s="230"/>
      <c r="D27" s="231"/>
      <c r="E27" s="215"/>
      <c r="F27" s="231"/>
      <c r="G27" s="331"/>
      <c r="H27" s="217"/>
      <c r="I27" s="217"/>
      <c r="J27" s="217"/>
      <c r="K27" s="217"/>
      <c r="L27" s="254"/>
      <c r="M27" s="254"/>
      <c r="N27" s="25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215"/>
      <c r="F28" s="231"/>
      <c r="G28" s="331"/>
      <c r="H28" s="217"/>
      <c r="I28" s="217"/>
      <c r="J28" s="370"/>
      <c r="K28" s="217"/>
      <c r="L28" s="254"/>
      <c r="M28" s="254"/>
      <c r="N28" s="25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31"/>
      <c r="E29" s="215"/>
      <c r="F29" s="231"/>
      <c r="G29" s="331"/>
      <c r="H29" s="217"/>
      <c r="I29" s="217"/>
      <c r="J29" s="217"/>
      <c r="K29" s="217"/>
      <c r="L29" s="254"/>
      <c r="M29" s="254"/>
      <c r="N29" s="25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6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1"/>
      <c r="E30" s="215"/>
      <c r="F30" s="231"/>
      <c r="G30" s="331"/>
      <c r="H30" s="217"/>
      <c r="I30" s="217"/>
      <c r="J30" s="368"/>
      <c r="K30" s="217"/>
      <c r="L30" s="254"/>
      <c r="M30" s="254"/>
      <c r="N30" s="25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3</v>
      </c>
      <c r="AM30" s="828"/>
      <c r="AN30" s="829">
        <f>COUNTIF(F8:F67,"b")</f>
        <v>3</v>
      </c>
      <c r="AO30" s="829"/>
      <c r="AP30" s="830">
        <f>COUNTIF(F8:F67,"at")</f>
        <v>3</v>
      </c>
      <c r="AQ30" s="830"/>
      <c r="AR30" s="323">
        <f>COUNTIF(F8:F67,"aD")</f>
        <v>0</v>
      </c>
      <c r="AS30" s="830">
        <f>COUNTIF(F8:F67,"sd")</f>
        <v>1</v>
      </c>
      <c r="AT30" s="830"/>
      <c r="AU30" s="830">
        <f>COUNTIF(F8:F67,"st")</f>
        <v>0</v>
      </c>
      <c r="AV30" s="830"/>
      <c r="AW30" s="324">
        <f>COUNTIF(F8:F67,"v")</f>
        <v>4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5"/>
      <c r="F31" s="231"/>
      <c r="G31" s="331"/>
      <c r="H31" s="217"/>
      <c r="I31" s="217"/>
      <c r="J31" s="368"/>
      <c r="K31" s="217"/>
      <c r="L31" s="254"/>
      <c r="M31" s="254"/>
      <c r="N31" s="25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3</v>
      </c>
      <c r="AM31" s="815"/>
      <c r="AN31" s="816">
        <f>AN29-AN30</f>
        <v>1</v>
      </c>
      <c r="AO31" s="816"/>
      <c r="AP31" s="817">
        <f>AP29-AP30</f>
        <v>7</v>
      </c>
      <c r="AQ31" s="817"/>
      <c r="AR31" s="322">
        <f>AR29-AR30</f>
        <v>2</v>
      </c>
      <c r="AS31" s="817">
        <f>AS29-AS30</f>
        <v>10</v>
      </c>
      <c r="AT31" s="817"/>
      <c r="AU31" s="817">
        <f>AU29-AU30</f>
        <v>5</v>
      </c>
      <c r="AV31" s="817"/>
      <c r="AW31" s="322">
        <f>AW29-AW30</f>
        <v>1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331"/>
      <c r="H32" s="217"/>
      <c r="I32" s="217"/>
      <c r="J32" s="368"/>
      <c r="K32" s="217"/>
      <c r="L32" s="254"/>
      <c r="M32" s="254"/>
      <c r="N32" s="254"/>
      <c r="O32" s="219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331"/>
      <c r="H33" s="217"/>
      <c r="I33" s="217"/>
      <c r="J33" s="368"/>
      <c r="K33" s="217"/>
      <c r="L33" s="254"/>
      <c r="M33" s="254"/>
      <c r="N33" s="25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304"/>
      <c r="E34" s="305"/>
      <c r="F34" s="304"/>
      <c r="G34" s="331"/>
      <c r="H34" s="217"/>
      <c r="I34" s="217"/>
      <c r="J34" s="217"/>
      <c r="K34" s="217"/>
      <c r="L34" s="254"/>
      <c r="M34" s="254"/>
      <c r="N34" s="25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331"/>
      <c r="H35" s="217"/>
      <c r="I35" s="217"/>
      <c r="J35" s="217"/>
      <c r="K35" s="217"/>
      <c r="L35" s="254"/>
      <c r="M35" s="254"/>
      <c r="N35" s="25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331"/>
      <c r="H36" s="217"/>
      <c r="I36" s="217"/>
      <c r="J36" s="368"/>
      <c r="K36" s="217"/>
      <c r="L36" s="254"/>
      <c r="M36" s="254"/>
      <c r="N36" s="25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331"/>
      <c r="H37" s="217"/>
      <c r="I37" s="217"/>
      <c r="J37" s="217"/>
      <c r="K37" s="217"/>
      <c r="L37" s="254"/>
      <c r="M37" s="254"/>
      <c r="N37" s="25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301"/>
      <c r="G38" s="331"/>
      <c r="H38" s="217"/>
      <c r="I38" s="217"/>
      <c r="J38" s="217"/>
      <c r="K38" s="217"/>
      <c r="L38" s="254"/>
      <c r="M38" s="254"/>
      <c r="N38" s="25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331"/>
      <c r="H39" s="217"/>
      <c r="I39" s="217"/>
      <c r="J39" s="368"/>
      <c r="K39" s="217"/>
      <c r="L39" s="254"/>
      <c r="M39" s="254"/>
      <c r="N39" s="25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331"/>
      <c r="H40" s="217"/>
      <c r="I40" s="217"/>
      <c r="J40" s="368"/>
      <c r="K40" s="217"/>
      <c r="L40" s="254"/>
      <c r="M40" s="254"/>
      <c r="N40" s="25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319">
        <v>506</v>
      </c>
      <c r="C43" s="230" t="s">
        <v>74</v>
      </c>
      <c r="D43" s="251" t="s">
        <v>410</v>
      </c>
      <c r="E43" s="215"/>
      <c r="F43" s="231" t="s">
        <v>289</v>
      </c>
      <c r="G43" s="232" t="s">
        <v>291</v>
      </c>
      <c r="H43" s="215" t="s">
        <v>164</v>
      </c>
      <c r="I43" s="215" t="s">
        <v>165</v>
      </c>
      <c r="J43" s="237" t="s">
        <v>299</v>
      </c>
      <c r="K43" s="238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305</v>
      </c>
      <c r="C44" s="446" t="s">
        <v>424</v>
      </c>
      <c r="D44" s="304" t="s">
        <v>426</v>
      </c>
      <c r="E44" s="305" t="s">
        <v>425</v>
      </c>
      <c r="F44" s="304" t="s">
        <v>289</v>
      </c>
      <c r="G44" s="381" t="s">
        <v>200</v>
      </c>
      <c r="H44" s="215" t="s">
        <v>164</v>
      </c>
      <c r="I44" s="215" t="s">
        <v>165</v>
      </c>
      <c r="J44" s="233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1112</v>
      </c>
      <c r="C45" s="255" t="s">
        <v>298</v>
      </c>
      <c r="D45" s="265" t="s">
        <v>384</v>
      </c>
      <c r="E45" s="266"/>
      <c r="F45" s="265" t="s">
        <v>302</v>
      </c>
      <c r="G45" s="267" t="s">
        <v>310</v>
      </c>
      <c r="H45" s="266" t="s">
        <v>285</v>
      </c>
      <c r="I45" s="266" t="s">
        <v>286</v>
      </c>
      <c r="J45" s="266" t="s">
        <v>287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319">
        <v>308</v>
      </c>
      <c r="C46" s="230" t="s">
        <v>281</v>
      </c>
      <c r="D46" s="231" t="s">
        <v>366</v>
      </c>
      <c r="E46" s="215" t="s">
        <v>296</v>
      </c>
      <c r="F46" s="231"/>
      <c r="G46" s="232" t="s">
        <v>370</v>
      </c>
      <c r="H46" s="371" t="s">
        <v>285</v>
      </c>
      <c r="I46" s="371" t="s">
        <v>286</v>
      </c>
      <c r="J46" s="215" t="s">
        <v>287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273">
        <v>1210</v>
      </c>
      <c r="C47" s="274" t="s">
        <v>292</v>
      </c>
      <c r="D47" s="436" t="s">
        <v>307</v>
      </c>
      <c r="E47" s="276"/>
      <c r="F47" s="275" t="s">
        <v>294</v>
      </c>
      <c r="G47" s="277" t="s">
        <v>309</v>
      </c>
      <c r="H47" s="276" t="s">
        <v>164</v>
      </c>
      <c r="I47" s="276" t="s">
        <v>165</v>
      </c>
      <c r="J47" s="278" t="s">
        <v>304</v>
      </c>
      <c r="K47" s="276"/>
      <c r="L47" s="279"/>
      <c r="M47" s="279"/>
      <c r="N47" s="279"/>
      <c r="O47" s="280">
        <v>0</v>
      </c>
      <c r="P47" s="281">
        <v>40</v>
      </c>
      <c r="Q47" s="273"/>
      <c r="R47" s="274"/>
      <c r="S47" s="276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415"/>
      <c r="C48" s="255"/>
      <c r="D48" s="265"/>
      <c r="E48" s="266"/>
      <c r="F48" s="265"/>
      <c r="G48" s="266"/>
      <c r="H48" s="266"/>
      <c r="I48" s="266"/>
      <c r="J48" s="270"/>
      <c r="K48" s="271"/>
      <c r="L48" s="257"/>
      <c r="M48" s="257"/>
      <c r="N48" s="257"/>
      <c r="O48" s="218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29"/>
      <c r="C49" s="230"/>
      <c r="D49" s="231"/>
      <c r="E49" s="215"/>
      <c r="F49" s="231"/>
      <c r="G49" s="215"/>
      <c r="H49" s="215"/>
      <c r="I49" s="215"/>
      <c r="J49" s="233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29"/>
      <c r="C50" s="230"/>
      <c r="D50" s="231"/>
      <c r="E50" s="215"/>
      <c r="F50" s="231"/>
      <c r="G50" s="215"/>
      <c r="H50" s="215"/>
      <c r="I50" s="215"/>
      <c r="J50" s="215"/>
      <c r="K50" s="215"/>
      <c r="L50" s="234"/>
      <c r="M50" s="234"/>
      <c r="N50" s="234"/>
      <c r="O50" s="220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3</v>
      </c>
      <c r="BB54" s="681"/>
      <c r="BC54" s="679">
        <f>AZ24</f>
        <v>6000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3</v>
      </c>
      <c r="BB55" s="681"/>
      <c r="BC55" s="679">
        <f>SUM(BC53:BE54)</f>
        <v>6000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5</v>
      </c>
      <c r="AQ60" s="56">
        <f>SUMIF($C$8:$C$72, $AK60, $L$8:$L$72)+SUMIF($C$8:$C$72, $AK60, $M$8:$M$72)+SUMIF($C$8:$C$72, $AK60, $N$8:$N$72)+SUMIF($C$8:$C$72, $AK60, $O$8:$O$72)</f>
        <v>175000</v>
      </c>
      <c r="AR60" s="57">
        <f>AQ60*0.9</f>
        <v>157500</v>
      </c>
      <c r="AS60" s="58">
        <f t="shared" ref="AS60:AS70" si="4">SUM(AN60+AQ60)</f>
        <v>175000</v>
      </c>
      <c r="AT60" s="59">
        <f t="shared" ref="AT60:AT70" si="5">AO60+AR60</f>
        <v>157500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4</v>
      </c>
      <c r="AQ61" s="56">
        <f t="shared" ref="AQ61:AQ70" si="8">SUMIF($C$8:$C$72, $AK61, $L$8:$L$72)+SUMIF($C$8:$C$72, $AK61, $M$8:$M$72)+SUMIF($C$8:$C$72, $AK61, $N$8:$N$72)+SUMIF($C$8:$C$72, $AK61, $O$8:$O$72)</f>
        <v>160000</v>
      </c>
      <c r="AR61" s="57">
        <f t="shared" ref="AR61:AR70" si="9">AQ61*0.9</f>
        <v>144000</v>
      </c>
      <c r="AS61" s="58">
        <f t="shared" si="4"/>
        <v>160000</v>
      </c>
      <c r="AT61" s="59">
        <f t="shared" si="5"/>
        <v>144000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1</v>
      </c>
      <c r="AQ66" s="56">
        <f t="shared" si="8"/>
        <v>66300</v>
      </c>
      <c r="AR66" s="57">
        <f t="shared" si="9"/>
        <v>59670</v>
      </c>
      <c r="AS66" s="58">
        <f t="shared" si="4"/>
        <v>66300</v>
      </c>
      <c r="AT66" s="59">
        <f t="shared" si="5"/>
        <v>59670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2</v>
      </c>
      <c r="AQ67" s="56">
        <f t="shared" si="8"/>
        <v>145572</v>
      </c>
      <c r="AR67" s="57">
        <f t="shared" si="9"/>
        <v>131014.8</v>
      </c>
      <c r="AS67" s="58">
        <f t="shared" si="4"/>
        <v>145572</v>
      </c>
      <c r="AT67" s="59">
        <f t="shared" si="5"/>
        <v>131014.8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392" t="s">
        <v>645</v>
      </c>
      <c r="D68" s="230" t="s">
        <v>659</v>
      </c>
      <c r="E68" s="459">
        <v>45912</v>
      </c>
      <c r="F68" s="214"/>
      <c r="G68" s="231"/>
      <c r="H68" s="232"/>
      <c r="I68" s="215"/>
      <c r="J68" s="215"/>
      <c r="K68" s="233"/>
      <c r="L68" s="234"/>
      <c r="M68" s="234">
        <v>10000</v>
      </c>
      <c r="N68" s="234"/>
      <c r="O68" s="218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115600</v>
      </c>
      <c r="AR68" s="57">
        <f t="shared" si="9"/>
        <v>104040</v>
      </c>
      <c r="AS68" s="58">
        <f t="shared" si="4"/>
        <v>115600</v>
      </c>
      <c r="AT68" s="59">
        <f t="shared" si="5"/>
        <v>104040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838472</v>
      </c>
      <c r="BD68" s="656"/>
      <c r="BE68" s="655"/>
    </row>
    <row r="69" spans="1:57" ht="64.5" customHeight="1" x14ac:dyDescent="0.3">
      <c r="A69" s="659"/>
      <c r="B69" s="660"/>
      <c r="C69" s="230" t="s">
        <v>70</v>
      </c>
      <c r="D69" s="231" t="s">
        <v>590</v>
      </c>
      <c r="E69" s="215" t="s">
        <v>665</v>
      </c>
      <c r="F69" s="231"/>
      <c r="G69" s="232"/>
      <c r="H69" s="215"/>
      <c r="I69" s="215"/>
      <c r="J69" s="215"/>
      <c r="K69" s="215"/>
      <c r="L69" s="234"/>
      <c r="M69" s="234"/>
      <c r="N69" s="234"/>
      <c r="O69" s="218">
        <v>66300</v>
      </c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1</v>
      </c>
      <c r="AQ69" s="56">
        <f t="shared" si="8"/>
        <v>176000</v>
      </c>
      <c r="AR69" s="57">
        <f t="shared" si="9"/>
        <v>158400</v>
      </c>
      <c r="AS69" s="58">
        <f t="shared" si="4"/>
        <v>176000</v>
      </c>
      <c r="AT69" s="59">
        <f t="shared" si="5"/>
        <v>158400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404"/>
      <c r="D70" s="231"/>
      <c r="E70" s="231"/>
      <c r="F70" s="215"/>
      <c r="G70" s="231"/>
      <c r="H70" s="232"/>
      <c r="I70" s="215"/>
      <c r="J70" s="215"/>
      <c r="K70" s="215"/>
      <c r="L70" s="234"/>
      <c r="M70" s="234"/>
      <c r="N70" s="234"/>
      <c r="O70" s="220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405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6000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405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919472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15</v>
      </c>
      <c r="AQ73" s="22">
        <f t="shared" si="10"/>
        <v>838472</v>
      </c>
      <c r="AR73" s="23">
        <f t="shared" si="10"/>
        <v>754624.8</v>
      </c>
      <c r="AS73" s="24">
        <f t="shared" si="10"/>
        <v>838472</v>
      </c>
      <c r="AT73" s="25">
        <f t="shared" si="10"/>
        <v>754624.8</v>
      </c>
      <c r="AU73" s="692" t="s">
        <v>58</v>
      </c>
      <c r="AV73" s="693"/>
      <c r="AW73" s="693"/>
      <c r="AX73" s="693"/>
      <c r="AY73" s="694"/>
      <c r="AZ73" s="695">
        <f>AS58+AT73</f>
        <v>754624.8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mergeCells count="307"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BA55:BB55"/>
    <mergeCell ref="BC55:BE55"/>
    <mergeCell ref="BD12:BE12"/>
    <mergeCell ref="BD13:BE13"/>
    <mergeCell ref="BD14:BE14"/>
    <mergeCell ref="AI15:AJ15"/>
    <mergeCell ref="AR15:AS15"/>
    <mergeCell ref="BD15:BE15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Z19:BA19"/>
    <mergeCell ref="AZ20:BA20"/>
    <mergeCell ref="AZ21:BA21"/>
    <mergeCell ref="AZ22:BA22"/>
    <mergeCell ref="AZ23:BA23"/>
    <mergeCell ref="AZ24:BA24"/>
    <mergeCell ref="AX14:AY14"/>
    <mergeCell ref="AZ14:BA14"/>
    <mergeCell ref="AL15:AM15"/>
    <mergeCell ref="AN15:AO15"/>
    <mergeCell ref="AL8:AO8"/>
    <mergeCell ref="AP8:AS8"/>
    <mergeCell ref="AT8:AW8"/>
    <mergeCell ref="AX8:BA8"/>
    <mergeCell ref="BB8:BE8"/>
    <mergeCell ref="AL9:AM9"/>
    <mergeCell ref="BD9:BE9"/>
    <mergeCell ref="BD10:BE10"/>
    <mergeCell ref="BD11:BE11"/>
    <mergeCell ref="AR11:AS11"/>
    <mergeCell ref="AT11:AU11"/>
    <mergeCell ref="AV11:AW11"/>
    <mergeCell ref="BB11:BC11"/>
    <mergeCell ref="BB9:BC9"/>
    <mergeCell ref="BB10:BC10"/>
    <mergeCell ref="H3:L3"/>
    <mergeCell ref="N3:O3"/>
    <mergeCell ref="A4:M4"/>
    <mergeCell ref="N2:O2"/>
    <mergeCell ref="Z2:Z3"/>
    <mergeCell ref="A1:O1"/>
    <mergeCell ref="P1:R3"/>
    <mergeCell ref="S1:Y3"/>
    <mergeCell ref="A2:B3"/>
    <mergeCell ref="C2:F3"/>
    <mergeCell ref="G2:G3"/>
    <mergeCell ref="H2:L2"/>
    <mergeCell ref="M2:M3"/>
    <mergeCell ref="AA1:AG1"/>
    <mergeCell ref="AI1:BE1"/>
    <mergeCell ref="AB2:AG2"/>
    <mergeCell ref="AI2:AK2"/>
    <mergeCell ref="AL2:AO2"/>
    <mergeCell ref="AP2:AR2"/>
    <mergeCell ref="AS2:AY2"/>
    <mergeCell ref="BA2:BE2"/>
    <mergeCell ref="Y5:Z5"/>
    <mergeCell ref="AL5:AP5"/>
    <mergeCell ref="AB3:AG3"/>
    <mergeCell ref="P4:AE4"/>
    <mergeCell ref="AL4:AP4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6:AP6"/>
    <mergeCell ref="AL7:AM7"/>
    <mergeCell ref="AN7:AP7"/>
    <mergeCell ref="AI8:AJ14"/>
    <mergeCell ref="AK8:AK9"/>
    <mergeCell ref="AX9:AY9"/>
    <mergeCell ref="AZ9:BA9"/>
    <mergeCell ref="AL10:AM10"/>
    <mergeCell ref="AN10:AO10"/>
    <mergeCell ref="AP10:AQ10"/>
    <mergeCell ref="AR10:AS10"/>
    <mergeCell ref="AT10:AU10"/>
    <mergeCell ref="AV10:AW10"/>
    <mergeCell ref="AP9:AQ9"/>
    <mergeCell ref="AR9:AS9"/>
    <mergeCell ref="AT9:AU9"/>
    <mergeCell ref="AV9:AW9"/>
    <mergeCell ref="AT12:AU12"/>
    <mergeCell ref="AV12:AW12"/>
    <mergeCell ref="AX10:AY10"/>
    <mergeCell ref="AZ10:BA10"/>
    <mergeCell ref="AL11:AM11"/>
    <mergeCell ref="AN11:AO11"/>
    <mergeCell ref="AP11:AQ11"/>
    <mergeCell ref="AL14:AM14"/>
    <mergeCell ref="AN14:AO14"/>
    <mergeCell ref="AP14:AQ14"/>
    <mergeCell ref="AR14:AS14"/>
    <mergeCell ref="AT14:AU14"/>
    <mergeCell ref="AV14:AW14"/>
    <mergeCell ref="AL13:AM13"/>
    <mergeCell ref="AN13:AO13"/>
    <mergeCell ref="AP13:AQ13"/>
    <mergeCell ref="AR13:AS13"/>
    <mergeCell ref="AT13:AU13"/>
    <mergeCell ref="AV13:AW13"/>
    <mergeCell ref="AR23:AS23"/>
    <mergeCell ref="AP19:AQ19"/>
    <mergeCell ref="AR19:AS19"/>
    <mergeCell ref="AT19:AU19"/>
    <mergeCell ref="AV15:AW15"/>
    <mergeCell ref="AX13:AY13"/>
    <mergeCell ref="AZ13:BA13"/>
    <mergeCell ref="AX15:AY15"/>
    <mergeCell ref="AZ15:BA15"/>
    <mergeCell ref="AN30:AO30"/>
    <mergeCell ref="AS30:AT30"/>
    <mergeCell ref="AS53:AT53"/>
    <mergeCell ref="AL24:AM24"/>
    <mergeCell ref="AN24:AO24"/>
    <mergeCell ref="AP24:AQ24"/>
    <mergeCell ref="AR24:AS24"/>
    <mergeCell ref="AT24:AU24"/>
    <mergeCell ref="AV24:AW24"/>
    <mergeCell ref="AP51:AR51"/>
    <mergeCell ref="AU51:AV52"/>
    <mergeCell ref="AN31:AO31"/>
    <mergeCell ref="AS31:AT31"/>
    <mergeCell ref="AU53:AV55"/>
    <mergeCell ref="AW53:AZ53"/>
    <mergeCell ref="AP25:AQ25"/>
    <mergeCell ref="A68:B76"/>
    <mergeCell ref="P68:Q76"/>
    <mergeCell ref="AI56:AJ57"/>
    <mergeCell ref="AK56:AL56"/>
    <mergeCell ref="AN56:AO56"/>
    <mergeCell ref="AS56:AT56"/>
    <mergeCell ref="AK57:AL57"/>
    <mergeCell ref="AN57:AO57"/>
    <mergeCell ref="AS57:AT57"/>
    <mergeCell ref="AI58:AL58"/>
    <mergeCell ref="AN58:AO58"/>
    <mergeCell ref="AS58:AT58"/>
    <mergeCell ref="AI59:AJ72"/>
    <mergeCell ref="AK60:AL60"/>
    <mergeCell ref="AQ56:AR56"/>
    <mergeCell ref="AK68:AL68"/>
    <mergeCell ref="AQ57:AR57"/>
    <mergeCell ref="AQ58:AR58"/>
    <mergeCell ref="AK64:AL64"/>
    <mergeCell ref="AI73:AJ73"/>
    <mergeCell ref="AX12:AY12"/>
    <mergeCell ref="AZ12:BA12"/>
    <mergeCell ref="AX11:AY11"/>
    <mergeCell ref="AZ11:BA11"/>
    <mergeCell ref="AW51:BB51"/>
    <mergeCell ref="AV19:AW19"/>
    <mergeCell ref="AV20:AW20"/>
    <mergeCell ref="AZ25:BA25"/>
    <mergeCell ref="AZ28:BA28"/>
    <mergeCell ref="AZ29:BA29"/>
    <mergeCell ref="AZ30:BA30"/>
    <mergeCell ref="AX28:AY28"/>
    <mergeCell ref="AX29:AY29"/>
    <mergeCell ref="AU28:AV28"/>
    <mergeCell ref="AT23:AU23"/>
    <mergeCell ref="AV23:AW23"/>
    <mergeCell ref="AX30:AY30"/>
    <mergeCell ref="AX22:AY22"/>
    <mergeCell ref="AX23:AY23"/>
    <mergeCell ref="AX24:AY24"/>
    <mergeCell ref="AX31:AY31"/>
    <mergeCell ref="AU29:AV29"/>
    <mergeCell ref="AU30:AV30"/>
    <mergeCell ref="AX25:AY25"/>
    <mergeCell ref="AL12:AM12"/>
    <mergeCell ref="AN12:AO12"/>
    <mergeCell ref="AP12:AQ12"/>
    <mergeCell ref="AR12:AS12"/>
    <mergeCell ref="BB16:BC16"/>
    <mergeCell ref="AX19:AY19"/>
    <mergeCell ref="AX20:AY20"/>
    <mergeCell ref="AT21:AU21"/>
    <mergeCell ref="AV21:AW21"/>
    <mergeCell ref="AX21:AY21"/>
    <mergeCell ref="BB12:BC12"/>
    <mergeCell ref="BB13:BC13"/>
    <mergeCell ref="BB14:BC14"/>
    <mergeCell ref="AP15:AQ15"/>
    <mergeCell ref="BB15:BC15"/>
    <mergeCell ref="AL20:AM20"/>
    <mergeCell ref="AN20:AO20"/>
    <mergeCell ref="AP20:AQ20"/>
    <mergeCell ref="AR20:AS20"/>
    <mergeCell ref="AT20:AU20"/>
    <mergeCell ref="AL21:AM21"/>
    <mergeCell ref="AN21:AO21"/>
    <mergeCell ref="AP21:AQ21"/>
    <mergeCell ref="AR21:AS21"/>
    <mergeCell ref="AJ29:AK29"/>
    <mergeCell ref="AL29:AM29"/>
    <mergeCell ref="AV25:AW25"/>
    <mergeCell ref="AJ28:AK28"/>
    <mergeCell ref="AL28:AM28"/>
    <mergeCell ref="AL22:AM22"/>
    <mergeCell ref="AN22:AO22"/>
    <mergeCell ref="AP22:AQ22"/>
    <mergeCell ref="AR22:AS22"/>
    <mergeCell ref="AT22:AU22"/>
    <mergeCell ref="AV22:AW22"/>
    <mergeCell ref="AI25:AJ25"/>
    <mergeCell ref="AR25:AS25"/>
    <mergeCell ref="AN28:AO28"/>
    <mergeCell ref="AS28:AT28"/>
    <mergeCell ref="AN29:AO29"/>
    <mergeCell ref="AS29:AT29"/>
    <mergeCell ref="AJ27:AO27"/>
    <mergeCell ref="AP28:AQ28"/>
    <mergeCell ref="AP29:AQ29"/>
    <mergeCell ref="AN25:AO25"/>
    <mergeCell ref="AL23:AM23"/>
    <mergeCell ref="AN23:AO23"/>
    <mergeCell ref="AP23:AQ23"/>
    <mergeCell ref="AJ30:AK30"/>
    <mergeCell ref="AL30:AM30"/>
    <mergeCell ref="AZ31:BA31"/>
    <mergeCell ref="BC51:BE52"/>
    <mergeCell ref="AQ54:AR54"/>
    <mergeCell ref="AQ53:AR53"/>
    <mergeCell ref="AQ55:AR55"/>
    <mergeCell ref="AI53:AJ55"/>
    <mergeCell ref="AK53:AL53"/>
    <mergeCell ref="AN53:AO53"/>
    <mergeCell ref="AK52:AL52"/>
    <mergeCell ref="AN52:AO52"/>
    <mergeCell ref="AQ52:AR52"/>
    <mergeCell ref="AW52:AZ52"/>
    <mergeCell ref="BA52:BB52"/>
    <mergeCell ref="AS51:AT52"/>
    <mergeCell ref="AJ31:AK31"/>
    <mergeCell ref="AL31:AM31"/>
    <mergeCell ref="AP31:AQ31"/>
    <mergeCell ref="AU31:AV31"/>
    <mergeCell ref="AI51:AJ52"/>
    <mergeCell ref="AK51:AL51"/>
    <mergeCell ref="AM51:AO51"/>
    <mergeCell ref="AP30:AQ30"/>
    <mergeCell ref="BB59:BE59"/>
    <mergeCell ref="BB60:BE60"/>
    <mergeCell ref="AK61:AL61"/>
    <mergeCell ref="AW61:BA61"/>
    <mergeCell ref="BB61:BE61"/>
    <mergeCell ref="AK62:AL62"/>
    <mergeCell ref="AW62:BA62"/>
    <mergeCell ref="BB62:BE62"/>
    <mergeCell ref="AU59:AV63"/>
    <mergeCell ref="AW59:BA59"/>
    <mergeCell ref="AW60:BA60"/>
    <mergeCell ref="AK63:AL63"/>
    <mergeCell ref="AW63:BA63"/>
    <mergeCell ref="BB63:BE63"/>
    <mergeCell ref="AU64:AV65"/>
    <mergeCell ref="AW64:BA64"/>
    <mergeCell ref="BB64:BE64"/>
    <mergeCell ref="AK65:AL65"/>
    <mergeCell ref="AW65:BA65"/>
    <mergeCell ref="BB65:BE65"/>
    <mergeCell ref="AK66:AL66"/>
    <mergeCell ref="AK67:AL67"/>
    <mergeCell ref="AK72:AL72"/>
    <mergeCell ref="AU72:AY72"/>
    <mergeCell ref="AZ72:BE72"/>
    <mergeCell ref="AU73:AY73"/>
    <mergeCell ref="AZ73:BE73"/>
    <mergeCell ref="AI74:AJ74"/>
    <mergeCell ref="AZ67:BB67"/>
    <mergeCell ref="BC67:BE67"/>
    <mergeCell ref="AU68:AY68"/>
    <mergeCell ref="AZ68:BB68"/>
    <mergeCell ref="BC68:BE68"/>
    <mergeCell ref="AU71:AY71"/>
    <mergeCell ref="AZ71:BE71"/>
    <mergeCell ref="AK69:AL69"/>
    <mergeCell ref="AK70:AL70"/>
    <mergeCell ref="AK71:AL71"/>
  </mergeCells>
  <phoneticPr fontId="2" type="noConversion"/>
  <conditionalFormatting sqref="C8:C22">
    <cfRule type="cellIs" dxfId="529" priority="1" operator="equal">
      <formula>"여기어때"</formula>
    </cfRule>
    <cfRule type="cellIs" dxfId="528" priority="2" operator="equal">
      <formula>"야놀자"</formula>
    </cfRule>
  </conditionalFormatting>
  <conditionalFormatting sqref="C24:C67">
    <cfRule type="cellIs" dxfId="527" priority="15" operator="equal">
      <formula>"여기어때"</formula>
    </cfRule>
    <cfRule type="cellIs" dxfId="526" priority="16" operator="equal">
      <formula>"야놀자"</formula>
    </cfRule>
  </conditionalFormatting>
  <conditionalFormatting sqref="C69">
    <cfRule type="cellIs" dxfId="525" priority="3" operator="equal">
      <formula>"여기어때"</formula>
    </cfRule>
    <cfRule type="cellIs" dxfId="524" priority="4" operator="equal">
      <formula>"야놀자"</formula>
    </cfRule>
  </conditionalFormatting>
  <conditionalFormatting sqref="D70">
    <cfRule type="cellIs" dxfId="523" priority="29" operator="equal">
      <formula>"여기어때"</formula>
    </cfRule>
    <cfRule type="cellIs" dxfId="522" priority="30" operator="equal">
      <formula>"야놀자"</formula>
    </cfRule>
  </conditionalFormatting>
  <conditionalFormatting sqref="D68:E68">
    <cfRule type="cellIs" dxfId="521" priority="7" operator="equal">
      <formula>"여기어때"</formula>
    </cfRule>
    <cfRule type="cellIs" dxfId="520" priority="8" operator="equal">
      <formula>"야놀자"</formula>
    </cfRule>
  </conditionalFormatting>
  <conditionalFormatting sqref="R8:R66">
    <cfRule type="cellIs" dxfId="519" priority="81" operator="equal">
      <formula>"여기어때"</formula>
    </cfRule>
    <cfRule type="cellIs" dxfId="518" priority="82" operator="equal">
      <formula>"야놀자"</formula>
    </cfRule>
  </conditionalFormatting>
  <conditionalFormatting sqref="R73">
    <cfRule type="cellIs" dxfId="517" priority="83" operator="equal">
      <formula>"여기어때"</formula>
    </cfRule>
    <cfRule type="cellIs" dxfId="516" priority="84" operator="equal">
      <formula>"야놀자"</formula>
    </cfRule>
  </conditionalFormatting>
  <conditionalFormatting sqref="AL30:AM30">
    <cfRule type="cellIs" dxfId="515" priority="68" operator="greaterThan">
      <formula>$AL$29</formula>
    </cfRule>
    <cfRule type="cellIs" dxfId="514" priority="76" operator="equal">
      <formula>$AL$29</formula>
    </cfRule>
  </conditionalFormatting>
  <conditionalFormatting sqref="AN30:AO30">
    <cfRule type="cellIs" dxfId="513" priority="67" operator="greaterThan">
      <formula>$AN$29</formula>
    </cfRule>
    <cfRule type="cellIs" dxfId="512" priority="75" operator="equal">
      <formula>$AN$29</formula>
    </cfRule>
  </conditionalFormatting>
  <conditionalFormatting sqref="AP30:AQ30">
    <cfRule type="cellIs" dxfId="511" priority="66" operator="greaterThan">
      <formula>$AP$29</formula>
    </cfRule>
    <cfRule type="cellIs" dxfId="510" priority="74" operator="equal">
      <formula>$AP$29</formula>
    </cfRule>
  </conditionalFormatting>
  <conditionalFormatting sqref="AR30">
    <cfRule type="cellIs" dxfId="509" priority="65" operator="greaterThan">
      <formula>$AR$29</formula>
    </cfRule>
    <cfRule type="cellIs" dxfId="508" priority="73" operator="equal">
      <formula>$AR$29</formula>
    </cfRule>
  </conditionalFormatting>
  <conditionalFormatting sqref="AS30:AT30">
    <cfRule type="cellIs" dxfId="507" priority="64" operator="greaterThan">
      <formula>$AS$29</formula>
    </cfRule>
    <cfRule type="cellIs" dxfId="506" priority="72" operator="equal">
      <formula>$AS$29</formula>
    </cfRule>
  </conditionalFormatting>
  <conditionalFormatting sqref="AU30:AV30">
    <cfRule type="cellIs" dxfId="505" priority="63" operator="greaterThan">
      <formula>$AU$29</formula>
    </cfRule>
    <cfRule type="cellIs" dxfId="504" priority="71" operator="equal">
      <formula>$AU$29</formula>
    </cfRule>
  </conditionalFormatting>
  <conditionalFormatting sqref="AW30">
    <cfRule type="cellIs" dxfId="503" priority="62" operator="greaterThan">
      <formula>$AW$29</formula>
    </cfRule>
    <cfRule type="cellIs" dxfId="502" priority="70" operator="equal">
      <formula>$AW$29</formula>
    </cfRule>
  </conditionalFormatting>
  <conditionalFormatting sqref="AX30:AY30">
    <cfRule type="cellIs" dxfId="501" priority="61" operator="greaterThan">
      <formula>$AX$29</formula>
    </cfRule>
    <cfRule type="cellIs" dxfId="500" priority="69" operator="equal">
      <formula>$AX$29</formula>
    </cfRule>
  </conditionalFormatting>
  <dataValidations disablePrompts="1" count="1">
    <dataValidation type="list" allowBlank="1" showInputMessage="1" showErrorMessage="1" sqref="A8:A67 P8:P67 C75:C76 C71:C73" xr:uid="{293CAFD2-2E81-47BA-9031-A7422EFC5432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4AF1-7227-4784-9D73-DB009D10962B}">
  <sheetPr codeName="Sheet11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23" activePane="bottomLeft" state="frozen"/>
      <selection activeCell="C8" sqref="C8"/>
      <selection pane="bottomLeft" activeCell="AU59" sqref="AU59:AV63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677</v>
      </c>
      <c r="T1" s="834"/>
      <c r="U1" s="834"/>
      <c r="V1" s="834"/>
      <c r="W1" s="834"/>
      <c r="X1" s="834"/>
      <c r="Y1" s="835"/>
      <c r="Z1" s="1" t="s">
        <v>2</v>
      </c>
      <c r="AA1" s="873">
        <v>45911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2051949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28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313500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'11'!AA1</f>
        <v>45911</v>
      </c>
      <c r="AM2" s="863"/>
      <c r="AN2" s="863"/>
      <c r="AO2" s="864"/>
      <c r="AP2" s="865" t="s">
        <v>10</v>
      </c>
      <c r="AQ2" s="866"/>
      <c r="AR2" s="866"/>
      <c r="AS2" s="863">
        <f>AA1+1</f>
        <v>45912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이정경주간/양동건대체/김선우야간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2051949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315500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6</v>
      </c>
      <c r="O4" s="299">
        <f>SUM(COUNTIF(B8:B67,{201,202,203,205,206,207,208,209,506,507,508,509,601,602,603,605,606,607,608,609}))</f>
        <v>1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2</v>
      </c>
      <c r="D6" s="356">
        <f>AN31</f>
        <v>0</v>
      </c>
      <c r="E6" s="356">
        <f>AP31</f>
        <v>5</v>
      </c>
      <c r="F6" s="356">
        <f>AR31</f>
        <v>0</v>
      </c>
      <c r="G6" s="356">
        <f>AS31</f>
        <v>4</v>
      </c>
      <c r="H6" s="356">
        <f>AU31</f>
        <v>4</v>
      </c>
      <c r="I6" s="356">
        <f>AW31</f>
        <v>0</v>
      </c>
      <c r="J6" s="356">
        <f>AX31</f>
        <v>0</v>
      </c>
      <c r="K6" s="606"/>
      <c r="L6" s="607"/>
      <c r="M6" s="356"/>
      <c r="N6" s="606">
        <f>C6+D6+E6+F6+G6+H6+I6+J6+K6</f>
        <v>15</v>
      </c>
      <c r="O6" s="602"/>
      <c r="P6" s="599">
        <f>C2</f>
        <v>2051949</v>
      </c>
      <c r="Q6" s="600"/>
      <c r="R6" s="300">
        <f>AN14+AN15</f>
        <v>2000</v>
      </c>
      <c r="S6" s="300">
        <f>AZ14+AZ15</f>
        <v>0</v>
      </c>
      <c r="T6" s="300">
        <f>AR14+AR15</f>
        <v>4000</v>
      </c>
      <c r="U6" s="609">
        <f>AS60</f>
        <v>380000</v>
      </c>
      <c r="V6" s="600"/>
      <c r="W6" s="609">
        <f>AS61</f>
        <v>450000</v>
      </c>
      <c r="X6" s="600"/>
      <c r="Y6" s="609">
        <f>AS62</f>
        <v>0</v>
      </c>
      <c r="Z6" s="600"/>
      <c r="AA6" s="300">
        <f>AS63</f>
        <v>0</v>
      </c>
      <c r="AB6" s="300">
        <f>AS66</f>
        <v>285600</v>
      </c>
      <c r="AC6" s="300">
        <f>AS67</f>
        <v>122848</v>
      </c>
      <c r="AD6" s="300">
        <f>SUMIFS(O7:O47,C7:C47,"트립")</f>
        <v>108375</v>
      </c>
      <c r="AE6" s="300">
        <f>AS65</f>
        <v>385626</v>
      </c>
      <c r="AF6" s="300">
        <f>AS69</f>
        <v>154000</v>
      </c>
      <c r="AG6" s="300">
        <f>AS70</f>
        <v>159500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458">
        <v>1</v>
      </c>
      <c r="B8" s="319">
        <v>907</v>
      </c>
      <c r="C8" s="230" t="s">
        <v>300</v>
      </c>
      <c r="D8" s="231" t="s">
        <v>387</v>
      </c>
      <c r="E8" s="215"/>
      <c r="F8" s="231" t="s">
        <v>324</v>
      </c>
      <c r="G8" s="232" t="s">
        <v>163</v>
      </c>
      <c r="H8" s="215" t="s">
        <v>164</v>
      </c>
      <c r="I8" s="215" t="s">
        <v>165</v>
      </c>
      <c r="J8" s="215" t="s">
        <v>335</v>
      </c>
      <c r="K8" s="215"/>
      <c r="L8" s="234"/>
      <c r="M8" s="234"/>
      <c r="N8" s="234"/>
      <c r="O8" s="218">
        <v>153000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458">
        <v>2</v>
      </c>
      <c r="B9" s="319">
        <v>809</v>
      </c>
      <c r="C9" s="230" t="s">
        <v>300</v>
      </c>
      <c r="D9" s="231" t="s">
        <v>388</v>
      </c>
      <c r="E9" s="215"/>
      <c r="F9" s="231" t="s">
        <v>324</v>
      </c>
      <c r="G9" s="232" t="s">
        <v>163</v>
      </c>
      <c r="H9" s="215" t="s">
        <v>164</v>
      </c>
      <c r="I9" s="215" t="s">
        <v>165</v>
      </c>
      <c r="J9" s="215" t="s">
        <v>287</v>
      </c>
      <c r="K9" s="215"/>
      <c r="L9" s="234"/>
      <c r="M9" s="234"/>
      <c r="N9" s="234"/>
      <c r="O9" s="219">
        <v>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458">
        <v>3</v>
      </c>
      <c r="B10" s="319">
        <v>902</v>
      </c>
      <c r="C10" s="230" t="s">
        <v>301</v>
      </c>
      <c r="D10" s="231" t="s">
        <v>336</v>
      </c>
      <c r="E10" s="215"/>
      <c r="F10" s="231" t="s">
        <v>324</v>
      </c>
      <c r="G10" s="232" t="s">
        <v>283</v>
      </c>
      <c r="H10" s="215" t="s">
        <v>164</v>
      </c>
      <c r="I10" s="215" t="s">
        <v>165</v>
      </c>
      <c r="J10" s="233" t="s">
        <v>287</v>
      </c>
      <c r="K10" s="215"/>
      <c r="L10" s="234"/>
      <c r="M10" s="234"/>
      <c r="N10" s="234"/>
      <c r="O10" s="219">
        <v>108375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28</v>
      </c>
      <c r="AU10" s="625"/>
      <c r="AV10" s="625">
        <f>SUM(O8:O67)</f>
        <v>2045949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28</v>
      </c>
      <c r="BC10" s="799"/>
      <c r="BD10" s="800">
        <f>SUM(AN10+AR10+AV10+AZ10)</f>
        <v>2045949</v>
      </c>
      <c r="BE10" s="801"/>
    </row>
    <row r="11" spans="1:58" ht="64.5" customHeight="1" x14ac:dyDescent="0.3">
      <c r="A11" s="458">
        <v>4</v>
      </c>
      <c r="B11" s="319">
        <v>1105</v>
      </c>
      <c r="C11" s="230" t="s">
        <v>412</v>
      </c>
      <c r="D11" s="231" t="s">
        <v>326</v>
      </c>
      <c r="E11" s="215"/>
      <c r="F11" s="231" t="s">
        <v>316</v>
      </c>
      <c r="G11" s="232" t="s">
        <v>283</v>
      </c>
      <c r="H11" s="215" t="s">
        <v>164</v>
      </c>
      <c r="I11" s="215" t="s">
        <v>165</v>
      </c>
      <c r="J11" s="233" t="s">
        <v>304</v>
      </c>
      <c r="K11" s="215" t="s">
        <v>688</v>
      </c>
      <c r="L11" s="234"/>
      <c r="M11" s="234"/>
      <c r="N11" s="234"/>
      <c r="O11" s="224">
        <v>77000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458">
        <v>5</v>
      </c>
      <c r="B12" s="319">
        <v>409</v>
      </c>
      <c r="C12" s="230" t="s">
        <v>300</v>
      </c>
      <c r="D12" s="231" t="s">
        <v>483</v>
      </c>
      <c r="E12" s="215" t="s">
        <v>318</v>
      </c>
      <c r="F12" s="231" t="s">
        <v>161</v>
      </c>
      <c r="G12" s="232" t="s">
        <v>283</v>
      </c>
      <c r="H12" s="215" t="s">
        <v>164</v>
      </c>
      <c r="I12" s="215" t="s">
        <v>165</v>
      </c>
      <c r="J12" s="233" t="s">
        <v>299</v>
      </c>
      <c r="K12" s="215"/>
      <c r="L12" s="234"/>
      <c r="M12" s="234"/>
      <c r="N12" s="234"/>
      <c r="O12" s="220">
        <v>66300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458">
        <v>6</v>
      </c>
      <c r="B13" s="319">
        <v>906</v>
      </c>
      <c r="C13" s="230" t="s">
        <v>522</v>
      </c>
      <c r="D13" s="304" t="s">
        <v>523</v>
      </c>
      <c r="E13" s="305"/>
      <c r="F13" s="304" t="s">
        <v>643</v>
      </c>
      <c r="G13" s="232" t="s">
        <v>490</v>
      </c>
      <c r="H13" s="215" t="s">
        <v>164</v>
      </c>
      <c r="I13" s="215" t="s">
        <v>165</v>
      </c>
      <c r="J13" s="233" t="s">
        <v>189</v>
      </c>
      <c r="K13" s="215"/>
      <c r="L13" s="234"/>
      <c r="M13" s="234"/>
      <c r="N13" s="234"/>
      <c r="O13" s="218">
        <v>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458">
        <v>7</v>
      </c>
      <c r="B14" s="319">
        <v>309</v>
      </c>
      <c r="C14" s="230" t="s">
        <v>514</v>
      </c>
      <c r="D14" s="231" t="s">
        <v>560</v>
      </c>
      <c r="E14" s="215"/>
      <c r="F14" s="231" t="s">
        <v>55</v>
      </c>
      <c r="G14" s="232" t="s">
        <v>490</v>
      </c>
      <c r="H14" s="215" t="s">
        <v>164</v>
      </c>
      <c r="I14" s="215" t="s">
        <v>165</v>
      </c>
      <c r="J14" s="233" t="s">
        <v>189</v>
      </c>
      <c r="K14" s="215"/>
      <c r="L14" s="234"/>
      <c r="M14" s="234"/>
      <c r="N14" s="234"/>
      <c r="O14" s="218">
        <v>65000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28</v>
      </c>
      <c r="AU14" s="653"/>
      <c r="AV14" s="653">
        <f>SUM(AV10:AW13)</f>
        <v>2045949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28</v>
      </c>
      <c r="BC14" s="655"/>
      <c r="BD14" s="782">
        <f>SUM(BD10:BE13)</f>
        <v>2045949</v>
      </c>
      <c r="BE14" s="783"/>
    </row>
    <row r="15" spans="1:58" ht="64.5" customHeight="1" thickBot="1" x14ac:dyDescent="0.35">
      <c r="A15" s="458">
        <v>8</v>
      </c>
      <c r="B15" s="319">
        <v>308</v>
      </c>
      <c r="C15" s="230" t="s">
        <v>491</v>
      </c>
      <c r="D15" s="231" t="s">
        <v>559</v>
      </c>
      <c r="E15" s="214"/>
      <c r="F15" s="231" t="s">
        <v>501</v>
      </c>
      <c r="G15" s="232" t="s">
        <v>509</v>
      </c>
      <c r="H15" s="215" t="s">
        <v>164</v>
      </c>
      <c r="I15" s="215" t="s">
        <v>165</v>
      </c>
      <c r="J15" s="233" t="s">
        <v>189</v>
      </c>
      <c r="K15" s="215"/>
      <c r="L15" s="234"/>
      <c r="M15" s="234"/>
      <c r="N15" s="234"/>
      <c r="O15" s="218">
        <v>135000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3</v>
      </c>
      <c r="BC15" s="633"/>
      <c r="BD15" s="776">
        <f>SUM(AN15+AR15+AV15+AZ15)</f>
        <v>6000</v>
      </c>
      <c r="BE15" s="777"/>
    </row>
    <row r="16" spans="1:58" ht="64.5" customHeight="1" thickBot="1" x14ac:dyDescent="0.35">
      <c r="A16" s="458">
        <v>9</v>
      </c>
      <c r="B16" s="319">
        <v>1216</v>
      </c>
      <c r="C16" s="380" t="s">
        <v>508</v>
      </c>
      <c r="D16" s="304" t="s">
        <v>593</v>
      </c>
      <c r="E16" s="215" t="s">
        <v>363</v>
      </c>
      <c r="F16" s="304" t="s">
        <v>159</v>
      </c>
      <c r="G16" s="381" t="s">
        <v>490</v>
      </c>
      <c r="H16" s="215" t="s">
        <v>164</v>
      </c>
      <c r="I16" s="215" t="s">
        <v>165</v>
      </c>
      <c r="J16" s="215" t="s">
        <v>193</v>
      </c>
      <c r="K16" s="305"/>
      <c r="L16" s="303"/>
      <c r="M16" s="303"/>
      <c r="N16" s="303"/>
      <c r="O16" s="317">
        <v>66300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2051949</v>
      </c>
      <c r="BE16" s="652"/>
      <c r="BF16" s="10"/>
    </row>
    <row r="17" spans="1:62" ht="64.5" customHeight="1" thickBot="1" x14ac:dyDescent="0.35">
      <c r="A17" s="458">
        <v>10</v>
      </c>
      <c r="B17" s="319">
        <v>811</v>
      </c>
      <c r="C17" s="230" t="s">
        <v>514</v>
      </c>
      <c r="D17" s="231" t="s">
        <v>600</v>
      </c>
      <c r="E17" s="215"/>
      <c r="F17" s="231" t="s">
        <v>158</v>
      </c>
      <c r="G17" s="381" t="s">
        <v>490</v>
      </c>
      <c r="H17" s="215" t="s">
        <v>164</v>
      </c>
      <c r="I17" s="215" t="s">
        <v>165</v>
      </c>
      <c r="J17" s="215" t="s">
        <v>193</v>
      </c>
      <c r="K17" s="215"/>
      <c r="L17" s="234"/>
      <c r="M17" s="234"/>
      <c r="N17" s="234"/>
      <c r="O17" s="218">
        <v>65000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458">
        <v>11</v>
      </c>
      <c r="B18" s="319">
        <v>307</v>
      </c>
      <c r="C18" s="230" t="s">
        <v>730</v>
      </c>
      <c r="D18" s="231" t="s">
        <v>621</v>
      </c>
      <c r="E18" s="215"/>
      <c r="F18" s="231" t="s">
        <v>619</v>
      </c>
      <c r="G18" s="232" t="s">
        <v>616</v>
      </c>
      <c r="H18" s="215" t="s">
        <v>164</v>
      </c>
      <c r="I18" s="215" t="s">
        <v>165</v>
      </c>
      <c r="J18" s="215" t="s">
        <v>617</v>
      </c>
      <c r="K18" s="215"/>
      <c r="L18" s="234"/>
      <c r="M18" s="234"/>
      <c r="N18" s="234"/>
      <c r="O18" s="218">
        <v>71500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458">
        <v>12</v>
      </c>
      <c r="B19" s="319">
        <v>1004</v>
      </c>
      <c r="C19" s="230" t="s">
        <v>620</v>
      </c>
      <c r="D19" s="231" t="s">
        <v>629</v>
      </c>
      <c r="E19" s="215" t="s">
        <v>318</v>
      </c>
      <c r="F19" s="231" t="s">
        <v>167</v>
      </c>
      <c r="G19" s="232" t="s">
        <v>616</v>
      </c>
      <c r="H19" s="215" t="s">
        <v>164</v>
      </c>
      <c r="I19" s="215" t="s">
        <v>165</v>
      </c>
      <c r="J19" s="233" t="s">
        <v>189</v>
      </c>
      <c r="K19" s="215"/>
      <c r="L19" s="234"/>
      <c r="M19" s="234"/>
      <c r="N19" s="234"/>
      <c r="O19" s="224">
        <v>65000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458">
        <v>13</v>
      </c>
      <c r="B20" s="319">
        <v>1107</v>
      </c>
      <c r="C20" s="230" t="s">
        <v>630</v>
      </c>
      <c r="D20" s="231" t="s">
        <v>631</v>
      </c>
      <c r="E20" s="215" t="s">
        <v>553</v>
      </c>
      <c r="F20" s="231" t="s">
        <v>167</v>
      </c>
      <c r="G20" s="232" t="s">
        <v>616</v>
      </c>
      <c r="H20" s="215" t="s">
        <v>164</v>
      </c>
      <c r="I20" s="215" t="s">
        <v>165</v>
      </c>
      <c r="J20" s="233" t="s">
        <v>189</v>
      </c>
      <c r="K20" s="215"/>
      <c r="L20" s="234"/>
      <c r="M20" s="234"/>
      <c r="N20" s="234"/>
      <c r="O20" s="220">
        <v>63695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3</v>
      </c>
      <c r="AY20" s="647"/>
      <c r="AZ20" s="648">
        <f>SUM(AJ20+AN20+AR20+AV20)</f>
        <v>6000</v>
      </c>
      <c r="BA20" s="649"/>
      <c r="BB20" s="10"/>
      <c r="BC20" s="10"/>
      <c r="BD20" s="10"/>
      <c r="BE20" s="10"/>
    </row>
    <row r="21" spans="1:62" ht="64.5" customHeight="1" x14ac:dyDescent="0.3">
      <c r="A21" s="458">
        <v>14</v>
      </c>
      <c r="B21" s="319">
        <v>1206</v>
      </c>
      <c r="C21" s="230" t="s">
        <v>637</v>
      </c>
      <c r="D21" s="231" t="s">
        <v>638</v>
      </c>
      <c r="E21" s="215"/>
      <c r="F21" s="231" t="s">
        <v>639</v>
      </c>
      <c r="G21" s="232" t="s">
        <v>616</v>
      </c>
      <c r="H21" s="215" t="s">
        <v>164</v>
      </c>
      <c r="I21" s="215" t="s">
        <v>165</v>
      </c>
      <c r="J21" s="233" t="s">
        <v>189</v>
      </c>
      <c r="K21" s="215" t="s">
        <v>710</v>
      </c>
      <c r="L21" s="234"/>
      <c r="M21" s="234"/>
      <c r="N21" s="234"/>
      <c r="O21" s="220">
        <v>77000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458">
        <v>15</v>
      </c>
      <c r="B22" s="319">
        <v>615</v>
      </c>
      <c r="C22" s="230" t="s">
        <v>620</v>
      </c>
      <c r="D22" s="231" t="s">
        <v>641</v>
      </c>
      <c r="E22" s="215" t="s">
        <v>627</v>
      </c>
      <c r="F22" s="304" t="s">
        <v>159</v>
      </c>
      <c r="G22" s="232" t="s">
        <v>616</v>
      </c>
      <c r="H22" s="215" t="s">
        <v>164</v>
      </c>
      <c r="I22" s="215" t="s">
        <v>165</v>
      </c>
      <c r="J22" s="233" t="s">
        <v>189</v>
      </c>
      <c r="K22" s="215" t="s">
        <v>710</v>
      </c>
      <c r="L22" s="234"/>
      <c r="M22" s="234"/>
      <c r="N22" s="234"/>
      <c r="O22" s="218">
        <v>60000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458">
        <v>16</v>
      </c>
      <c r="B23" s="466">
        <v>713</v>
      </c>
      <c r="C23" s="255" t="s">
        <v>630</v>
      </c>
      <c r="D23" s="265" t="s">
        <v>718</v>
      </c>
      <c r="E23" s="215" t="s">
        <v>676</v>
      </c>
      <c r="F23" s="265" t="s">
        <v>159</v>
      </c>
      <c r="G23" s="267" t="s">
        <v>616</v>
      </c>
      <c r="H23" s="266" t="s">
        <v>164</v>
      </c>
      <c r="I23" s="266" t="s">
        <v>165</v>
      </c>
      <c r="J23" s="269" t="s">
        <v>189</v>
      </c>
      <c r="K23" s="266"/>
      <c r="L23" s="257"/>
      <c r="M23" s="257"/>
      <c r="N23" s="257"/>
      <c r="O23" s="223">
        <v>59153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458">
        <v>17</v>
      </c>
      <c r="B24" s="319">
        <v>1111</v>
      </c>
      <c r="C24" s="230" t="s">
        <v>666</v>
      </c>
      <c r="D24" s="231" t="s">
        <v>667</v>
      </c>
      <c r="E24" s="215" t="s">
        <v>669</v>
      </c>
      <c r="F24" s="231" t="s">
        <v>668</v>
      </c>
      <c r="G24" s="267" t="s">
        <v>163</v>
      </c>
      <c r="H24" s="215" t="s">
        <v>164</v>
      </c>
      <c r="I24" s="215" t="s">
        <v>165</v>
      </c>
      <c r="J24" s="233" t="s">
        <v>189</v>
      </c>
      <c r="K24" s="238"/>
      <c r="L24" s="234"/>
      <c r="M24" s="234"/>
      <c r="N24" s="234"/>
      <c r="O24" s="218">
        <v>65000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3</v>
      </c>
      <c r="AY24" s="647"/>
      <c r="AZ24" s="648">
        <f>SUM(AZ20:BA23)</f>
        <v>6000</v>
      </c>
      <c r="BA24" s="649"/>
      <c r="BB24" s="10"/>
      <c r="BC24" s="10"/>
      <c r="BD24" s="10"/>
      <c r="BE24" s="10"/>
    </row>
    <row r="25" spans="1:62" ht="64.5" customHeight="1" thickBot="1" x14ac:dyDescent="0.35">
      <c r="A25" s="458">
        <v>18</v>
      </c>
      <c r="B25" s="319">
        <v>506</v>
      </c>
      <c r="C25" s="230" t="s">
        <v>666</v>
      </c>
      <c r="D25" s="231" t="s">
        <v>670</v>
      </c>
      <c r="E25" s="215" t="s">
        <v>669</v>
      </c>
      <c r="F25" s="231" t="s">
        <v>678</v>
      </c>
      <c r="G25" s="267" t="s">
        <v>163</v>
      </c>
      <c r="H25" s="215" t="s">
        <v>164</v>
      </c>
      <c r="I25" s="215" t="s">
        <v>165</v>
      </c>
      <c r="J25" s="233" t="s">
        <v>189</v>
      </c>
      <c r="K25" s="215"/>
      <c r="L25" s="234"/>
      <c r="M25" s="234"/>
      <c r="N25" s="234"/>
      <c r="O25" s="218">
        <v>65000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458">
        <v>19</v>
      </c>
      <c r="B26" s="319">
        <v>1011</v>
      </c>
      <c r="C26" s="230" t="s">
        <v>671</v>
      </c>
      <c r="D26" s="231" t="s">
        <v>672</v>
      </c>
      <c r="E26" s="215" t="s">
        <v>166</v>
      </c>
      <c r="F26" s="231" t="s">
        <v>668</v>
      </c>
      <c r="G26" s="232" t="s">
        <v>673</v>
      </c>
      <c r="H26" s="215" t="s">
        <v>164</v>
      </c>
      <c r="I26" s="215" t="s">
        <v>165</v>
      </c>
      <c r="J26" s="233" t="s">
        <v>189</v>
      </c>
      <c r="K26" s="215"/>
      <c r="L26" s="234"/>
      <c r="M26" s="234"/>
      <c r="N26" s="234"/>
      <c r="O26" s="219">
        <v>60000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458">
        <v>20</v>
      </c>
      <c r="B27" s="465">
        <v>805</v>
      </c>
      <c r="C27" s="230" t="s">
        <v>73</v>
      </c>
      <c r="D27" s="231" t="s">
        <v>679</v>
      </c>
      <c r="E27" s="215" t="s">
        <v>553</v>
      </c>
      <c r="F27" s="231" t="s">
        <v>678</v>
      </c>
      <c r="G27" s="232" t="s">
        <v>673</v>
      </c>
      <c r="H27" s="215" t="s">
        <v>164</v>
      </c>
      <c r="I27" s="215" t="s">
        <v>165</v>
      </c>
      <c r="J27" s="233" t="s">
        <v>189</v>
      </c>
      <c r="K27" s="215"/>
      <c r="L27" s="234"/>
      <c r="M27" s="234"/>
      <c r="N27" s="234"/>
      <c r="O27" s="220">
        <v>70000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E27" s="10"/>
    </row>
    <row r="28" spans="1:62" ht="64.5" customHeight="1" thickBot="1" x14ac:dyDescent="0.35">
      <c r="A28" s="458">
        <v>21</v>
      </c>
      <c r="B28" s="466">
        <v>911</v>
      </c>
      <c r="C28" s="230" t="s">
        <v>686</v>
      </c>
      <c r="D28" s="231" t="s">
        <v>687</v>
      </c>
      <c r="E28" s="215" t="s">
        <v>166</v>
      </c>
      <c r="F28" s="231" t="s">
        <v>690</v>
      </c>
      <c r="G28" s="232" t="s">
        <v>688</v>
      </c>
      <c r="H28" s="215" t="s">
        <v>164</v>
      </c>
      <c r="I28" s="215" t="s">
        <v>165</v>
      </c>
      <c r="J28" s="233" t="s">
        <v>189</v>
      </c>
      <c r="K28" s="215"/>
      <c r="L28" s="234"/>
      <c r="M28" s="234"/>
      <c r="N28" s="234"/>
      <c r="O28" s="218">
        <v>60000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458">
        <v>22</v>
      </c>
      <c r="B29" s="319">
        <v>1215</v>
      </c>
      <c r="C29" s="230" t="s">
        <v>686</v>
      </c>
      <c r="D29" s="231" t="s">
        <v>694</v>
      </c>
      <c r="E29" s="215" t="s">
        <v>695</v>
      </c>
      <c r="F29" s="231" t="s">
        <v>696</v>
      </c>
      <c r="G29" s="232" t="s">
        <v>688</v>
      </c>
      <c r="H29" s="215" t="s">
        <v>164</v>
      </c>
      <c r="I29" s="215" t="s">
        <v>165</v>
      </c>
      <c r="J29" s="233" t="s">
        <v>189</v>
      </c>
      <c r="K29" s="215"/>
      <c r="L29" s="234"/>
      <c r="M29" s="234"/>
      <c r="N29" s="234"/>
      <c r="O29" s="218">
        <v>60000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6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458">
        <v>23</v>
      </c>
      <c r="B30" s="319">
        <v>1214</v>
      </c>
      <c r="C30" s="230" t="s">
        <v>689</v>
      </c>
      <c r="D30" s="231" t="s">
        <v>701</v>
      </c>
      <c r="E30" s="215" t="s">
        <v>166</v>
      </c>
      <c r="F30" s="231" t="s">
        <v>696</v>
      </c>
      <c r="G30" s="232" t="s">
        <v>688</v>
      </c>
      <c r="H30" s="215" t="s">
        <v>164</v>
      </c>
      <c r="I30" s="215" t="s">
        <v>165</v>
      </c>
      <c r="J30" s="233" t="s">
        <v>189</v>
      </c>
      <c r="K30" s="215"/>
      <c r="L30" s="234"/>
      <c r="M30" s="234"/>
      <c r="N30" s="234"/>
      <c r="O30" s="218">
        <v>60000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4</v>
      </c>
      <c r="AM30" s="828"/>
      <c r="AN30" s="829">
        <f>COUNTIF(F8:F67,"b")</f>
        <v>4</v>
      </c>
      <c r="AO30" s="829"/>
      <c r="AP30" s="830">
        <f>COUNTIF(F8:F67,"at")</f>
        <v>5</v>
      </c>
      <c r="AQ30" s="830"/>
      <c r="AR30" s="323">
        <f>COUNTIF(F8:F67,"aD")</f>
        <v>2</v>
      </c>
      <c r="AS30" s="830">
        <f>COUNTIF(F8:F67,"sd")</f>
        <v>7</v>
      </c>
      <c r="AT30" s="830"/>
      <c r="AU30" s="830">
        <f>COUNTIF(F8:F67,"st")</f>
        <v>1</v>
      </c>
      <c r="AV30" s="830"/>
      <c r="AW30" s="324">
        <f>COUNTIF(F8:F67,"v")</f>
        <v>5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458">
        <v>24</v>
      </c>
      <c r="B31" s="319">
        <v>401</v>
      </c>
      <c r="C31" s="230" t="s">
        <v>730</v>
      </c>
      <c r="D31" s="231" t="s">
        <v>711</v>
      </c>
      <c r="E31" s="215"/>
      <c r="F31" s="231" t="s">
        <v>704</v>
      </c>
      <c r="G31" s="232" t="s">
        <v>688</v>
      </c>
      <c r="H31" s="215" t="s">
        <v>164</v>
      </c>
      <c r="I31" s="215" t="s">
        <v>165</v>
      </c>
      <c r="J31" s="233" t="s">
        <v>189</v>
      </c>
      <c r="K31" s="215"/>
      <c r="L31" s="234"/>
      <c r="M31" s="234"/>
      <c r="N31" s="234"/>
      <c r="O31" s="218">
        <v>88000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2</v>
      </c>
      <c r="AM31" s="815"/>
      <c r="AN31" s="816">
        <f>AN29-AN30</f>
        <v>0</v>
      </c>
      <c r="AO31" s="816"/>
      <c r="AP31" s="817">
        <f>AP29-AP30</f>
        <v>5</v>
      </c>
      <c r="AQ31" s="817"/>
      <c r="AR31" s="322">
        <f>AR29-AR30</f>
        <v>0</v>
      </c>
      <c r="AS31" s="817">
        <f>AS29-AS30</f>
        <v>4</v>
      </c>
      <c r="AT31" s="817"/>
      <c r="AU31" s="817">
        <f>AU29-AU30</f>
        <v>4</v>
      </c>
      <c r="AV31" s="817"/>
      <c r="AW31" s="322">
        <f>AW29-AW30</f>
        <v>0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>
        <v>305</v>
      </c>
      <c r="C32" s="446" t="s">
        <v>135</v>
      </c>
      <c r="D32" s="304" t="s">
        <v>426</v>
      </c>
      <c r="E32" s="305" t="s">
        <v>425</v>
      </c>
      <c r="F32" s="304" t="s">
        <v>55</v>
      </c>
      <c r="G32" s="381" t="s">
        <v>367</v>
      </c>
      <c r="H32" s="215" t="s">
        <v>164</v>
      </c>
      <c r="I32" s="215" t="s">
        <v>165</v>
      </c>
      <c r="J32" s="233" t="s">
        <v>189</v>
      </c>
      <c r="K32" s="238"/>
      <c r="L32" s="234"/>
      <c r="M32" s="234"/>
      <c r="N32" s="234"/>
      <c r="O32" s="218">
        <v>385626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232"/>
      <c r="H33" s="215"/>
      <c r="I33" s="215"/>
      <c r="J33" s="215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33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37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0"/>
      <c r="E39" s="214"/>
      <c r="F39" s="231"/>
      <c r="G39" s="232"/>
      <c r="H39" s="215"/>
      <c r="I39" s="215"/>
      <c r="J39" s="233"/>
      <c r="K39" s="215"/>
      <c r="L39" s="234"/>
      <c r="M39" s="234"/>
      <c r="N39" s="234"/>
      <c r="O39" s="219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19"/>
      <c r="C40" s="230"/>
      <c r="D40" s="231"/>
      <c r="E40" s="214"/>
      <c r="F40" s="231"/>
      <c r="G40" s="232"/>
      <c r="H40" s="215"/>
      <c r="I40" s="215"/>
      <c r="J40" s="233"/>
      <c r="K40" s="215"/>
      <c r="L40" s="234"/>
      <c r="M40" s="234"/>
      <c r="N40" s="234"/>
      <c r="O40" s="220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1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232"/>
      <c r="H43" s="215"/>
      <c r="I43" s="215"/>
      <c r="J43" s="233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/>
      <c r="C44" s="230"/>
      <c r="D44" s="231"/>
      <c r="E44" s="215"/>
      <c r="F44" s="231"/>
      <c r="G44" s="232"/>
      <c r="H44" s="215"/>
      <c r="I44" s="215"/>
      <c r="J44" s="233"/>
      <c r="K44" s="215"/>
      <c r="L44" s="234"/>
      <c r="M44" s="234"/>
      <c r="N44" s="234"/>
      <c r="O44" s="218"/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701</v>
      </c>
      <c r="C45" s="230" t="s">
        <v>176</v>
      </c>
      <c r="D45" s="231" t="s">
        <v>568</v>
      </c>
      <c r="E45" s="215"/>
      <c r="F45" s="231" t="s">
        <v>161</v>
      </c>
      <c r="G45" s="232" t="s">
        <v>172</v>
      </c>
      <c r="H45" s="215" t="s">
        <v>164</v>
      </c>
      <c r="I45" s="215" t="s">
        <v>165</v>
      </c>
      <c r="J45" s="215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501</v>
      </c>
      <c r="C46" s="380" t="s">
        <v>298</v>
      </c>
      <c r="D46" s="304" t="s">
        <v>416</v>
      </c>
      <c r="E46" s="305"/>
      <c r="F46" s="304" t="s">
        <v>294</v>
      </c>
      <c r="G46" s="381" t="s">
        <v>291</v>
      </c>
      <c r="H46" s="215" t="s">
        <v>285</v>
      </c>
      <c r="I46" s="215" t="s">
        <v>286</v>
      </c>
      <c r="J46" s="215" t="s">
        <v>287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thickBot="1" x14ac:dyDescent="0.35">
      <c r="A47" s="228">
        <v>40</v>
      </c>
      <c r="B47" s="273">
        <v>1210</v>
      </c>
      <c r="C47" s="274" t="s">
        <v>292</v>
      </c>
      <c r="D47" s="436" t="s">
        <v>307</v>
      </c>
      <c r="E47" s="276"/>
      <c r="F47" s="275" t="s">
        <v>294</v>
      </c>
      <c r="G47" s="277" t="s">
        <v>310</v>
      </c>
      <c r="H47" s="276" t="s">
        <v>164</v>
      </c>
      <c r="I47" s="276" t="s">
        <v>165</v>
      </c>
      <c r="J47" s="278" t="s">
        <v>304</v>
      </c>
      <c r="K47" s="276"/>
      <c r="L47" s="279"/>
      <c r="M47" s="279"/>
      <c r="N47" s="279"/>
      <c r="O47" s="280">
        <v>0</v>
      </c>
      <c r="P47" s="281">
        <v>40</v>
      </c>
      <c r="Q47" s="273"/>
      <c r="R47" s="274"/>
      <c r="S47" s="275"/>
      <c r="T47" s="276"/>
      <c r="U47" s="275"/>
      <c r="V47" s="276"/>
      <c r="W47" s="276"/>
      <c r="X47" s="278"/>
      <c r="Y47" s="282"/>
      <c r="Z47" s="283"/>
      <c r="AA47" s="283"/>
      <c r="AB47" s="279"/>
      <c r="AC47" s="279"/>
      <c r="AD47" s="279"/>
      <c r="AE47" s="283"/>
      <c r="AF47" s="339"/>
      <c r="AG47" s="28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64"/>
      <c r="C48" s="255"/>
      <c r="D48" s="265"/>
      <c r="E48" s="266"/>
      <c r="F48" s="265"/>
      <c r="G48" s="267"/>
      <c r="H48" s="266"/>
      <c r="I48" s="266"/>
      <c r="J48" s="266"/>
      <c r="K48" s="266"/>
      <c r="L48" s="257"/>
      <c r="M48" s="257"/>
      <c r="N48" s="257"/>
      <c r="O48" s="223"/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x14ac:dyDescent="0.3">
      <c r="A49" s="228">
        <v>42</v>
      </c>
      <c r="B49" s="242"/>
      <c r="C49" s="230"/>
      <c r="D49" s="231"/>
      <c r="E49" s="215"/>
      <c r="F49" s="231"/>
      <c r="G49" s="232"/>
      <c r="H49" s="215"/>
      <c r="I49" s="215"/>
      <c r="J49" s="215"/>
      <c r="K49" s="215"/>
      <c r="L49" s="234"/>
      <c r="M49" s="234"/>
      <c r="N49" s="234"/>
      <c r="O49" s="218"/>
      <c r="P49" s="228">
        <v>42</v>
      </c>
      <c r="Q49" s="242"/>
      <c r="R49" s="230"/>
      <c r="S49" s="231"/>
      <c r="T49" s="215"/>
      <c r="U49" s="231"/>
      <c r="V49" s="215"/>
      <c r="W49" s="215"/>
      <c r="X49" s="233"/>
      <c r="Y49" s="237"/>
      <c r="Z49" s="238"/>
      <c r="AA49" s="238"/>
      <c r="AB49" s="234"/>
      <c r="AC49" s="234"/>
      <c r="AD49" s="234"/>
      <c r="AE49" s="238"/>
      <c r="AF49" s="302"/>
      <c r="AG49" s="225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2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3</v>
      </c>
      <c r="BB54" s="681"/>
      <c r="BC54" s="679">
        <f>AZ24</f>
        <v>6000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3</v>
      </c>
      <c r="BB55" s="681"/>
      <c r="BC55" s="679">
        <f>SUM(BC53:BE54)</f>
        <v>6000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7</v>
      </c>
      <c r="AQ60" s="56">
        <f>SUMIF($C$8:$C$72, $AK60, $L$8:$L$72)+SUMIF($C$8:$C$72, $AK60, $M$8:$M$72)+SUMIF($C$8:$C$72, $AK60, $N$8:$N$72)+SUMIF($C$8:$C$72, $AK60, $O$8:$O$72)</f>
        <v>380000</v>
      </c>
      <c r="AR60" s="57">
        <f>AQ60*0.9</f>
        <v>342000</v>
      </c>
      <c r="AS60" s="58">
        <f t="shared" ref="AS60:AS70" si="4">SUM(AN60+AQ60)</f>
        <v>380000</v>
      </c>
      <c r="AT60" s="59">
        <f t="shared" ref="AT60:AT70" si="5">AO60+AR60</f>
        <v>342000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6</v>
      </c>
      <c r="AQ61" s="56">
        <f t="shared" ref="AQ61:AQ70" si="8">SUMIF($C$8:$C$72, $AK61, $L$8:$L$72)+SUMIF($C$8:$C$72, $AK61, $M$8:$M$72)+SUMIF($C$8:$C$72, $AK61, $N$8:$N$72)+SUMIF($C$8:$C$72, $AK61, $O$8:$O$72)</f>
        <v>450000</v>
      </c>
      <c r="AR61" s="57">
        <f t="shared" ref="AR61:AR70" si="9">AQ61*0.9</f>
        <v>405000</v>
      </c>
      <c r="AS61" s="58">
        <f t="shared" si="4"/>
        <v>450000</v>
      </c>
      <c r="AT61" s="59">
        <f t="shared" si="5"/>
        <v>405000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385626</v>
      </c>
      <c r="AR65" s="57">
        <f t="shared" si="9"/>
        <v>347063.4</v>
      </c>
      <c r="AS65" s="58">
        <f t="shared" si="4"/>
        <v>385626</v>
      </c>
      <c r="AT65" s="59">
        <f t="shared" si="5"/>
        <v>347063.4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4</v>
      </c>
      <c r="AQ66" s="56">
        <f t="shared" si="8"/>
        <v>285600</v>
      </c>
      <c r="AR66" s="57">
        <f t="shared" si="9"/>
        <v>257040</v>
      </c>
      <c r="AS66" s="58">
        <f t="shared" si="4"/>
        <v>285600</v>
      </c>
      <c r="AT66" s="59">
        <f t="shared" si="5"/>
        <v>257040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3</v>
      </c>
      <c r="AQ67" s="56">
        <f t="shared" si="8"/>
        <v>122848</v>
      </c>
      <c r="AR67" s="57">
        <f t="shared" si="9"/>
        <v>110563.2</v>
      </c>
      <c r="AS67" s="58">
        <f t="shared" si="4"/>
        <v>122848</v>
      </c>
      <c r="AT67" s="59">
        <f t="shared" si="5"/>
        <v>110563.2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108375</v>
      </c>
      <c r="AR68" s="57">
        <f t="shared" si="9"/>
        <v>97537.5</v>
      </c>
      <c r="AS68" s="58">
        <f t="shared" si="4"/>
        <v>108375</v>
      </c>
      <c r="AT68" s="59">
        <f t="shared" si="5"/>
        <v>97537.5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2045949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3</v>
      </c>
      <c r="AQ69" s="56">
        <f t="shared" si="8"/>
        <v>154000</v>
      </c>
      <c r="AR69" s="57">
        <f t="shared" si="9"/>
        <v>138600</v>
      </c>
      <c r="AS69" s="58">
        <f t="shared" si="4"/>
        <v>154000</v>
      </c>
      <c r="AT69" s="59">
        <f t="shared" si="5"/>
        <v>138600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2</v>
      </c>
      <c r="AQ70" s="56">
        <f t="shared" si="8"/>
        <v>159500</v>
      </c>
      <c r="AR70" s="57">
        <f t="shared" si="9"/>
        <v>143550</v>
      </c>
      <c r="AS70" s="58">
        <f t="shared" si="4"/>
        <v>159500</v>
      </c>
      <c r="AT70" s="59">
        <f t="shared" si="5"/>
        <v>143550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6000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2051949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27</v>
      </c>
      <c r="AQ73" s="22">
        <f t="shared" si="10"/>
        <v>2045949</v>
      </c>
      <c r="AR73" s="23">
        <f t="shared" si="10"/>
        <v>1841354.0999999999</v>
      </c>
      <c r="AS73" s="24">
        <f t="shared" si="10"/>
        <v>2045949</v>
      </c>
      <c r="AT73" s="25">
        <f t="shared" si="10"/>
        <v>1841354.0999999999</v>
      </c>
      <c r="AU73" s="692" t="s">
        <v>58</v>
      </c>
      <c r="AV73" s="693"/>
      <c r="AW73" s="693"/>
      <c r="AX73" s="693"/>
      <c r="AY73" s="694"/>
      <c r="AZ73" s="695">
        <f>AS58+AT73</f>
        <v>1841354.0999999999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A000000}"/>
  <mergeCells count="307"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BA55:BB55"/>
    <mergeCell ref="BC55:BE55"/>
    <mergeCell ref="BD12:BE12"/>
    <mergeCell ref="BD13:BE13"/>
    <mergeCell ref="BD14:BE14"/>
    <mergeCell ref="AI15:AJ15"/>
    <mergeCell ref="AR15:AS15"/>
    <mergeCell ref="BD15:BE15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Z19:BA19"/>
    <mergeCell ref="AZ20:BA20"/>
    <mergeCell ref="AZ21:BA21"/>
    <mergeCell ref="AZ22:BA22"/>
    <mergeCell ref="AZ23:BA23"/>
    <mergeCell ref="AZ24:BA24"/>
    <mergeCell ref="AX14:AY14"/>
    <mergeCell ref="AZ14:BA14"/>
    <mergeCell ref="AL15:AM15"/>
    <mergeCell ref="AN15:AO15"/>
    <mergeCell ref="AL8:AO8"/>
    <mergeCell ref="AP8:AS8"/>
    <mergeCell ref="AT8:AW8"/>
    <mergeCell ref="AX8:BA8"/>
    <mergeCell ref="BB8:BE8"/>
    <mergeCell ref="AL9:AM9"/>
    <mergeCell ref="BD9:BE9"/>
    <mergeCell ref="BD10:BE10"/>
    <mergeCell ref="BD11:BE11"/>
    <mergeCell ref="AR11:AS11"/>
    <mergeCell ref="AT11:AU11"/>
    <mergeCell ref="AV11:AW11"/>
    <mergeCell ref="BB11:BC11"/>
    <mergeCell ref="BB9:BC9"/>
    <mergeCell ref="BB10:BC10"/>
    <mergeCell ref="H3:L3"/>
    <mergeCell ref="N3:O3"/>
    <mergeCell ref="A4:M4"/>
    <mergeCell ref="N2:O2"/>
    <mergeCell ref="Z2:Z3"/>
    <mergeCell ref="A1:O1"/>
    <mergeCell ref="P1:R3"/>
    <mergeCell ref="S1:Y3"/>
    <mergeCell ref="A2:B3"/>
    <mergeCell ref="C2:F3"/>
    <mergeCell ref="G2:G3"/>
    <mergeCell ref="H2:L2"/>
    <mergeCell ref="M2:M3"/>
    <mergeCell ref="AA1:AG1"/>
    <mergeCell ref="AI1:BE1"/>
    <mergeCell ref="AB2:AG2"/>
    <mergeCell ref="AI2:AK2"/>
    <mergeCell ref="AL2:AO2"/>
    <mergeCell ref="AP2:AR2"/>
    <mergeCell ref="AS2:AY2"/>
    <mergeCell ref="BA2:BE2"/>
    <mergeCell ref="Y5:Z5"/>
    <mergeCell ref="AL5:AP5"/>
    <mergeCell ref="AB3:AG3"/>
    <mergeCell ref="P4:AE4"/>
    <mergeCell ref="AL4:AP4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6:AP6"/>
    <mergeCell ref="AL7:AM7"/>
    <mergeCell ref="AN7:AP7"/>
    <mergeCell ref="AI8:AJ14"/>
    <mergeCell ref="AK8:AK9"/>
    <mergeCell ref="AX9:AY9"/>
    <mergeCell ref="AZ9:BA9"/>
    <mergeCell ref="AL10:AM10"/>
    <mergeCell ref="AN10:AO10"/>
    <mergeCell ref="AP10:AQ10"/>
    <mergeCell ref="AR10:AS10"/>
    <mergeCell ref="AT10:AU10"/>
    <mergeCell ref="AV10:AW10"/>
    <mergeCell ref="AP9:AQ9"/>
    <mergeCell ref="AR9:AS9"/>
    <mergeCell ref="AT9:AU9"/>
    <mergeCell ref="AV9:AW9"/>
    <mergeCell ref="AT12:AU12"/>
    <mergeCell ref="AV12:AW12"/>
    <mergeCell ref="AX10:AY10"/>
    <mergeCell ref="AZ10:BA10"/>
    <mergeCell ref="AL11:AM11"/>
    <mergeCell ref="AN11:AO11"/>
    <mergeCell ref="AP11:AQ11"/>
    <mergeCell ref="AL14:AM14"/>
    <mergeCell ref="AN14:AO14"/>
    <mergeCell ref="AP14:AQ14"/>
    <mergeCell ref="AR14:AS14"/>
    <mergeCell ref="AT14:AU14"/>
    <mergeCell ref="AV14:AW14"/>
    <mergeCell ref="AL13:AM13"/>
    <mergeCell ref="AN13:AO13"/>
    <mergeCell ref="AP13:AQ13"/>
    <mergeCell ref="AR13:AS13"/>
    <mergeCell ref="AT13:AU13"/>
    <mergeCell ref="AV13:AW13"/>
    <mergeCell ref="AR23:AS23"/>
    <mergeCell ref="AP19:AQ19"/>
    <mergeCell ref="AR19:AS19"/>
    <mergeCell ref="AT19:AU19"/>
    <mergeCell ref="AV15:AW15"/>
    <mergeCell ref="AX13:AY13"/>
    <mergeCell ref="AZ13:BA13"/>
    <mergeCell ref="AX15:AY15"/>
    <mergeCell ref="AZ15:BA15"/>
    <mergeCell ref="AN30:AO30"/>
    <mergeCell ref="AS30:AT30"/>
    <mergeCell ref="AS53:AT53"/>
    <mergeCell ref="AL24:AM24"/>
    <mergeCell ref="AN24:AO24"/>
    <mergeCell ref="AP24:AQ24"/>
    <mergeCell ref="AR24:AS24"/>
    <mergeCell ref="AT24:AU24"/>
    <mergeCell ref="AV24:AW24"/>
    <mergeCell ref="AP51:AR51"/>
    <mergeCell ref="AU51:AV52"/>
    <mergeCell ref="AN31:AO31"/>
    <mergeCell ref="AS31:AT31"/>
    <mergeCell ref="AU53:AV55"/>
    <mergeCell ref="AW53:AZ53"/>
    <mergeCell ref="AP25:AQ25"/>
    <mergeCell ref="A68:B76"/>
    <mergeCell ref="P68:Q76"/>
    <mergeCell ref="AI56:AJ57"/>
    <mergeCell ref="AK56:AL56"/>
    <mergeCell ref="AN56:AO56"/>
    <mergeCell ref="AS56:AT56"/>
    <mergeCell ref="AK57:AL57"/>
    <mergeCell ref="AN57:AO57"/>
    <mergeCell ref="AS57:AT57"/>
    <mergeCell ref="AI58:AL58"/>
    <mergeCell ref="AN58:AO58"/>
    <mergeCell ref="AS58:AT58"/>
    <mergeCell ref="AI59:AJ72"/>
    <mergeCell ref="AK60:AL60"/>
    <mergeCell ref="AQ56:AR56"/>
    <mergeCell ref="AK68:AL68"/>
    <mergeCell ref="AQ57:AR57"/>
    <mergeCell ref="AQ58:AR58"/>
    <mergeCell ref="AK64:AL64"/>
    <mergeCell ref="AI73:AJ73"/>
    <mergeCell ref="AX12:AY12"/>
    <mergeCell ref="AZ12:BA12"/>
    <mergeCell ref="AX11:AY11"/>
    <mergeCell ref="AZ11:BA11"/>
    <mergeCell ref="AW51:BB51"/>
    <mergeCell ref="AV19:AW19"/>
    <mergeCell ref="AV20:AW20"/>
    <mergeCell ref="AZ25:BA25"/>
    <mergeCell ref="AZ28:BA28"/>
    <mergeCell ref="AZ29:BA29"/>
    <mergeCell ref="AZ30:BA30"/>
    <mergeCell ref="AX28:AY28"/>
    <mergeCell ref="AX29:AY29"/>
    <mergeCell ref="AU28:AV28"/>
    <mergeCell ref="AT23:AU23"/>
    <mergeCell ref="AV23:AW23"/>
    <mergeCell ref="AX30:AY30"/>
    <mergeCell ref="AX22:AY22"/>
    <mergeCell ref="AX23:AY23"/>
    <mergeCell ref="AX24:AY24"/>
    <mergeCell ref="AX31:AY31"/>
    <mergeCell ref="AU29:AV29"/>
    <mergeCell ref="AU30:AV30"/>
    <mergeCell ref="AX25:AY25"/>
    <mergeCell ref="AL12:AM12"/>
    <mergeCell ref="AN12:AO12"/>
    <mergeCell ref="AP12:AQ12"/>
    <mergeCell ref="AR12:AS12"/>
    <mergeCell ref="BB16:BC16"/>
    <mergeCell ref="AX19:AY19"/>
    <mergeCell ref="AX20:AY20"/>
    <mergeCell ref="AT21:AU21"/>
    <mergeCell ref="AV21:AW21"/>
    <mergeCell ref="AX21:AY21"/>
    <mergeCell ref="BB12:BC12"/>
    <mergeCell ref="BB13:BC13"/>
    <mergeCell ref="BB14:BC14"/>
    <mergeCell ref="AP15:AQ15"/>
    <mergeCell ref="BB15:BC15"/>
    <mergeCell ref="AL20:AM20"/>
    <mergeCell ref="AN20:AO20"/>
    <mergeCell ref="AP20:AQ20"/>
    <mergeCell ref="AR20:AS20"/>
    <mergeCell ref="AT20:AU20"/>
    <mergeCell ref="AL21:AM21"/>
    <mergeCell ref="AN21:AO21"/>
    <mergeCell ref="AP21:AQ21"/>
    <mergeCell ref="AR21:AS21"/>
    <mergeCell ref="AJ29:AK29"/>
    <mergeCell ref="AL29:AM29"/>
    <mergeCell ref="AV25:AW25"/>
    <mergeCell ref="AJ28:AK28"/>
    <mergeCell ref="AL28:AM28"/>
    <mergeCell ref="AL22:AM22"/>
    <mergeCell ref="AN22:AO22"/>
    <mergeCell ref="AP22:AQ22"/>
    <mergeCell ref="AR22:AS22"/>
    <mergeCell ref="AT22:AU22"/>
    <mergeCell ref="AV22:AW22"/>
    <mergeCell ref="AI25:AJ25"/>
    <mergeCell ref="AR25:AS25"/>
    <mergeCell ref="AN28:AO28"/>
    <mergeCell ref="AS28:AT28"/>
    <mergeCell ref="AN29:AO29"/>
    <mergeCell ref="AS29:AT29"/>
    <mergeCell ref="AJ27:AO27"/>
    <mergeCell ref="AP28:AQ28"/>
    <mergeCell ref="AP29:AQ29"/>
    <mergeCell ref="AN25:AO25"/>
    <mergeCell ref="AL23:AM23"/>
    <mergeCell ref="AN23:AO23"/>
    <mergeCell ref="AP23:AQ23"/>
    <mergeCell ref="AJ30:AK30"/>
    <mergeCell ref="AL30:AM30"/>
    <mergeCell ref="AZ31:BA31"/>
    <mergeCell ref="BC51:BE52"/>
    <mergeCell ref="AQ54:AR54"/>
    <mergeCell ref="AQ53:AR53"/>
    <mergeCell ref="AQ55:AR55"/>
    <mergeCell ref="AI53:AJ55"/>
    <mergeCell ref="AK53:AL53"/>
    <mergeCell ref="AN53:AO53"/>
    <mergeCell ref="AK52:AL52"/>
    <mergeCell ref="AN52:AO52"/>
    <mergeCell ref="AQ52:AR52"/>
    <mergeCell ref="AW52:AZ52"/>
    <mergeCell ref="BA52:BB52"/>
    <mergeCell ref="AS51:AT52"/>
    <mergeCell ref="AJ31:AK31"/>
    <mergeCell ref="AL31:AM31"/>
    <mergeCell ref="AP31:AQ31"/>
    <mergeCell ref="AU31:AV31"/>
    <mergeCell ref="AI51:AJ52"/>
    <mergeCell ref="AK51:AL51"/>
    <mergeCell ref="AM51:AO51"/>
    <mergeCell ref="AP30:AQ30"/>
    <mergeCell ref="BB59:BE59"/>
    <mergeCell ref="BB60:BE60"/>
    <mergeCell ref="AK61:AL61"/>
    <mergeCell ref="AW61:BA61"/>
    <mergeCell ref="BB61:BE61"/>
    <mergeCell ref="AK62:AL62"/>
    <mergeCell ref="AW62:BA62"/>
    <mergeCell ref="BB62:BE62"/>
    <mergeCell ref="AU59:AV63"/>
    <mergeCell ref="AW59:BA59"/>
    <mergeCell ref="AW60:BA60"/>
    <mergeCell ref="AK63:AL63"/>
    <mergeCell ref="AW63:BA63"/>
    <mergeCell ref="BB63:BE63"/>
    <mergeCell ref="AU64:AV65"/>
    <mergeCell ref="AW64:BA64"/>
    <mergeCell ref="BB64:BE64"/>
    <mergeCell ref="AK65:AL65"/>
    <mergeCell ref="AW65:BA65"/>
    <mergeCell ref="BB65:BE65"/>
    <mergeCell ref="AK66:AL66"/>
    <mergeCell ref="AK67:AL67"/>
    <mergeCell ref="AK72:AL72"/>
    <mergeCell ref="AU72:AY72"/>
    <mergeCell ref="AZ72:BE72"/>
    <mergeCell ref="AU73:AY73"/>
    <mergeCell ref="AZ73:BE73"/>
    <mergeCell ref="AI74:AJ74"/>
    <mergeCell ref="AZ67:BB67"/>
    <mergeCell ref="BC67:BE67"/>
    <mergeCell ref="AU68:AY68"/>
    <mergeCell ref="AZ68:BB68"/>
    <mergeCell ref="BC68:BE68"/>
    <mergeCell ref="AU71:AY71"/>
    <mergeCell ref="AZ71:BE71"/>
    <mergeCell ref="AK69:AL69"/>
    <mergeCell ref="AK70:AL70"/>
    <mergeCell ref="AK71:AL71"/>
  </mergeCells>
  <phoneticPr fontId="2" type="noConversion"/>
  <conditionalFormatting sqref="C8:C68">
    <cfRule type="cellIs" dxfId="499" priority="1" operator="equal">
      <formula>"여기어때"</formula>
    </cfRule>
    <cfRule type="cellIs" dxfId="498" priority="2" operator="equal">
      <formula>"야놀자"</formula>
    </cfRule>
  </conditionalFormatting>
  <conditionalFormatting sqref="D39">
    <cfRule type="cellIs" dxfId="497" priority="45" operator="equal">
      <formula>"여기어때"</formula>
    </cfRule>
    <cfRule type="cellIs" dxfId="496" priority="46" operator="equal">
      <formula>"야놀자"</formula>
    </cfRule>
  </conditionalFormatting>
  <conditionalFormatting sqref="R8:R66">
    <cfRule type="cellIs" dxfId="495" priority="125" operator="equal">
      <formula>"여기어때"</formula>
    </cfRule>
    <cfRule type="cellIs" dxfId="494" priority="126" operator="equal">
      <formula>"야놀자"</formula>
    </cfRule>
  </conditionalFormatting>
  <conditionalFormatting sqref="R73">
    <cfRule type="cellIs" dxfId="493" priority="127" operator="equal">
      <formula>"여기어때"</formula>
    </cfRule>
    <cfRule type="cellIs" dxfId="492" priority="128" operator="equal">
      <formula>"야놀자"</formula>
    </cfRule>
  </conditionalFormatting>
  <conditionalFormatting sqref="AL30:AM30">
    <cfRule type="cellIs" dxfId="491" priority="112" operator="greaterThan">
      <formula>$AL$29</formula>
    </cfRule>
    <cfRule type="cellIs" dxfId="490" priority="120" operator="equal">
      <formula>$AL$29</formula>
    </cfRule>
  </conditionalFormatting>
  <conditionalFormatting sqref="AN30:AO30">
    <cfRule type="cellIs" dxfId="489" priority="111" operator="greaterThan">
      <formula>$AN$29</formula>
    </cfRule>
    <cfRule type="cellIs" dxfId="488" priority="119" operator="equal">
      <formula>$AN$29</formula>
    </cfRule>
  </conditionalFormatting>
  <conditionalFormatting sqref="AP30:AQ30">
    <cfRule type="cellIs" dxfId="487" priority="110" operator="greaterThan">
      <formula>$AP$29</formula>
    </cfRule>
    <cfRule type="cellIs" dxfId="486" priority="118" operator="equal">
      <formula>$AP$29</formula>
    </cfRule>
  </conditionalFormatting>
  <conditionalFormatting sqref="AR30">
    <cfRule type="cellIs" dxfId="485" priority="109" operator="greaterThan">
      <formula>$AR$29</formula>
    </cfRule>
    <cfRule type="cellIs" dxfId="484" priority="117" operator="equal">
      <formula>$AR$29</formula>
    </cfRule>
  </conditionalFormatting>
  <conditionalFormatting sqref="AS30:AT30">
    <cfRule type="cellIs" dxfId="483" priority="108" operator="greaterThan">
      <formula>$AS$29</formula>
    </cfRule>
    <cfRule type="cellIs" dxfId="482" priority="116" operator="equal">
      <formula>$AS$29</formula>
    </cfRule>
  </conditionalFormatting>
  <conditionalFormatting sqref="AU30:AV30">
    <cfRule type="cellIs" dxfId="481" priority="107" operator="greaterThan">
      <formula>$AU$29</formula>
    </cfRule>
    <cfRule type="cellIs" dxfId="480" priority="115" operator="equal">
      <formula>$AU$29</formula>
    </cfRule>
  </conditionalFormatting>
  <conditionalFormatting sqref="AW30">
    <cfRule type="cellIs" dxfId="479" priority="106" operator="greaterThan">
      <formula>$AW$29</formula>
    </cfRule>
    <cfRule type="cellIs" dxfId="478" priority="114" operator="equal">
      <formula>$AW$29</formula>
    </cfRule>
  </conditionalFormatting>
  <conditionalFormatting sqref="AX30:AY30">
    <cfRule type="cellIs" dxfId="477" priority="105" operator="greaterThan">
      <formula>$AX$29</formula>
    </cfRule>
    <cfRule type="cellIs" dxfId="476" priority="113" operator="equal">
      <formula>$AX$29</formula>
    </cfRule>
  </conditionalFormatting>
  <dataValidations disablePrompts="1" count="1">
    <dataValidation type="list" allowBlank="1" showInputMessage="1" showErrorMessage="1" sqref="A8:A67 P8:P67 C75:C76 C69:C73" xr:uid="{C255D680-5A3E-4311-B9E0-2F1061E4C8F7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E4A9-03E1-4D9D-8A74-FCEA9060D15D}">
  <sheetPr codeName="Sheet12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I32" sqref="I32"/>
      <selection pane="bottomLeft" activeCell="J50" sqref="J50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45912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3974134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COUNTA($O$8:$O$67)</f>
        <v>40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315500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'12'!AA1</f>
        <v>45912</v>
      </c>
      <c r="AM2" s="863"/>
      <c r="AN2" s="863"/>
      <c r="AO2" s="864"/>
      <c r="AP2" s="865" t="s">
        <v>10</v>
      </c>
      <c r="AQ2" s="866"/>
      <c r="AR2" s="866"/>
      <c r="AS2" s="863">
        <f>AA1+1</f>
        <v>45913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3974134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317500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9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2</v>
      </c>
      <c r="F6" s="356">
        <f>AR31</f>
        <v>0</v>
      </c>
      <c r="G6" s="356">
        <f>AS31</f>
        <v>0</v>
      </c>
      <c r="H6" s="356">
        <f>AU31</f>
        <v>0</v>
      </c>
      <c r="I6" s="356">
        <f>AW31</f>
        <v>0</v>
      </c>
      <c r="J6" s="356">
        <f>AX31</f>
        <v>0</v>
      </c>
      <c r="K6" s="606"/>
      <c r="L6" s="607"/>
      <c r="M6" s="356"/>
      <c r="N6" s="606">
        <f>C6+D6+E6+F6+G6+H6+I6+J6+K6</f>
        <v>2</v>
      </c>
      <c r="O6" s="602"/>
      <c r="P6" s="599">
        <f>C2</f>
        <v>3974134</v>
      </c>
      <c r="Q6" s="600"/>
      <c r="R6" s="300">
        <f>AN14+AN15</f>
        <v>2000</v>
      </c>
      <c r="S6" s="300">
        <f>AZ14+AZ15</f>
        <v>0</v>
      </c>
      <c r="T6" s="300">
        <f>AR14+AR15</f>
        <v>111000</v>
      </c>
      <c r="U6" s="609">
        <f>AS60</f>
        <v>1175000</v>
      </c>
      <c r="V6" s="600"/>
      <c r="W6" s="609">
        <f>AS61</f>
        <v>1185000</v>
      </c>
      <c r="X6" s="600"/>
      <c r="Y6" s="609">
        <f>AS62</f>
        <v>85000</v>
      </c>
      <c r="Z6" s="600"/>
      <c r="AA6" s="300">
        <f>AS63</f>
        <v>0</v>
      </c>
      <c r="AB6" s="300">
        <f>AS66</f>
        <v>249900</v>
      </c>
      <c r="AC6" s="300">
        <f>AS67</f>
        <v>241084</v>
      </c>
      <c r="AD6" s="300">
        <f>SUMIFS(O7:O47,C7:C47,"트립")</f>
        <v>534650</v>
      </c>
      <c r="AE6" s="300">
        <f>AS65</f>
        <v>0</v>
      </c>
      <c r="AF6" s="300">
        <f>AS69</f>
        <v>187000</v>
      </c>
      <c r="AG6" s="300">
        <f>AS70</f>
        <v>203500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458">
        <v>1</v>
      </c>
      <c r="B8" s="319">
        <v>1004</v>
      </c>
      <c r="C8" s="230" t="s">
        <v>73</v>
      </c>
      <c r="D8" s="231" t="s">
        <v>216</v>
      </c>
      <c r="E8" s="215" t="s">
        <v>714</v>
      </c>
      <c r="F8" s="231" t="s">
        <v>167</v>
      </c>
      <c r="G8" s="232" t="s">
        <v>163</v>
      </c>
      <c r="H8" s="215" t="s">
        <v>164</v>
      </c>
      <c r="I8" s="215" t="s">
        <v>165</v>
      </c>
      <c r="J8" s="215"/>
      <c r="K8" s="238"/>
      <c r="L8" s="234"/>
      <c r="M8" s="234"/>
      <c r="N8" s="234"/>
      <c r="O8" s="218">
        <v>85000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458">
        <v>2</v>
      </c>
      <c r="B9" s="319">
        <v>506</v>
      </c>
      <c r="C9" s="230" t="s">
        <v>508</v>
      </c>
      <c r="D9" s="231" t="s">
        <v>561</v>
      </c>
      <c r="E9" s="215" t="s">
        <v>714</v>
      </c>
      <c r="F9" s="231" t="s">
        <v>167</v>
      </c>
      <c r="G9" s="232" t="s">
        <v>490</v>
      </c>
      <c r="H9" s="215" t="s">
        <v>164</v>
      </c>
      <c r="I9" s="215" t="s">
        <v>165</v>
      </c>
      <c r="J9" s="215" t="s">
        <v>510</v>
      </c>
      <c r="K9" s="238"/>
      <c r="L9" s="234"/>
      <c r="M9" s="234"/>
      <c r="N9" s="234"/>
      <c r="O9" s="218">
        <v>71400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458">
        <v>3</v>
      </c>
      <c r="B10" s="319">
        <v>404</v>
      </c>
      <c r="C10" s="230" t="s">
        <v>292</v>
      </c>
      <c r="D10" s="231" t="s">
        <v>379</v>
      </c>
      <c r="E10" s="215" t="s">
        <v>714</v>
      </c>
      <c r="F10" s="231" t="s">
        <v>167</v>
      </c>
      <c r="G10" s="232" t="s">
        <v>283</v>
      </c>
      <c r="H10" s="215" t="s">
        <v>164</v>
      </c>
      <c r="I10" s="215" t="s">
        <v>165</v>
      </c>
      <c r="J10" s="215" t="s">
        <v>193</v>
      </c>
      <c r="K10" s="238"/>
      <c r="L10" s="234"/>
      <c r="M10" s="234"/>
      <c r="N10" s="234"/>
      <c r="O10" s="218">
        <v>85000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105000</v>
      </c>
      <c r="AS10" s="627"/>
      <c r="AT10" s="625">
        <f>COUNTA($O$8:$O$67)</f>
        <v>40</v>
      </c>
      <c r="AU10" s="625"/>
      <c r="AV10" s="625">
        <f>SUM(O8:O67)</f>
        <v>3861134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41</v>
      </c>
      <c r="BC10" s="799"/>
      <c r="BD10" s="800">
        <f>SUM(AN10+AR10+AV10+AZ10)</f>
        <v>3966134</v>
      </c>
      <c r="BE10" s="801"/>
    </row>
    <row r="11" spans="1:58" ht="64.5" customHeight="1" x14ac:dyDescent="0.3">
      <c r="A11" s="458">
        <v>4</v>
      </c>
      <c r="B11" s="319">
        <v>406</v>
      </c>
      <c r="C11" s="230" t="s">
        <v>73</v>
      </c>
      <c r="D11" s="231" t="s">
        <v>480</v>
      </c>
      <c r="E11" s="215" t="s">
        <v>750</v>
      </c>
      <c r="F11" s="231" t="s">
        <v>168</v>
      </c>
      <c r="G11" s="232" t="s">
        <v>163</v>
      </c>
      <c r="H11" s="215" t="s">
        <v>164</v>
      </c>
      <c r="I11" s="215" t="s">
        <v>165</v>
      </c>
      <c r="J11" s="215" t="s">
        <v>247</v>
      </c>
      <c r="K11" s="215"/>
      <c r="L11" s="234"/>
      <c r="M11" s="234"/>
      <c r="N11" s="234"/>
      <c r="O11" s="218">
        <v>70000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458">
        <v>5</v>
      </c>
      <c r="B12" s="319">
        <v>409</v>
      </c>
      <c r="C12" s="230" t="s">
        <v>508</v>
      </c>
      <c r="D12" s="231" t="s">
        <v>753</v>
      </c>
      <c r="E12" s="215" t="s">
        <v>714</v>
      </c>
      <c r="F12" s="231" t="s">
        <v>167</v>
      </c>
      <c r="G12" s="232" t="s">
        <v>509</v>
      </c>
      <c r="H12" s="215" t="s">
        <v>164</v>
      </c>
      <c r="I12" s="215" t="s">
        <v>165</v>
      </c>
      <c r="J12" s="215" t="s">
        <v>510</v>
      </c>
      <c r="K12" s="215"/>
      <c r="L12" s="234"/>
      <c r="M12" s="234"/>
      <c r="N12" s="234"/>
      <c r="O12" s="218">
        <v>178500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458">
        <v>6</v>
      </c>
      <c r="B13" s="319">
        <v>1115</v>
      </c>
      <c r="C13" s="230" t="s">
        <v>491</v>
      </c>
      <c r="D13" s="231" t="s">
        <v>520</v>
      </c>
      <c r="E13" s="215" t="s">
        <v>166</v>
      </c>
      <c r="F13" s="231" t="s">
        <v>696</v>
      </c>
      <c r="G13" s="232" t="s">
        <v>490</v>
      </c>
      <c r="H13" s="215" t="s">
        <v>164</v>
      </c>
      <c r="I13" s="215" t="s">
        <v>165</v>
      </c>
      <c r="J13" s="215" t="s">
        <v>510</v>
      </c>
      <c r="K13" s="215"/>
      <c r="L13" s="234"/>
      <c r="M13" s="234"/>
      <c r="N13" s="234"/>
      <c r="O13" s="218">
        <v>65000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458">
        <v>7</v>
      </c>
      <c r="B14" s="319">
        <v>401</v>
      </c>
      <c r="C14" s="230" t="s">
        <v>514</v>
      </c>
      <c r="D14" s="231" t="s">
        <v>525</v>
      </c>
      <c r="E14" s="215" t="s">
        <v>714</v>
      </c>
      <c r="F14" s="231" t="s">
        <v>161</v>
      </c>
      <c r="G14" s="232" t="s">
        <v>490</v>
      </c>
      <c r="H14" s="215" t="s">
        <v>164</v>
      </c>
      <c r="I14" s="215" t="s">
        <v>165</v>
      </c>
      <c r="J14" s="215" t="s">
        <v>510</v>
      </c>
      <c r="K14" s="215"/>
      <c r="L14" s="469"/>
      <c r="M14" s="234"/>
      <c r="N14" s="234"/>
      <c r="O14" s="218">
        <v>70000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105000</v>
      </c>
      <c r="AS14" s="653"/>
      <c r="AT14" s="653">
        <f t="shared" ref="AT14" si="1">SUM(AT10:AU11)</f>
        <v>40</v>
      </c>
      <c r="AU14" s="653"/>
      <c r="AV14" s="653">
        <f>SUM(AV10:AW13)</f>
        <v>3861134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41</v>
      </c>
      <c r="BC14" s="655"/>
      <c r="BD14" s="782">
        <f>SUM(BD10:BE13)</f>
        <v>3966134</v>
      </c>
      <c r="BE14" s="783"/>
    </row>
    <row r="15" spans="1:58" ht="64.5" customHeight="1" thickBot="1" x14ac:dyDescent="0.35">
      <c r="A15" s="458">
        <v>8</v>
      </c>
      <c r="B15" s="319">
        <v>809</v>
      </c>
      <c r="C15" s="230" t="s">
        <v>528</v>
      </c>
      <c r="D15" s="231" t="s">
        <v>529</v>
      </c>
      <c r="E15" s="215" t="s">
        <v>714</v>
      </c>
      <c r="F15" s="231" t="s">
        <v>167</v>
      </c>
      <c r="G15" s="232" t="s">
        <v>490</v>
      </c>
      <c r="H15" s="215" t="s">
        <v>164</v>
      </c>
      <c r="I15" s="215" t="s">
        <v>165</v>
      </c>
      <c r="J15" s="215" t="s">
        <v>530</v>
      </c>
      <c r="K15" s="215"/>
      <c r="L15" s="469"/>
      <c r="M15" s="234"/>
      <c r="N15" s="234"/>
      <c r="O15" s="219">
        <v>77000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3</v>
      </c>
      <c r="AQ15" s="633"/>
      <c r="AR15" s="632">
        <f>AR24</f>
        <v>6000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4</v>
      </c>
      <c r="BC15" s="633"/>
      <c r="BD15" s="776">
        <f>SUM(AN15+AR15+AV15+AZ15)</f>
        <v>8000</v>
      </c>
      <c r="BE15" s="777"/>
    </row>
    <row r="16" spans="1:58" ht="64.5" customHeight="1" thickBot="1" x14ac:dyDescent="0.35">
      <c r="A16" s="458">
        <v>9</v>
      </c>
      <c r="B16" s="319">
        <v>609</v>
      </c>
      <c r="C16" s="230" t="s">
        <v>491</v>
      </c>
      <c r="D16" s="231" t="s">
        <v>536</v>
      </c>
      <c r="E16" s="215" t="s">
        <v>714</v>
      </c>
      <c r="F16" s="231" t="s">
        <v>167</v>
      </c>
      <c r="G16" s="232" t="s">
        <v>490</v>
      </c>
      <c r="H16" s="215" t="s">
        <v>164</v>
      </c>
      <c r="I16" s="215" t="s">
        <v>165</v>
      </c>
      <c r="J16" s="215" t="s">
        <v>530</v>
      </c>
      <c r="K16" s="215"/>
      <c r="L16" s="469"/>
      <c r="M16" s="234"/>
      <c r="N16" s="234"/>
      <c r="O16" s="218">
        <v>70000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3974134</v>
      </c>
      <c r="BE16" s="652"/>
      <c r="BF16" s="10"/>
    </row>
    <row r="17" spans="1:62" ht="64.5" customHeight="1" thickBot="1" x14ac:dyDescent="0.35">
      <c r="A17" s="458">
        <v>10</v>
      </c>
      <c r="B17" s="319">
        <v>1215</v>
      </c>
      <c r="C17" s="230" t="s">
        <v>73</v>
      </c>
      <c r="D17" s="231" t="s">
        <v>539</v>
      </c>
      <c r="E17" s="215" t="s">
        <v>166</v>
      </c>
      <c r="F17" s="231" t="s">
        <v>696</v>
      </c>
      <c r="G17" s="232" t="s">
        <v>490</v>
      </c>
      <c r="H17" s="215" t="s">
        <v>164</v>
      </c>
      <c r="I17" s="215" t="s">
        <v>165</v>
      </c>
      <c r="J17" s="215" t="s">
        <v>530</v>
      </c>
      <c r="K17" s="215" t="s">
        <v>688</v>
      </c>
      <c r="L17" s="469"/>
      <c r="M17" s="234"/>
      <c r="N17" s="234"/>
      <c r="O17" s="218">
        <v>65000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458">
        <v>11</v>
      </c>
      <c r="B18" s="319">
        <v>1208</v>
      </c>
      <c r="C18" s="230" t="s">
        <v>491</v>
      </c>
      <c r="D18" s="231" t="s">
        <v>555</v>
      </c>
      <c r="E18" s="215" t="s">
        <v>166</v>
      </c>
      <c r="F18" s="231" t="s">
        <v>700</v>
      </c>
      <c r="G18" s="232" t="s">
        <v>490</v>
      </c>
      <c r="H18" s="215" t="s">
        <v>164</v>
      </c>
      <c r="I18" s="215" t="s">
        <v>165</v>
      </c>
      <c r="J18" s="215" t="s">
        <v>510</v>
      </c>
      <c r="K18" s="215"/>
      <c r="L18" s="469"/>
      <c r="M18" s="234"/>
      <c r="N18" s="234"/>
      <c r="O18" s="218">
        <v>65000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458">
        <v>12</v>
      </c>
      <c r="B19" s="319">
        <v>307</v>
      </c>
      <c r="C19" s="230" t="s">
        <v>491</v>
      </c>
      <c r="D19" s="231" t="s">
        <v>565</v>
      </c>
      <c r="E19" s="215"/>
      <c r="F19" s="231" t="s">
        <v>55</v>
      </c>
      <c r="G19" s="232" t="s">
        <v>490</v>
      </c>
      <c r="H19" s="215" t="s">
        <v>164</v>
      </c>
      <c r="I19" s="215" t="s">
        <v>165</v>
      </c>
      <c r="J19" s="215" t="s">
        <v>510</v>
      </c>
      <c r="K19" s="215"/>
      <c r="L19" s="469"/>
      <c r="M19" s="234"/>
      <c r="N19" s="234"/>
      <c r="O19" s="218">
        <v>70000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458">
        <v>13</v>
      </c>
      <c r="B20" s="319">
        <v>1110</v>
      </c>
      <c r="C20" s="230" t="s">
        <v>514</v>
      </c>
      <c r="D20" s="231" t="s">
        <v>566</v>
      </c>
      <c r="E20" s="215"/>
      <c r="F20" s="231" t="s">
        <v>489</v>
      </c>
      <c r="G20" s="232" t="s">
        <v>490</v>
      </c>
      <c r="H20" s="215" t="s">
        <v>503</v>
      </c>
      <c r="I20" s="215" t="s">
        <v>513</v>
      </c>
      <c r="J20" s="233" t="s">
        <v>510</v>
      </c>
      <c r="K20" s="215"/>
      <c r="L20" s="469"/>
      <c r="M20" s="234"/>
      <c r="N20" s="234"/>
      <c r="O20" s="218">
        <v>100000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3</v>
      </c>
      <c r="AQ20" s="655"/>
      <c r="AR20" s="654">
        <f>AP20*2000</f>
        <v>6000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4</v>
      </c>
      <c r="AY20" s="647"/>
      <c r="AZ20" s="648">
        <f>SUM(AJ20+AN20+AR20+AV20)</f>
        <v>8000</v>
      </c>
      <c r="BA20" s="649"/>
      <c r="BB20" s="10"/>
      <c r="BC20" s="10"/>
      <c r="BD20" s="10"/>
      <c r="BE20" s="10"/>
    </row>
    <row r="21" spans="1:62" ht="64.5" customHeight="1" x14ac:dyDescent="0.3">
      <c r="A21" s="458">
        <v>14</v>
      </c>
      <c r="B21" s="319">
        <v>501</v>
      </c>
      <c r="C21" s="380" t="s">
        <v>81</v>
      </c>
      <c r="D21" s="304" t="s">
        <v>541</v>
      </c>
      <c r="E21" s="305" t="s">
        <v>644</v>
      </c>
      <c r="F21" s="304" t="s">
        <v>161</v>
      </c>
      <c r="G21" s="381" t="s">
        <v>163</v>
      </c>
      <c r="H21" s="215" t="s">
        <v>164</v>
      </c>
      <c r="I21" s="215" t="s">
        <v>165</v>
      </c>
      <c r="J21" s="215" t="s">
        <v>247</v>
      </c>
      <c r="K21" s="305"/>
      <c r="L21" s="470"/>
      <c r="M21" s="303"/>
      <c r="N21" s="303"/>
      <c r="O21" s="317">
        <v>81877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458">
        <v>15</v>
      </c>
      <c r="B22" s="319">
        <v>1006</v>
      </c>
      <c r="C22" s="230" t="s">
        <v>514</v>
      </c>
      <c r="D22" s="231" t="s">
        <v>578</v>
      </c>
      <c r="E22" s="215" t="s">
        <v>714</v>
      </c>
      <c r="F22" s="231" t="s">
        <v>167</v>
      </c>
      <c r="G22" s="381" t="s">
        <v>163</v>
      </c>
      <c r="H22" s="215" t="s">
        <v>164</v>
      </c>
      <c r="I22" s="215" t="s">
        <v>165</v>
      </c>
      <c r="J22" s="215" t="s">
        <v>579</v>
      </c>
      <c r="K22" s="215"/>
      <c r="L22" s="469"/>
      <c r="M22" s="234"/>
      <c r="N22" s="234"/>
      <c r="O22" s="218">
        <v>85000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458">
        <v>16</v>
      </c>
      <c r="B23" s="319">
        <v>1216</v>
      </c>
      <c r="C23" s="230" t="s">
        <v>73</v>
      </c>
      <c r="D23" s="231" t="s">
        <v>615</v>
      </c>
      <c r="E23" s="215" t="s">
        <v>166</v>
      </c>
      <c r="F23" s="231" t="s">
        <v>696</v>
      </c>
      <c r="G23" s="232" t="s">
        <v>616</v>
      </c>
      <c r="H23" s="215" t="s">
        <v>164</v>
      </c>
      <c r="I23" s="215" t="s">
        <v>165</v>
      </c>
      <c r="J23" s="215" t="s">
        <v>617</v>
      </c>
      <c r="K23" s="215"/>
      <c r="L23" s="469"/>
      <c r="M23" s="234"/>
      <c r="N23" s="234"/>
      <c r="O23" s="218">
        <v>80000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458">
        <v>17</v>
      </c>
      <c r="B24" s="319">
        <v>805</v>
      </c>
      <c r="C24" s="230" t="s">
        <v>177</v>
      </c>
      <c r="D24" s="231" t="s">
        <v>618</v>
      </c>
      <c r="E24" s="215" t="s">
        <v>714</v>
      </c>
      <c r="F24" s="231" t="s">
        <v>167</v>
      </c>
      <c r="G24" s="232" t="s">
        <v>616</v>
      </c>
      <c r="H24" s="215" t="s">
        <v>164</v>
      </c>
      <c r="I24" s="215" t="s">
        <v>165</v>
      </c>
      <c r="J24" s="215" t="s">
        <v>617</v>
      </c>
      <c r="K24" s="215"/>
      <c r="L24" s="469"/>
      <c r="M24" s="234"/>
      <c r="N24" s="234"/>
      <c r="O24" s="218">
        <v>93500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3</v>
      </c>
      <c r="AQ24" s="655"/>
      <c r="AR24" s="654">
        <f>SUM(AR20:AS23)</f>
        <v>6000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4</v>
      </c>
      <c r="AY24" s="647"/>
      <c r="AZ24" s="648">
        <f>SUM(AZ20:BA23)</f>
        <v>8000</v>
      </c>
      <c r="BA24" s="649"/>
      <c r="BB24" s="10"/>
      <c r="BC24" s="10"/>
      <c r="BD24" s="10"/>
      <c r="BE24" s="10"/>
    </row>
    <row r="25" spans="1:62" ht="64.5" customHeight="1" thickBot="1" x14ac:dyDescent="0.35">
      <c r="A25" s="458">
        <v>18</v>
      </c>
      <c r="B25" s="319">
        <v>1116</v>
      </c>
      <c r="C25" s="230" t="s">
        <v>620</v>
      </c>
      <c r="D25" s="231" t="s">
        <v>628</v>
      </c>
      <c r="E25" s="215" t="s">
        <v>166</v>
      </c>
      <c r="F25" s="231" t="s">
        <v>696</v>
      </c>
      <c r="G25" s="232" t="s">
        <v>616</v>
      </c>
      <c r="H25" s="215" t="s">
        <v>164</v>
      </c>
      <c r="I25" s="215" t="s">
        <v>165</v>
      </c>
      <c r="J25" s="233" t="s">
        <v>189</v>
      </c>
      <c r="K25" s="215"/>
      <c r="L25" s="469"/>
      <c r="M25" s="234"/>
      <c r="N25" s="234"/>
      <c r="O25" s="218">
        <v>80000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458">
        <v>19</v>
      </c>
      <c r="B26" s="319">
        <v>902</v>
      </c>
      <c r="C26" s="230" t="s">
        <v>649</v>
      </c>
      <c r="D26" s="231" t="s">
        <v>650</v>
      </c>
      <c r="E26" s="215" t="s">
        <v>714</v>
      </c>
      <c r="F26" s="231" t="s">
        <v>167</v>
      </c>
      <c r="G26" s="232" t="s">
        <v>651</v>
      </c>
      <c r="H26" s="215" t="s">
        <v>164</v>
      </c>
      <c r="I26" s="215" t="s">
        <v>165</v>
      </c>
      <c r="J26" s="233" t="s">
        <v>189</v>
      </c>
      <c r="K26" s="215"/>
      <c r="L26" s="469"/>
      <c r="M26" s="234"/>
      <c r="N26" s="234"/>
      <c r="O26" s="218">
        <v>411825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458">
        <v>20</v>
      </c>
      <c r="B27" s="319">
        <v>309</v>
      </c>
      <c r="C27" s="230" t="s">
        <v>698</v>
      </c>
      <c r="D27" s="231" t="s">
        <v>699</v>
      </c>
      <c r="E27" s="215"/>
      <c r="F27" s="231" t="s">
        <v>55</v>
      </c>
      <c r="G27" s="232" t="s">
        <v>688</v>
      </c>
      <c r="H27" s="215" t="s">
        <v>164</v>
      </c>
      <c r="I27" s="215" t="s">
        <v>165</v>
      </c>
      <c r="J27" s="233" t="s">
        <v>189</v>
      </c>
      <c r="K27" s="215"/>
      <c r="L27" s="469"/>
      <c r="M27" s="234"/>
      <c r="N27" s="234"/>
      <c r="O27" s="218">
        <v>122825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458">
        <v>21</v>
      </c>
      <c r="B28" s="319">
        <v>701</v>
      </c>
      <c r="C28" s="230" t="s">
        <v>702</v>
      </c>
      <c r="D28" s="231" t="s">
        <v>703</v>
      </c>
      <c r="E28" s="215" t="s">
        <v>706</v>
      </c>
      <c r="F28" s="231" t="s">
        <v>704</v>
      </c>
      <c r="G28" s="232" t="s">
        <v>688</v>
      </c>
      <c r="H28" s="215" t="s">
        <v>164</v>
      </c>
      <c r="I28" s="215" t="s">
        <v>165</v>
      </c>
      <c r="J28" s="233" t="s">
        <v>189</v>
      </c>
      <c r="K28" s="238"/>
      <c r="L28" s="469"/>
      <c r="M28" s="234"/>
      <c r="N28" s="234"/>
      <c r="O28" s="218">
        <v>110000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458">
        <v>22</v>
      </c>
      <c r="B29" s="319">
        <v>1011</v>
      </c>
      <c r="C29" s="230" t="s">
        <v>707</v>
      </c>
      <c r="D29" s="231" t="s">
        <v>708</v>
      </c>
      <c r="E29" s="215"/>
      <c r="F29" s="231" t="s">
        <v>690</v>
      </c>
      <c r="G29" s="232" t="s">
        <v>688</v>
      </c>
      <c r="H29" s="215" t="s">
        <v>164</v>
      </c>
      <c r="I29" s="215" t="s">
        <v>165</v>
      </c>
      <c r="J29" s="233" t="s">
        <v>189</v>
      </c>
      <c r="K29" s="215" t="s">
        <v>710</v>
      </c>
      <c r="L29" s="469"/>
      <c r="M29" s="234"/>
      <c r="N29" s="234"/>
      <c r="O29" s="218">
        <v>77332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458">
        <v>23</v>
      </c>
      <c r="B30" s="319">
        <v>1214</v>
      </c>
      <c r="C30" s="230" t="s">
        <v>689</v>
      </c>
      <c r="D30" s="231" t="s">
        <v>715</v>
      </c>
      <c r="E30" s="215" t="s">
        <v>166</v>
      </c>
      <c r="F30" s="231" t="s">
        <v>696</v>
      </c>
      <c r="G30" s="232" t="s">
        <v>163</v>
      </c>
      <c r="H30" s="215" t="s">
        <v>164</v>
      </c>
      <c r="I30" s="215" t="s">
        <v>165</v>
      </c>
      <c r="J30" s="233" t="s">
        <v>713</v>
      </c>
      <c r="K30" s="215"/>
      <c r="L30" s="469"/>
      <c r="M30" s="234"/>
      <c r="N30" s="234"/>
      <c r="O30" s="218">
        <v>80000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8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5</v>
      </c>
      <c r="AV30" s="830"/>
      <c r="AW30" s="324">
        <f>COUNTIF(F8:F67,"v")</f>
        <v>5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>
        <v>811</v>
      </c>
      <c r="C31" s="230" t="s">
        <v>74</v>
      </c>
      <c r="D31" s="304" t="s">
        <v>654</v>
      </c>
      <c r="E31" s="305" t="s">
        <v>706</v>
      </c>
      <c r="F31" s="304" t="s">
        <v>690</v>
      </c>
      <c r="G31" s="232" t="s">
        <v>163</v>
      </c>
      <c r="H31" s="215" t="s">
        <v>164</v>
      </c>
      <c r="I31" s="215" t="s">
        <v>165</v>
      </c>
      <c r="J31" s="233" t="s">
        <v>193</v>
      </c>
      <c r="K31" s="215"/>
      <c r="L31" s="469"/>
      <c r="M31" s="234"/>
      <c r="N31" s="234"/>
      <c r="O31" s="218">
        <v>85000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2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0</v>
      </c>
      <c r="AV31" s="817"/>
      <c r="AW31" s="322">
        <f>AW29-AW30</f>
        <v>0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19">
        <v>1105</v>
      </c>
      <c r="C32" s="230" t="s">
        <v>686</v>
      </c>
      <c r="D32" s="231" t="s">
        <v>717</v>
      </c>
      <c r="E32" s="215"/>
      <c r="F32" s="231" t="s">
        <v>716</v>
      </c>
      <c r="G32" s="232" t="s">
        <v>163</v>
      </c>
      <c r="H32" s="215" t="s">
        <v>164</v>
      </c>
      <c r="I32" s="215" t="s">
        <v>165</v>
      </c>
      <c r="J32" s="233" t="s">
        <v>713</v>
      </c>
      <c r="K32" s="215" t="s">
        <v>710</v>
      </c>
      <c r="L32" s="469"/>
      <c r="M32" s="234"/>
      <c r="N32" s="234"/>
      <c r="O32" s="219">
        <v>90000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>
        <v>1107</v>
      </c>
      <c r="C33" s="230" t="s">
        <v>689</v>
      </c>
      <c r="D33" s="231" t="s">
        <v>719</v>
      </c>
      <c r="E33" s="215" t="s">
        <v>767</v>
      </c>
      <c r="F33" s="231" t="s">
        <v>692</v>
      </c>
      <c r="G33" s="232" t="s">
        <v>720</v>
      </c>
      <c r="H33" s="215" t="s">
        <v>164</v>
      </c>
      <c r="I33" s="215" t="s">
        <v>165</v>
      </c>
      <c r="J33" s="233" t="s">
        <v>713</v>
      </c>
      <c r="K33" s="215"/>
      <c r="L33" s="469"/>
      <c r="M33" s="234"/>
      <c r="N33" s="234"/>
      <c r="O33" s="218">
        <v>210000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>
        <v>1112</v>
      </c>
      <c r="C34" s="230" t="s">
        <v>686</v>
      </c>
      <c r="D34" s="231" t="s">
        <v>722</v>
      </c>
      <c r="E34" s="215" t="s">
        <v>166</v>
      </c>
      <c r="F34" s="231" t="s">
        <v>696</v>
      </c>
      <c r="G34" s="232" t="s">
        <v>163</v>
      </c>
      <c r="H34" s="215" t="s">
        <v>164</v>
      </c>
      <c r="I34" s="215" t="s">
        <v>165</v>
      </c>
      <c r="J34" s="233" t="s">
        <v>713</v>
      </c>
      <c r="K34" s="215"/>
      <c r="L34" s="469"/>
      <c r="M34" s="234"/>
      <c r="N34" s="234"/>
      <c r="O34" s="218">
        <v>80000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19">
        <v>709</v>
      </c>
      <c r="C35" s="230" t="s">
        <v>727</v>
      </c>
      <c r="D35" s="231" t="s">
        <v>728</v>
      </c>
      <c r="E35" s="215" t="s">
        <v>750</v>
      </c>
      <c r="F35" s="231" t="s">
        <v>751</v>
      </c>
      <c r="G35" s="232" t="s">
        <v>163</v>
      </c>
      <c r="H35" s="215" t="s">
        <v>164</v>
      </c>
      <c r="I35" s="215" t="s">
        <v>165</v>
      </c>
      <c r="J35" s="233" t="s">
        <v>713</v>
      </c>
      <c r="K35" s="238"/>
      <c r="L35" s="469"/>
      <c r="M35" s="234"/>
      <c r="N35" s="234"/>
      <c r="O35" s="218">
        <v>85000</v>
      </c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319">
        <v>1114</v>
      </c>
      <c r="C36" s="230" t="s">
        <v>707</v>
      </c>
      <c r="D36" s="231" t="s">
        <v>731</v>
      </c>
      <c r="E36" s="215"/>
      <c r="F36" s="231" t="s">
        <v>696</v>
      </c>
      <c r="G36" s="232" t="s">
        <v>163</v>
      </c>
      <c r="H36" s="215" t="s">
        <v>164</v>
      </c>
      <c r="I36" s="215" t="s">
        <v>165</v>
      </c>
      <c r="J36" s="233" t="s">
        <v>713</v>
      </c>
      <c r="K36" s="215"/>
      <c r="L36" s="469"/>
      <c r="M36" s="234"/>
      <c r="N36" s="234"/>
      <c r="O36" s="218">
        <v>81875</v>
      </c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319">
        <v>1111</v>
      </c>
      <c r="C37" s="230" t="s">
        <v>686</v>
      </c>
      <c r="D37" s="231" t="s">
        <v>732</v>
      </c>
      <c r="E37" s="215" t="s">
        <v>734</v>
      </c>
      <c r="F37" s="231" t="s">
        <v>690</v>
      </c>
      <c r="G37" s="232" t="s">
        <v>688</v>
      </c>
      <c r="H37" s="215" t="s">
        <v>164</v>
      </c>
      <c r="I37" s="215" t="s">
        <v>165</v>
      </c>
      <c r="J37" s="233" t="s">
        <v>733</v>
      </c>
      <c r="K37" s="215"/>
      <c r="L37" s="469"/>
      <c r="M37" s="234"/>
      <c r="N37" s="234"/>
      <c r="O37" s="218">
        <v>85000</v>
      </c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319">
        <v>715</v>
      </c>
      <c r="C38" s="230" t="s">
        <v>689</v>
      </c>
      <c r="D38" s="231" t="s">
        <v>744</v>
      </c>
      <c r="E38" s="215" t="s">
        <v>166</v>
      </c>
      <c r="F38" s="231" t="s">
        <v>696</v>
      </c>
      <c r="G38" s="232" t="s">
        <v>688</v>
      </c>
      <c r="H38" s="215" t="s">
        <v>164</v>
      </c>
      <c r="I38" s="215" t="s">
        <v>165</v>
      </c>
      <c r="J38" s="233" t="s">
        <v>189</v>
      </c>
      <c r="K38" s="215"/>
      <c r="L38" s="469"/>
      <c r="M38" s="234"/>
      <c r="N38" s="234"/>
      <c r="O38" s="218">
        <v>80000</v>
      </c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319">
        <v>1210</v>
      </c>
      <c r="C39" s="230" t="s">
        <v>730</v>
      </c>
      <c r="D39" s="231" t="s">
        <v>745</v>
      </c>
      <c r="E39" s="215"/>
      <c r="F39" s="231" t="s">
        <v>704</v>
      </c>
      <c r="G39" s="232" t="s">
        <v>688</v>
      </c>
      <c r="H39" s="215" t="s">
        <v>164</v>
      </c>
      <c r="I39" s="215" t="s">
        <v>165</v>
      </c>
      <c r="J39" s="233" t="s">
        <v>189</v>
      </c>
      <c r="K39" s="215"/>
      <c r="L39" s="469"/>
      <c r="M39" s="234"/>
      <c r="N39" s="234"/>
      <c r="O39" s="218">
        <v>110000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19">
        <v>911</v>
      </c>
      <c r="C40" s="230" t="s">
        <v>689</v>
      </c>
      <c r="D40" s="231" t="s">
        <v>747</v>
      </c>
      <c r="E40" s="215" t="s">
        <v>166</v>
      </c>
      <c r="F40" s="231" t="s">
        <v>690</v>
      </c>
      <c r="G40" s="232" t="s">
        <v>688</v>
      </c>
      <c r="H40" s="215" t="s">
        <v>164</v>
      </c>
      <c r="I40" s="215" t="s">
        <v>165</v>
      </c>
      <c r="J40" s="233" t="s">
        <v>733</v>
      </c>
      <c r="K40" s="215"/>
      <c r="L40" s="468"/>
      <c r="M40" s="234"/>
      <c r="N40" s="234"/>
      <c r="O40" s="218">
        <v>80000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19">
        <v>705</v>
      </c>
      <c r="C41" s="230" t="s">
        <v>686</v>
      </c>
      <c r="D41" s="231" t="s">
        <v>756</v>
      </c>
      <c r="E41" s="215" t="s">
        <v>166</v>
      </c>
      <c r="F41" s="231" t="s">
        <v>751</v>
      </c>
      <c r="G41" s="232" t="s">
        <v>755</v>
      </c>
      <c r="H41" s="215" t="s">
        <v>164</v>
      </c>
      <c r="I41" s="215" t="s">
        <v>165</v>
      </c>
      <c r="J41" s="233" t="s">
        <v>189</v>
      </c>
      <c r="K41" s="215"/>
      <c r="L41" s="234"/>
      <c r="M41" s="234"/>
      <c r="N41" s="234"/>
      <c r="O41" s="218">
        <v>495000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319">
        <v>1206</v>
      </c>
      <c r="C42" s="230" t="s">
        <v>764</v>
      </c>
      <c r="D42" s="230" t="s">
        <v>763</v>
      </c>
      <c r="E42" s="214"/>
      <c r="F42" s="231" t="s">
        <v>716</v>
      </c>
      <c r="G42" s="232" t="s">
        <v>720</v>
      </c>
      <c r="H42" s="215" t="s">
        <v>164</v>
      </c>
      <c r="I42" s="215" t="s">
        <v>165</v>
      </c>
      <c r="J42" s="233" t="s">
        <v>733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319">
        <v>907</v>
      </c>
      <c r="C43" s="230" t="s">
        <v>764</v>
      </c>
      <c r="D43" s="231" t="s">
        <v>763</v>
      </c>
      <c r="E43" s="214"/>
      <c r="F43" s="231" t="s">
        <v>692</v>
      </c>
      <c r="G43" s="232" t="s">
        <v>720</v>
      </c>
      <c r="H43" s="215" t="s">
        <v>164</v>
      </c>
      <c r="I43" s="215" t="s">
        <v>165</v>
      </c>
      <c r="J43" s="233" t="s">
        <v>733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319">
        <v>702</v>
      </c>
      <c r="C44" s="230" t="s">
        <v>689</v>
      </c>
      <c r="D44" s="231" t="s">
        <v>773</v>
      </c>
      <c r="E44" s="215" t="s">
        <v>166</v>
      </c>
      <c r="F44" s="231" t="s">
        <v>751</v>
      </c>
      <c r="G44" s="232" t="s">
        <v>688</v>
      </c>
      <c r="H44" s="215" t="s">
        <v>164</v>
      </c>
      <c r="I44" s="215" t="s">
        <v>165</v>
      </c>
      <c r="J44" s="215" t="s">
        <v>713</v>
      </c>
      <c r="K44" s="215"/>
      <c r="L44" s="234"/>
      <c r="M44" s="234"/>
      <c r="N44" s="234"/>
      <c r="O44" s="218">
        <v>85000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319">
        <v>906</v>
      </c>
      <c r="C45" s="230" t="s">
        <v>775</v>
      </c>
      <c r="D45" s="231" t="s">
        <v>774</v>
      </c>
      <c r="E45" s="215" t="s">
        <v>796</v>
      </c>
      <c r="F45" s="231" t="s">
        <v>751</v>
      </c>
      <c r="G45" s="232" t="s">
        <v>688</v>
      </c>
      <c r="H45" s="215" t="s">
        <v>164</v>
      </c>
      <c r="I45" s="215" t="s">
        <v>165</v>
      </c>
      <c r="J45" s="215" t="s">
        <v>713</v>
      </c>
      <c r="K45" s="215" t="s">
        <v>710</v>
      </c>
      <c r="L45" s="234"/>
      <c r="M45" s="234">
        <v>105000</v>
      </c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319"/>
      <c r="C46" s="446"/>
      <c r="D46" s="304"/>
      <c r="E46" s="305"/>
      <c r="F46" s="304"/>
      <c r="G46" s="381"/>
      <c r="H46" s="215"/>
      <c r="I46" s="215"/>
      <c r="J46" s="233"/>
      <c r="K46" s="215"/>
      <c r="L46" s="234"/>
      <c r="M46" s="234"/>
      <c r="N46" s="234"/>
      <c r="O46" s="218"/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/>
      <c r="C47" s="409"/>
      <c r="D47" s="231"/>
      <c r="E47" s="214"/>
      <c r="F47" s="231"/>
      <c r="G47" s="232"/>
      <c r="H47" s="215"/>
      <c r="I47" s="215"/>
      <c r="J47" s="233"/>
      <c r="K47" s="215"/>
      <c r="L47" s="234"/>
      <c r="M47" s="234"/>
      <c r="N47" s="234"/>
      <c r="O47" s="218"/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305</v>
      </c>
      <c r="C48" s="446" t="s">
        <v>135</v>
      </c>
      <c r="D48" s="304" t="s">
        <v>426</v>
      </c>
      <c r="E48" s="305" t="s">
        <v>425</v>
      </c>
      <c r="F48" s="304" t="s">
        <v>55</v>
      </c>
      <c r="G48" s="381" t="s">
        <v>368</v>
      </c>
      <c r="H48" s="215" t="s">
        <v>164</v>
      </c>
      <c r="I48" s="215" t="s">
        <v>165</v>
      </c>
      <c r="J48" s="233" t="s">
        <v>189</v>
      </c>
      <c r="K48" s="266"/>
      <c r="L48" s="257"/>
      <c r="M48" s="257"/>
      <c r="N48" s="257"/>
      <c r="O48" s="223">
        <v>0</v>
      </c>
      <c r="P48" s="268">
        <v>41</v>
      </c>
      <c r="Q48" s="264"/>
      <c r="R48" s="255"/>
      <c r="S48" s="265"/>
      <c r="T48" s="266"/>
      <c r="U48" s="265"/>
      <c r="V48" s="266"/>
      <c r="W48" s="266"/>
      <c r="X48" s="269"/>
      <c r="Y48" s="270"/>
      <c r="Z48" s="271"/>
      <c r="AA48" s="271"/>
      <c r="AB48" s="257"/>
      <c r="AC48" s="257"/>
      <c r="AD48" s="257"/>
      <c r="AE48" s="271"/>
      <c r="AF48" s="340"/>
      <c r="AG48" s="272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308</v>
      </c>
      <c r="C49" s="285" t="s">
        <v>73</v>
      </c>
      <c r="D49" s="275" t="s">
        <v>559</v>
      </c>
      <c r="E49" s="455"/>
      <c r="F49" s="275" t="s">
        <v>55</v>
      </c>
      <c r="G49" s="277" t="s">
        <v>172</v>
      </c>
      <c r="H49" s="276" t="s">
        <v>164</v>
      </c>
      <c r="I49" s="276" t="s">
        <v>165</v>
      </c>
      <c r="J49" s="278" t="s">
        <v>189</v>
      </c>
      <c r="K49" s="276"/>
      <c r="L49" s="279"/>
      <c r="M49" s="279"/>
      <c r="N49" s="279"/>
      <c r="O49" s="280">
        <v>0</v>
      </c>
      <c r="P49" s="281">
        <v>42</v>
      </c>
      <c r="Q49" s="478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4</v>
      </c>
      <c r="BB54" s="681"/>
      <c r="BC54" s="679">
        <f>AZ24</f>
        <v>8000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4</v>
      </c>
      <c r="BB55" s="681"/>
      <c r="BC55" s="679">
        <f>SUM(BC53:BE54)</f>
        <v>8000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30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30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9</v>
      </c>
      <c r="AQ60" s="56">
        <f>SUMIF($C$8:$C$72, $AK60, $L$8:$L$72)+SUMIF($C$8:$C$72, $AK60, $M$8:$M$72)+SUMIF($C$8:$C$72, $AK60, $N$8:$N$72)+SUMIF($C$8:$C$72, $AK60, $O$8:$O$72)</f>
        <v>1175000</v>
      </c>
      <c r="AR60" s="57">
        <f>AQ60*0.9</f>
        <v>1057500</v>
      </c>
      <c r="AS60" s="58">
        <f t="shared" ref="AS60:AS70" si="4">SUM(AN60+AQ60)</f>
        <v>1175000</v>
      </c>
      <c r="AT60" s="59">
        <f t="shared" ref="AT60:AT70" si="5">AO60+AR60</f>
        <v>1057500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30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15</v>
      </c>
      <c r="AQ61" s="56">
        <f t="shared" ref="AQ61:AQ70" si="8">SUMIF($C$8:$C$72, $AK61, $L$8:$L$72)+SUMIF($C$8:$C$72, $AK61, $M$8:$M$72)+SUMIF($C$8:$C$72, $AK61, $N$8:$N$72)+SUMIF($C$8:$C$72, $AK61, $O$8:$O$72)</f>
        <v>1185000</v>
      </c>
      <c r="AR61" s="57">
        <f t="shared" ref="AR61:AR70" si="9">AQ61*0.9</f>
        <v>1066500</v>
      </c>
      <c r="AS61" s="58">
        <f t="shared" si="4"/>
        <v>1185000</v>
      </c>
      <c r="AT61" s="59">
        <f t="shared" si="5"/>
        <v>1066500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85000</v>
      </c>
      <c r="AR62" s="57">
        <f t="shared" si="9"/>
        <v>76500</v>
      </c>
      <c r="AS62" s="58">
        <f t="shared" si="4"/>
        <v>85000</v>
      </c>
      <c r="AT62" s="59">
        <f t="shared" si="5"/>
        <v>76500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30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30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30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2</v>
      </c>
      <c r="AQ66" s="56">
        <f t="shared" si="8"/>
        <v>249900</v>
      </c>
      <c r="AR66" s="57">
        <f t="shared" si="9"/>
        <v>224910</v>
      </c>
      <c r="AS66" s="58">
        <f t="shared" si="4"/>
        <v>249900</v>
      </c>
      <c r="AT66" s="59">
        <f t="shared" si="5"/>
        <v>224910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44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3</v>
      </c>
      <c r="AQ67" s="56">
        <f t="shared" si="8"/>
        <v>241084</v>
      </c>
      <c r="AR67" s="57">
        <f t="shared" si="9"/>
        <v>216975.6</v>
      </c>
      <c r="AS67" s="58">
        <f t="shared" si="4"/>
        <v>241084</v>
      </c>
      <c r="AT67" s="59">
        <f t="shared" si="5"/>
        <v>216975.6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55"/>
      <c r="D68" s="265"/>
      <c r="E68" s="266"/>
      <c r="F68" s="265"/>
      <c r="G68" s="267"/>
      <c r="H68" s="266"/>
      <c r="I68" s="266"/>
      <c r="J68" s="266"/>
      <c r="K68" s="266"/>
      <c r="L68" s="257"/>
      <c r="M68" s="257"/>
      <c r="N68" s="257"/>
      <c r="O68" s="223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2</v>
      </c>
      <c r="AQ68" s="56">
        <f t="shared" si="8"/>
        <v>534650</v>
      </c>
      <c r="AR68" s="57">
        <f t="shared" si="9"/>
        <v>481185</v>
      </c>
      <c r="AS68" s="58">
        <f t="shared" si="4"/>
        <v>534650</v>
      </c>
      <c r="AT68" s="59">
        <f t="shared" si="5"/>
        <v>481185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3861134</v>
      </c>
      <c r="BD68" s="656"/>
      <c r="BE68" s="655"/>
    </row>
    <row r="69" spans="1:57" ht="64.5" customHeight="1" x14ac:dyDescent="0.3">
      <c r="A69" s="659"/>
      <c r="B69" s="660"/>
      <c r="C69" s="230"/>
      <c r="D69" s="231"/>
      <c r="E69" s="215"/>
      <c r="F69" s="231"/>
      <c r="G69" s="232"/>
      <c r="H69" s="215"/>
      <c r="I69" s="215"/>
      <c r="J69" s="215"/>
      <c r="K69" s="215"/>
      <c r="L69" s="234"/>
      <c r="M69" s="234"/>
      <c r="N69" s="234"/>
      <c r="O69" s="218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2</v>
      </c>
      <c r="AQ69" s="56">
        <f t="shared" si="8"/>
        <v>187000</v>
      </c>
      <c r="AR69" s="57">
        <f t="shared" si="9"/>
        <v>168300</v>
      </c>
      <c r="AS69" s="58">
        <f t="shared" si="4"/>
        <v>187000</v>
      </c>
      <c r="AT69" s="59">
        <f t="shared" si="5"/>
        <v>168300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2</v>
      </c>
      <c r="AQ70" s="56">
        <f t="shared" si="8"/>
        <v>203500</v>
      </c>
      <c r="AR70" s="57">
        <f t="shared" si="9"/>
        <v>183150</v>
      </c>
      <c r="AS70" s="58">
        <f t="shared" si="4"/>
        <v>203500</v>
      </c>
      <c r="AT70" s="59">
        <f t="shared" si="5"/>
        <v>183150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8000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3974134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37</v>
      </c>
      <c r="AQ73" s="22">
        <f t="shared" si="10"/>
        <v>3861134</v>
      </c>
      <c r="AR73" s="23">
        <f t="shared" si="10"/>
        <v>3475020.6</v>
      </c>
      <c r="AS73" s="24">
        <f t="shared" si="10"/>
        <v>3861134</v>
      </c>
      <c r="AT73" s="25">
        <f t="shared" si="10"/>
        <v>3475020.6</v>
      </c>
      <c r="AU73" s="692" t="s">
        <v>58</v>
      </c>
      <c r="AV73" s="693"/>
      <c r="AW73" s="693"/>
      <c r="AX73" s="693"/>
      <c r="AY73" s="694"/>
      <c r="AZ73" s="695">
        <f>AS58+AT73</f>
        <v>3475020.6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B000000}"/>
  <mergeCells count="307">
    <mergeCell ref="BA53:BB53"/>
    <mergeCell ref="BC53:BE53"/>
    <mergeCell ref="AK54:AL54"/>
    <mergeCell ref="AN54:AO54"/>
    <mergeCell ref="AS54:AT54"/>
    <mergeCell ref="AW54:AZ54"/>
    <mergeCell ref="BA54:BB54"/>
    <mergeCell ref="BC54:BE54"/>
    <mergeCell ref="AK55:AL55"/>
    <mergeCell ref="AN55:AO55"/>
    <mergeCell ref="AS55:AT55"/>
    <mergeCell ref="AW55:AZ55"/>
    <mergeCell ref="BA55:BB55"/>
    <mergeCell ref="BC55:BE55"/>
    <mergeCell ref="BD12:BE12"/>
    <mergeCell ref="BD13:BE13"/>
    <mergeCell ref="BD14:BE14"/>
    <mergeCell ref="AI15:AJ15"/>
    <mergeCell ref="AR15:AS15"/>
    <mergeCell ref="BD15:BE15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Z19:BA19"/>
    <mergeCell ref="AZ20:BA20"/>
    <mergeCell ref="AZ21:BA21"/>
    <mergeCell ref="AZ22:BA22"/>
    <mergeCell ref="AZ23:BA23"/>
    <mergeCell ref="AZ24:BA24"/>
    <mergeCell ref="AX14:AY14"/>
    <mergeCell ref="AZ14:BA14"/>
    <mergeCell ref="AL15:AM15"/>
    <mergeCell ref="AN15:AO15"/>
    <mergeCell ref="AL8:AO8"/>
    <mergeCell ref="AP8:AS8"/>
    <mergeCell ref="AT8:AW8"/>
    <mergeCell ref="AX8:BA8"/>
    <mergeCell ref="BB8:BE8"/>
    <mergeCell ref="AL9:AM9"/>
    <mergeCell ref="BD9:BE9"/>
    <mergeCell ref="BD10:BE10"/>
    <mergeCell ref="BD11:BE11"/>
    <mergeCell ref="AR11:AS11"/>
    <mergeCell ref="AT11:AU11"/>
    <mergeCell ref="AV11:AW11"/>
    <mergeCell ref="BB11:BC11"/>
    <mergeCell ref="BB9:BC9"/>
    <mergeCell ref="BB10:BC10"/>
    <mergeCell ref="H3:L3"/>
    <mergeCell ref="N3:O3"/>
    <mergeCell ref="A4:M4"/>
    <mergeCell ref="N2:O2"/>
    <mergeCell ref="Z2:Z3"/>
    <mergeCell ref="A1:O1"/>
    <mergeCell ref="P1:R3"/>
    <mergeCell ref="S1:Y3"/>
    <mergeCell ref="A2:B3"/>
    <mergeCell ref="C2:F3"/>
    <mergeCell ref="G2:G3"/>
    <mergeCell ref="H2:L2"/>
    <mergeCell ref="M2:M3"/>
    <mergeCell ref="AA1:AG1"/>
    <mergeCell ref="AI1:BE1"/>
    <mergeCell ref="AB2:AG2"/>
    <mergeCell ref="AI2:AK2"/>
    <mergeCell ref="AL2:AO2"/>
    <mergeCell ref="AP2:AR2"/>
    <mergeCell ref="AS2:AY2"/>
    <mergeCell ref="BA2:BE2"/>
    <mergeCell ref="Y5:Z5"/>
    <mergeCell ref="AL5:AP5"/>
    <mergeCell ref="AB3:AG3"/>
    <mergeCell ref="P4:AE4"/>
    <mergeCell ref="AL4:AP4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6:AP6"/>
    <mergeCell ref="AL7:AM7"/>
    <mergeCell ref="AN7:AP7"/>
    <mergeCell ref="AI8:AJ14"/>
    <mergeCell ref="AK8:AK9"/>
    <mergeCell ref="AX9:AY9"/>
    <mergeCell ref="AZ9:BA9"/>
    <mergeCell ref="AL10:AM10"/>
    <mergeCell ref="AN10:AO10"/>
    <mergeCell ref="AP10:AQ10"/>
    <mergeCell ref="AR10:AS10"/>
    <mergeCell ref="AT10:AU10"/>
    <mergeCell ref="AV10:AW10"/>
    <mergeCell ref="AP9:AQ9"/>
    <mergeCell ref="AR9:AS9"/>
    <mergeCell ref="AT9:AU9"/>
    <mergeCell ref="AV9:AW9"/>
    <mergeCell ref="AT12:AU12"/>
    <mergeCell ref="AV12:AW12"/>
    <mergeCell ref="AX10:AY10"/>
    <mergeCell ref="AZ10:BA10"/>
    <mergeCell ref="AL11:AM11"/>
    <mergeCell ref="AN11:AO11"/>
    <mergeCell ref="AP11:AQ11"/>
    <mergeCell ref="AL14:AM14"/>
    <mergeCell ref="AN14:AO14"/>
    <mergeCell ref="AP14:AQ14"/>
    <mergeCell ref="AR14:AS14"/>
    <mergeCell ref="AT14:AU14"/>
    <mergeCell ref="AV14:AW14"/>
    <mergeCell ref="AL13:AM13"/>
    <mergeCell ref="AN13:AO13"/>
    <mergeCell ref="AP13:AQ13"/>
    <mergeCell ref="AR13:AS13"/>
    <mergeCell ref="AT13:AU13"/>
    <mergeCell ref="AV13:AW13"/>
    <mergeCell ref="AR23:AS23"/>
    <mergeCell ref="AP19:AQ19"/>
    <mergeCell ref="AR19:AS19"/>
    <mergeCell ref="AT19:AU19"/>
    <mergeCell ref="AV15:AW15"/>
    <mergeCell ref="AX13:AY13"/>
    <mergeCell ref="AZ13:BA13"/>
    <mergeCell ref="AX15:AY15"/>
    <mergeCell ref="AZ15:BA15"/>
    <mergeCell ref="AN30:AO30"/>
    <mergeCell ref="AS30:AT30"/>
    <mergeCell ref="AS53:AT53"/>
    <mergeCell ref="AL24:AM24"/>
    <mergeCell ref="AN24:AO24"/>
    <mergeCell ref="AP24:AQ24"/>
    <mergeCell ref="AR24:AS24"/>
    <mergeCell ref="AT24:AU24"/>
    <mergeCell ref="AV24:AW24"/>
    <mergeCell ref="AP51:AR51"/>
    <mergeCell ref="AU51:AV52"/>
    <mergeCell ref="AN31:AO31"/>
    <mergeCell ref="AS31:AT31"/>
    <mergeCell ref="AU53:AV55"/>
    <mergeCell ref="AW53:AZ53"/>
    <mergeCell ref="AP25:AQ25"/>
    <mergeCell ref="A68:B76"/>
    <mergeCell ref="P68:Q76"/>
    <mergeCell ref="AI56:AJ57"/>
    <mergeCell ref="AK56:AL56"/>
    <mergeCell ref="AN56:AO56"/>
    <mergeCell ref="AS56:AT56"/>
    <mergeCell ref="AK57:AL57"/>
    <mergeCell ref="AN57:AO57"/>
    <mergeCell ref="AS57:AT57"/>
    <mergeCell ref="AI58:AL58"/>
    <mergeCell ref="AN58:AO58"/>
    <mergeCell ref="AS58:AT58"/>
    <mergeCell ref="AI59:AJ72"/>
    <mergeCell ref="AK60:AL60"/>
    <mergeCell ref="AQ56:AR56"/>
    <mergeCell ref="AK68:AL68"/>
    <mergeCell ref="AQ57:AR57"/>
    <mergeCell ref="AQ58:AR58"/>
    <mergeCell ref="AK64:AL64"/>
    <mergeCell ref="AI73:AJ73"/>
    <mergeCell ref="AX12:AY12"/>
    <mergeCell ref="AZ12:BA12"/>
    <mergeCell ref="AX11:AY11"/>
    <mergeCell ref="AZ11:BA11"/>
    <mergeCell ref="AW51:BB51"/>
    <mergeCell ref="AV19:AW19"/>
    <mergeCell ref="AV20:AW20"/>
    <mergeCell ref="AZ25:BA25"/>
    <mergeCell ref="AZ28:BA28"/>
    <mergeCell ref="AZ29:BA29"/>
    <mergeCell ref="AZ30:BA30"/>
    <mergeCell ref="AX28:AY28"/>
    <mergeCell ref="AX29:AY29"/>
    <mergeCell ref="AU28:AV28"/>
    <mergeCell ref="AT23:AU23"/>
    <mergeCell ref="AV23:AW23"/>
    <mergeCell ref="AX30:AY30"/>
    <mergeCell ref="AX22:AY22"/>
    <mergeCell ref="AX23:AY23"/>
    <mergeCell ref="AX24:AY24"/>
    <mergeCell ref="AX31:AY31"/>
    <mergeCell ref="AU29:AV29"/>
    <mergeCell ref="AU30:AV30"/>
    <mergeCell ref="AX25:AY25"/>
    <mergeCell ref="AL12:AM12"/>
    <mergeCell ref="AN12:AO12"/>
    <mergeCell ref="AP12:AQ12"/>
    <mergeCell ref="AR12:AS12"/>
    <mergeCell ref="BB16:BC16"/>
    <mergeCell ref="AX19:AY19"/>
    <mergeCell ref="AX20:AY20"/>
    <mergeCell ref="AT21:AU21"/>
    <mergeCell ref="AV21:AW21"/>
    <mergeCell ref="AX21:AY21"/>
    <mergeCell ref="BB12:BC12"/>
    <mergeCell ref="BB13:BC13"/>
    <mergeCell ref="BB14:BC14"/>
    <mergeCell ref="AP15:AQ15"/>
    <mergeCell ref="BB15:BC15"/>
    <mergeCell ref="AL20:AM20"/>
    <mergeCell ref="AN20:AO20"/>
    <mergeCell ref="AP20:AQ20"/>
    <mergeCell ref="AR20:AS20"/>
    <mergeCell ref="AT20:AU20"/>
    <mergeCell ref="AL21:AM21"/>
    <mergeCell ref="AN21:AO21"/>
    <mergeCell ref="AP21:AQ21"/>
    <mergeCell ref="AR21:AS21"/>
    <mergeCell ref="AJ29:AK29"/>
    <mergeCell ref="AL29:AM29"/>
    <mergeCell ref="AV25:AW25"/>
    <mergeCell ref="AJ28:AK28"/>
    <mergeCell ref="AL28:AM28"/>
    <mergeCell ref="AL22:AM22"/>
    <mergeCell ref="AN22:AO22"/>
    <mergeCell ref="AP22:AQ22"/>
    <mergeCell ref="AR22:AS22"/>
    <mergeCell ref="AT22:AU22"/>
    <mergeCell ref="AV22:AW22"/>
    <mergeCell ref="AI25:AJ25"/>
    <mergeCell ref="AR25:AS25"/>
    <mergeCell ref="AN28:AO28"/>
    <mergeCell ref="AS28:AT28"/>
    <mergeCell ref="AN29:AO29"/>
    <mergeCell ref="AS29:AT29"/>
    <mergeCell ref="AJ27:AO27"/>
    <mergeCell ref="AP28:AQ28"/>
    <mergeCell ref="AP29:AQ29"/>
    <mergeCell ref="AN25:AO25"/>
    <mergeCell ref="AL23:AM23"/>
    <mergeCell ref="AN23:AO23"/>
    <mergeCell ref="AP23:AQ23"/>
    <mergeCell ref="AJ30:AK30"/>
    <mergeCell ref="AL30:AM30"/>
    <mergeCell ref="AZ31:BA31"/>
    <mergeCell ref="BC51:BE52"/>
    <mergeCell ref="AQ54:AR54"/>
    <mergeCell ref="AQ53:AR53"/>
    <mergeCell ref="AQ55:AR55"/>
    <mergeCell ref="AI53:AJ55"/>
    <mergeCell ref="AK53:AL53"/>
    <mergeCell ref="AN53:AO53"/>
    <mergeCell ref="AK52:AL52"/>
    <mergeCell ref="AN52:AO52"/>
    <mergeCell ref="AQ52:AR52"/>
    <mergeCell ref="AW52:AZ52"/>
    <mergeCell ref="BA52:BB52"/>
    <mergeCell ref="AS51:AT52"/>
    <mergeCell ref="AJ31:AK31"/>
    <mergeCell ref="AL31:AM31"/>
    <mergeCell ref="AP31:AQ31"/>
    <mergeCell ref="AU31:AV31"/>
    <mergeCell ref="AI51:AJ52"/>
    <mergeCell ref="AK51:AL51"/>
    <mergeCell ref="AM51:AO51"/>
    <mergeCell ref="AP30:AQ30"/>
    <mergeCell ref="BB59:BE59"/>
    <mergeCell ref="BB60:BE60"/>
    <mergeCell ref="AK61:AL61"/>
    <mergeCell ref="AW61:BA61"/>
    <mergeCell ref="BB61:BE61"/>
    <mergeCell ref="AK62:AL62"/>
    <mergeCell ref="AW62:BA62"/>
    <mergeCell ref="BB62:BE62"/>
    <mergeCell ref="AU59:AV63"/>
    <mergeCell ref="AW59:BA59"/>
    <mergeCell ref="AW60:BA60"/>
    <mergeCell ref="AK63:AL63"/>
    <mergeCell ref="AW63:BA63"/>
    <mergeCell ref="BB63:BE63"/>
    <mergeCell ref="AU64:AV65"/>
    <mergeCell ref="AW64:BA64"/>
    <mergeCell ref="BB64:BE64"/>
    <mergeCell ref="AK65:AL65"/>
    <mergeCell ref="AW65:BA65"/>
    <mergeCell ref="BB65:BE65"/>
    <mergeCell ref="AK66:AL66"/>
    <mergeCell ref="AK67:AL67"/>
    <mergeCell ref="AK72:AL72"/>
    <mergeCell ref="AU72:AY72"/>
    <mergeCell ref="AZ72:BE72"/>
    <mergeCell ref="AU73:AY73"/>
    <mergeCell ref="AZ73:BE73"/>
    <mergeCell ref="AI74:AJ74"/>
    <mergeCell ref="AZ67:BB67"/>
    <mergeCell ref="BC67:BE67"/>
    <mergeCell ref="AU68:AY68"/>
    <mergeCell ref="AZ68:BB68"/>
    <mergeCell ref="BC68:BE68"/>
    <mergeCell ref="AU71:AY71"/>
    <mergeCell ref="AZ71:BE71"/>
    <mergeCell ref="AK69:AL69"/>
    <mergeCell ref="AK70:AL70"/>
    <mergeCell ref="AK71:AL71"/>
  </mergeCells>
  <phoneticPr fontId="2" type="noConversion"/>
  <conditionalFormatting sqref="C8:C69">
    <cfRule type="cellIs" dxfId="475" priority="1" operator="equal">
      <formula>"여기어때"</formula>
    </cfRule>
    <cfRule type="cellIs" dxfId="474" priority="2" operator="equal">
      <formula>"야놀자"</formula>
    </cfRule>
  </conditionalFormatting>
  <conditionalFormatting sqref="D42">
    <cfRule type="cellIs" dxfId="473" priority="55" operator="equal">
      <formula>"여기어때"</formula>
    </cfRule>
    <cfRule type="cellIs" dxfId="472" priority="56" operator="equal">
      <formula>"야놀자"</formula>
    </cfRule>
  </conditionalFormatting>
  <conditionalFormatting sqref="R8:R66">
    <cfRule type="cellIs" dxfId="471" priority="99" operator="equal">
      <formula>"여기어때"</formula>
    </cfRule>
    <cfRule type="cellIs" dxfId="470" priority="100" operator="equal">
      <formula>"야놀자"</formula>
    </cfRule>
  </conditionalFormatting>
  <conditionalFormatting sqref="R73">
    <cfRule type="cellIs" dxfId="469" priority="101" operator="equal">
      <formula>"여기어때"</formula>
    </cfRule>
    <cfRule type="cellIs" dxfId="468" priority="102" operator="equal">
      <formula>"야놀자"</formula>
    </cfRule>
  </conditionalFormatting>
  <conditionalFormatting sqref="AL30:AM30">
    <cfRule type="cellIs" dxfId="467" priority="86" operator="greaterThan">
      <formula>$AL$29</formula>
    </cfRule>
    <cfRule type="cellIs" dxfId="466" priority="94" operator="equal">
      <formula>$AL$29</formula>
    </cfRule>
  </conditionalFormatting>
  <conditionalFormatting sqref="AN30:AO30">
    <cfRule type="cellIs" dxfId="465" priority="85" operator="greaterThan">
      <formula>$AN$29</formula>
    </cfRule>
    <cfRule type="cellIs" dxfId="464" priority="93" operator="equal">
      <formula>$AN$29</formula>
    </cfRule>
  </conditionalFormatting>
  <conditionalFormatting sqref="AP30:AQ30">
    <cfRule type="cellIs" dxfId="463" priority="84" operator="greaterThan">
      <formula>$AP$29</formula>
    </cfRule>
    <cfRule type="cellIs" dxfId="462" priority="92" operator="equal">
      <formula>$AP$29</formula>
    </cfRule>
  </conditionalFormatting>
  <conditionalFormatting sqref="AR30">
    <cfRule type="cellIs" dxfId="461" priority="83" operator="greaterThan">
      <formula>$AR$29</formula>
    </cfRule>
    <cfRule type="cellIs" dxfId="460" priority="91" operator="equal">
      <formula>$AR$29</formula>
    </cfRule>
  </conditionalFormatting>
  <conditionalFormatting sqref="AS30:AT30">
    <cfRule type="cellIs" dxfId="459" priority="82" operator="greaterThan">
      <formula>$AS$29</formula>
    </cfRule>
    <cfRule type="cellIs" dxfId="458" priority="90" operator="equal">
      <formula>$AS$29</formula>
    </cfRule>
  </conditionalFormatting>
  <conditionalFormatting sqref="AU30:AV30">
    <cfRule type="cellIs" dxfId="457" priority="81" operator="greaterThan">
      <formula>$AU$29</formula>
    </cfRule>
    <cfRule type="cellIs" dxfId="456" priority="89" operator="equal">
      <formula>$AU$29</formula>
    </cfRule>
  </conditionalFormatting>
  <conditionalFormatting sqref="AW30">
    <cfRule type="cellIs" dxfId="455" priority="80" operator="greaterThan">
      <formula>$AW$29</formula>
    </cfRule>
    <cfRule type="cellIs" dxfId="454" priority="88" operator="equal">
      <formula>$AW$29</formula>
    </cfRule>
  </conditionalFormatting>
  <conditionalFormatting sqref="AX30:AY30">
    <cfRule type="cellIs" dxfId="453" priority="79" operator="greaterThan">
      <formula>$AX$29</formula>
    </cfRule>
    <cfRule type="cellIs" dxfId="452" priority="87" operator="equal">
      <formula>$AX$29</formula>
    </cfRule>
  </conditionalFormatting>
  <dataValidations count="1">
    <dataValidation type="list" allowBlank="1" showInputMessage="1" showErrorMessage="1" sqref="A8:A67 P8:P67 C75:C76 C70:C73" xr:uid="{A73AD9EF-9D6A-4D2F-A0B2-8FA1F52092C8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5DE8-4FF5-493B-AEE9-15E62FEC05D4}">
  <sheetPr codeName="Sheet13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AF27" sqref="AF27:AW31"/>
      <selection pane="bottomLeft" activeCell="N3" sqref="N3:O3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45913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4308004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41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317500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'13'!AA1</f>
        <v>45913</v>
      </c>
      <c r="AM2" s="863"/>
      <c r="AN2" s="863"/>
      <c r="AO2" s="864"/>
      <c r="AP2" s="865" t="s">
        <v>10</v>
      </c>
      <c r="AQ2" s="866"/>
      <c r="AR2" s="866"/>
      <c r="AS2" s="863">
        <f>AA1+1</f>
        <v>45914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4308004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319500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9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1</v>
      </c>
      <c r="E6" s="356">
        <f>AP31</f>
        <v>0</v>
      </c>
      <c r="F6" s="356">
        <f>AR31</f>
        <v>0</v>
      </c>
      <c r="G6" s="356">
        <f>AS31</f>
        <v>0</v>
      </c>
      <c r="H6" s="356">
        <f>AU31</f>
        <v>0</v>
      </c>
      <c r="I6" s="356">
        <f>AW31</f>
        <v>0</v>
      </c>
      <c r="J6" s="356">
        <f>AX31</f>
        <v>0</v>
      </c>
      <c r="K6" s="606"/>
      <c r="L6" s="607"/>
      <c r="M6" s="356"/>
      <c r="N6" s="606">
        <f>C6+D6+E6+F6+G6+H6+I6+J6+K6</f>
        <v>1</v>
      </c>
      <c r="O6" s="602"/>
      <c r="P6" s="599">
        <f>C2</f>
        <v>4308004</v>
      </c>
      <c r="Q6" s="600"/>
      <c r="R6" s="300">
        <f>AN14+AN15</f>
        <v>2000</v>
      </c>
      <c r="S6" s="300">
        <f>AZ14+AZ15</f>
        <v>0</v>
      </c>
      <c r="T6" s="300">
        <f>AR14+AR15</f>
        <v>6000</v>
      </c>
      <c r="U6" s="609">
        <f>AS60</f>
        <v>1540000</v>
      </c>
      <c r="V6" s="600"/>
      <c r="W6" s="609">
        <f>AS61</f>
        <v>1240000</v>
      </c>
      <c r="X6" s="600"/>
      <c r="Y6" s="609">
        <f>AS62</f>
        <v>0</v>
      </c>
      <c r="Z6" s="600"/>
      <c r="AA6" s="300">
        <f>AS63</f>
        <v>0</v>
      </c>
      <c r="AB6" s="300">
        <f>AS66</f>
        <v>918000</v>
      </c>
      <c r="AC6" s="300">
        <f>AS67</f>
        <v>450279</v>
      </c>
      <c r="AD6" s="300">
        <f>SUMIFS(O7:O47,C7:C47,"트립")</f>
        <v>151725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489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11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308</v>
      </c>
      <c r="C8" s="230" t="s">
        <v>300</v>
      </c>
      <c r="D8" s="251" t="s">
        <v>795</v>
      </c>
      <c r="E8" s="217"/>
      <c r="F8" s="251" t="s">
        <v>700</v>
      </c>
      <c r="G8" s="331" t="s">
        <v>283</v>
      </c>
      <c r="H8" s="215" t="s">
        <v>285</v>
      </c>
      <c r="I8" s="215" t="s">
        <v>286</v>
      </c>
      <c r="J8" s="233" t="s">
        <v>299</v>
      </c>
      <c r="K8" s="215"/>
      <c r="L8" s="234"/>
      <c r="M8" s="234"/>
      <c r="N8" s="234"/>
      <c r="O8" s="218">
        <v>127500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309</v>
      </c>
      <c r="C9" s="230" t="s">
        <v>301</v>
      </c>
      <c r="D9" s="231" t="s">
        <v>381</v>
      </c>
      <c r="E9" s="215" t="s">
        <v>799</v>
      </c>
      <c r="F9" s="231" t="s">
        <v>289</v>
      </c>
      <c r="G9" s="232" t="s">
        <v>283</v>
      </c>
      <c r="H9" s="215" t="s">
        <v>285</v>
      </c>
      <c r="I9" s="215" t="s">
        <v>286</v>
      </c>
      <c r="J9" s="233" t="s">
        <v>304</v>
      </c>
      <c r="K9" s="215"/>
      <c r="L9" s="234"/>
      <c r="M9" s="234"/>
      <c r="N9" s="234"/>
      <c r="O9" s="218">
        <v>151725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404</v>
      </c>
      <c r="C10" s="230" t="s">
        <v>281</v>
      </c>
      <c r="D10" s="251" t="s">
        <v>382</v>
      </c>
      <c r="E10" s="217" t="s">
        <v>516</v>
      </c>
      <c r="F10" s="251" t="s">
        <v>167</v>
      </c>
      <c r="G10" s="331" t="s">
        <v>283</v>
      </c>
      <c r="H10" s="215" t="s">
        <v>285</v>
      </c>
      <c r="I10" s="215" t="s">
        <v>286</v>
      </c>
      <c r="J10" s="233" t="s">
        <v>287</v>
      </c>
      <c r="K10" s="215"/>
      <c r="L10" s="234"/>
      <c r="M10" s="234"/>
      <c r="N10" s="234"/>
      <c r="O10" s="219">
        <v>125000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41</v>
      </c>
      <c r="AU10" s="625"/>
      <c r="AV10" s="625">
        <f>SUM(O8:O67)</f>
        <v>4300004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41</v>
      </c>
      <c r="BC10" s="799"/>
      <c r="BD10" s="800">
        <f>SUM(AN10+AR10+AV10+AZ10)</f>
        <v>4300004</v>
      </c>
      <c r="BE10" s="801"/>
    </row>
    <row r="11" spans="1:58" ht="64.5" customHeight="1" x14ac:dyDescent="0.3">
      <c r="A11" s="228">
        <v>4</v>
      </c>
      <c r="B11" s="229">
        <v>506</v>
      </c>
      <c r="C11" s="230" t="s">
        <v>300</v>
      </c>
      <c r="D11" s="251" t="s">
        <v>408</v>
      </c>
      <c r="E11" s="217" t="s">
        <v>516</v>
      </c>
      <c r="F11" s="251" t="s">
        <v>167</v>
      </c>
      <c r="G11" s="331" t="s">
        <v>283</v>
      </c>
      <c r="H11" s="215" t="s">
        <v>285</v>
      </c>
      <c r="I11" s="215" t="s">
        <v>286</v>
      </c>
      <c r="J11" s="233" t="s">
        <v>193</v>
      </c>
      <c r="K11" s="215" t="s">
        <v>710</v>
      </c>
      <c r="L11" s="234"/>
      <c r="M11" s="234"/>
      <c r="N11" s="234"/>
      <c r="O11" s="220">
        <v>107100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713</v>
      </c>
      <c r="C12" s="230" t="s">
        <v>298</v>
      </c>
      <c r="D12" s="217" t="s">
        <v>453</v>
      </c>
      <c r="E12" s="217" t="s">
        <v>451</v>
      </c>
      <c r="F12" s="251" t="s">
        <v>159</v>
      </c>
      <c r="G12" s="331" t="s">
        <v>290</v>
      </c>
      <c r="H12" s="215" t="s">
        <v>285</v>
      </c>
      <c r="I12" s="215" t="s">
        <v>286</v>
      </c>
      <c r="J12" s="233" t="s">
        <v>287</v>
      </c>
      <c r="K12" s="215"/>
      <c r="L12" s="234"/>
      <c r="M12" s="234"/>
      <c r="N12" s="234"/>
      <c r="O12" s="220">
        <v>172837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715</v>
      </c>
      <c r="C13" s="230" t="s">
        <v>298</v>
      </c>
      <c r="D13" s="217" t="s">
        <v>453</v>
      </c>
      <c r="E13" s="217" t="s">
        <v>452</v>
      </c>
      <c r="F13" s="251" t="s">
        <v>159</v>
      </c>
      <c r="G13" s="331" t="s">
        <v>290</v>
      </c>
      <c r="H13" s="215" t="s">
        <v>285</v>
      </c>
      <c r="I13" s="215" t="s">
        <v>286</v>
      </c>
      <c r="J13" s="233" t="s">
        <v>287</v>
      </c>
      <c r="K13" s="215"/>
      <c r="L13" s="234"/>
      <c r="M13" s="234"/>
      <c r="N13" s="234"/>
      <c r="O13" s="220">
        <v>172837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906</v>
      </c>
      <c r="C14" s="230" t="s">
        <v>73</v>
      </c>
      <c r="D14" s="251" t="s">
        <v>482</v>
      </c>
      <c r="E14" s="217" t="s">
        <v>166</v>
      </c>
      <c r="F14" s="251" t="s">
        <v>751</v>
      </c>
      <c r="G14" s="331" t="s">
        <v>163</v>
      </c>
      <c r="H14" s="215" t="s">
        <v>164</v>
      </c>
      <c r="I14" s="215" t="s">
        <v>165</v>
      </c>
      <c r="J14" s="233" t="s">
        <v>247</v>
      </c>
      <c r="K14" s="215"/>
      <c r="L14" s="234"/>
      <c r="M14" s="234"/>
      <c r="N14" s="234"/>
      <c r="O14" s="218">
        <v>100000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41</v>
      </c>
      <c r="AU14" s="653"/>
      <c r="AV14" s="653">
        <f>SUM(AV10:AW13)</f>
        <v>4300004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41</v>
      </c>
      <c r="BC14" s="655"/>
      <c r="BD14" s="782">
        <f>SUM(BD10:BE13)</f>
        <v>4300004</v>
      </c>
      <c r="BE14" s="783"/>
    </row>
    <row r="15" spans="1:58" ht="64.5" customHeight="1" thickBot="1" x14ac:dyDescent="0.35">
      <c r="A15" s="228">
        <v>8</v>
      </c>
      <c r="B15" s="229">
        <v>1210</v>
      </c>
      <c r="C15" s="230" t="s">
        <v>73</v>
      </c>
      <c r="D15" s="251" t="s">
        <v>488</v>
      </c>
      <c r="E15" s="217"/>
      <c r="F15" s="251" t="s">
        <v>489</v>
      </c>
      <c r="G15" s="331" t="s">
        <v>490</v>
      </c>
      <c r="H15" s="215" t="s">
        <v>164</v>
      </c>
      <c r="I15" s="215" t="s">
        <v>165</v>
      </c>
      <c r="J15" s="233" t="s">
        <v>487</v>
      </c>
      <c r="K15" s="215"/>
      <c r="L15" s="234"/>
      <c r="M15" s="234"/>
      <c r="N15" s="234"/>
      <c r="O15" s="218">
        <v>120000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3</v>
      </c>
      <c r="AQ15" s="633"/>
      <c r="AR15" s="632">
        <f>AR24</f>
        <v>6000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4</v>
      </c>
      <c r="BC15" s="633"/>
      <c r="BD15" s="776">
        <f>SUM(AN15+AR15+AV15+AZ15)</f>
        <v>8000</v>
      </c>
      <c r="BE15" s="777"/>
    </row>
    <row r="16" spans="1:58" ht="64.5" customHeight="1" thickBot="1" x14ac:dyDescent="0.35">
      <c r="A16" s="228">
        <v>9</v>
      </c>
      <c r="B16" s="229">
        <v>1216</v>
      </c>
      <c r="C16" s="230" t="s">
        <v>514</v>
      </c>
      <c r="D16" s="251" t="s">
        <v>515</v>
      </c>
      <c r="E16" s="217" t="s">
        <v>166</v>
      </c>
      <c r="F16" s="251" t="s">
        <v>696</v>
      </c>
      <c r="G16" s="331" t="s">
        <v>490</v>
      </c>
      <c r="H16" s="215" t="s">
        <v>164</v>
      </c>
      <c r="I16" s="215" t="s">
        <v>165</v>
      </c>
      <c r="J16" s="233" t="s">
        <v>189</v>
      </c>
      <c r="K16" s="215"/>
      <c r="L16" s="234"/>
      <c r="M16" s="234"/>
      <c r="N16" s="234"/>
      <c r="O16" s="218">
        <v>100000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4308004</v>
      </c>
      <c r="BE16" s="652"/>
      <c r="BF16" s="10"/>
    </row>
    <row r="17" spans="1:62" ht="64.5" customHeight="1" thickBot="1" x14ac:dyDescent="0.35">
      <c r="A17" s="228">
        <v>10</v>
      </c>
      <c r="B17" s="229">
        <v>1215</v>
      </c>
      <c r="C17" s="230" t="s">
        <v>491</v>
      </c>
      <c r="D17" s="251" t="s">
        <v>567</v>
      </c>
      <c r="E17" s="217" t="s">
        <v>545</v>
      </c>
      <c r="F17" s="251" t="s">
        <v>504</v>
      </c>
      <c r="G17" s="331" t="s">
        <v>490</v>
      </c>
      <c r="H17" s="215" t="s">
        <v>164</v>
      </c>
      <c r="I17" s="215" t="s">
        <v>165</v>
      </c>
      <c r="J17" s="233" t="s">
        <v>189</v>
      </c>
      <c r="K17" s="215"/>
      <c r="L17" s="234"/>
      <c r="M17" s="234"/>
      <c r="N17" s="234"/>
      <c r="O17" s="218">
        <v>105000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19">
        <v>406</v>
      </c>
      <c r="C18" s="230" t="s">
        <v>74</v>
      </c>
      <c r="D18" s="251" t="s">
        <v>574</v>
      </c>
      <c r="E18" s="217" t="s">
        <v>166</v>
      </c>
      <c r="F18" s="251" t="s">
        <v>751</v>
      </c>
      <c r="G18" s="331" t="s">
        <v>163</v>
      </c>
      <c r="H18" s="215" t="s">
        <v>164</v>
      </c>
      <c r="I18" s="215" t="s">
        <v>165</v>
      </c>
      <c r="J18" s="237" t="s">
        <v>190</v>
      </c>
      <c r="K18" s="238"/>
      <c r="L18" s="234"/>
      <c r="M18" s="234"/>
      <c r="N18" s="234"/>
      <c r="O18" s="218">
        <v>100000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19">
        <v>701</v>
      </c>
      <c r="C19" s="230" t="s">
        <v>73</v>
      </c>
      <c r="D19" s="360" t="s">
        <v>575</v>
      </c>
      <c r="E19" s="217" t="s">
        <v>318</v>
      </c>
      <c r="F19" s="251" t="s">
        <v>161</v>
      </c>
      <c r="G19" s="331" t="s">
        <v>163</v>
      </c>
      <c r="H19" s="215" t="s">
        <v>164</v>
      </c>
      <c r="I19" s="215" t="s">
        <v>165</v>
      </c>
      <c r="J19" s="215" t="s">
        <v>190</v>
      </c>
      <c r="K19" s="215"/>
      <c r="L19" s="254"/>
      <c r="M19" s="254"/>
      <c r="N19" s="254"/>
      <c r="O19" s="224">
        <v>105000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19">
        <v>1011</v>
      </c>
      <c r="C20" s="230" t="s">
        <v>74</v>
      </c>
      <c r="D20" s="251" t="s">
        <v>592</v>
      </c>
      <c r="E20" s="217" t="s">
        <v>166</v>
      </c>
      <c r="F20" s="251" t="s">
        <v>690</v>
      </c>
      <c r="G20" s="331" t="s">
        <v>163</v>
      </c>
      <c r="H20" s="215" t="s">
        <v>164</v>
      </c>
      <c r="I20" s="215" t="s">
        <v>165</v>
      </c>
      <c r="J20" s="215" t="s">
        <v>190</v>
      </c>
      <c r="K20" s="215"/>
      <c r="L20" s="234"/>
      <c r="M20" s="234"/>
      <c r="N20" s="234"/>
      <c r="O20" s="218">
        <v>100000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3</v>
      </c>
      <c r="AQ20" s="655"/>
      <c r="AR20" s="654">
        <f>AP20*2000</f>
        <v>6000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4</v>
      </c>
      <c r="AY20" s="647"/>
      <c r="AZ20" s="648">
        <f>SUM(AJ20+AN20+AR20+AV20)</f>
        <v>8000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19">
        <v>307</v>
      </c>
      <c r="C21" s="230" t="s">
        <v>74</v>
      </c>
      <c r="D21" s="251" t="s">
        <v>603</v>
      </c>
      <c r="E21" s="217"/>
      <c r="F21" s="251" t="s">
        <v>55</v>
      </c>
      <c r="G21" s="331" t="s">
        <v>163</v>
      </c>
      <c r="H21" s="215" t="s">
        <v>164</v>
      </c>
      <c r="I21" s="215" t="s">
        <v>165</v>
      </c>
      <c r="J21" s="233" t="s">
        <v>247</v>
      </c>
      <c r="K21" s="215"/>
      <c r="L21" s="234"/>
      <c r="M21" s="234"/>
      <c r="N21" s="234"/>
      <c r="O21" s="218">
        <v>105000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19">
        <v>609</v>
      </c>
      <c r="C22" s="230" t="s">
        <v>73</v>
      </c>
      <c r="D22" s="251" t="s">
        <v>606</v>
      </c>
      <c r="E22" s="217" t="s">
        <v>318</v>
      </c>
      <c r="F22" s="251" t="s">
        <v>167</v>
      </c>
      <c r="G22" s="331" t="s">
        <v>163</v>
      </c>
      <c r="H22" s="215" t="s">
        <v>164</v>
      </c>
      <c r="I22" s="215" t="s">
        <v>165</v>
      </c>
      <c r="J22" s="233" t="s">
        <v>247</v>
      </c>
      <c r="K22" s="215"/>
      <c r="L22" s="234"/>
      <c r="M22" s="234"/>
      <c r="N22" s="234"/>
      <c r="O22" s="218">
        <v>115000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19">
        <v>1112</v>
      </c>
      <c r="C23" s="230" t="s">
        <v>81</v>
      </c>
      <c r="D23" s="487" t="s">
        <v>607</v>
      </c>
      <c r="E23" s="217" t="s">
        <v>363</v>
      </c>
      <c r="F23" s="251" t="s">
        <v>159</v>
      </c>
      <c r="G23" s="331" t="s">
        <v>163</v>
      </c>
      <c r="H23" s="215" t="s">
        <v>164</v>
      </c>
      <c r="I23" s="215" t="s">
        <v>165</v>
      </c>
      <c r="J23" s="215" t="s">
        <v>247</v>
      </c>
      <c r="K23" s="215"/>
      <c r="L23" s="234"/>
      <c r="M23" s="234"/>
      <c r="N23" s="234"/>
      <c r="O23" s="218">
        <v>104605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19">
        <v>1208</v>
      </c>
      <c r="C24" s="230" t="s">
        <v>74</v>
      </c>
      <c r="D24" s="251" t="s">
        <v>609</v>
      </c>
      <c r="E24" s="217"/>
      <c r="F24" s="251" t="s">
        <v>700</v>
      </c>
      <c r="G24" s="331" t="s">
        <v>163</v>
      </c>
      <c r="H24" s="215" t="s">
        <v>164</v>
      </c>
      <c r="I24" s="215" t="s">
        <v>165</v>
      </c>
      <c r="J24" s="215" t="s">
        <v>247</v>
      </c>
      <c r="K24" s="215"/>
      <c r="L24" s="234"/>
      <c r="M24" s="234"/>
      <c r="N24" s="234"/>
      <c r="O24" s="218">
        <v>115000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3</v>
      </c>
      <c r="AQ24" s="655"/>
      <c r="AR24" s="654">
        <f>SUM(AR20:AS23)</f>
        <v>6000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4</v>
      </c>
      <c r="AY24" s="647"/>
      <c r="AZ24" s="648">
        <f>SUM(AZ20:BA23)</f>
        <v>8000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19">
        <v>401</v>
      </c>
      <c r="C25" s="230" t="s">
        <v>74</v>
      </c>
      <c r="D25" s="217" t="s">
        <v>640</v>
      </c>
      <c r="E25" s="217" t="s">
        <v>714</v>
      </c>
      <c r="F25" s="251" t="s">
        <v>704</v>
      </c>
      <c r="G25" s="331" t="s">
        <v>163</v>
      </c>
      <c r="H25" s="215" t="s">
        <v>164</v>
      </c>
      <c r="I25" s="215" t="s">
        <v>165</v>
      </c>
      <c r="J25" s="233" t="s">
        <v>189</v>
      </c>
      <c r="K25" s="238">
        <v>2</v>
      </c>
      <c r="L25" s="234"/>
      <c r="M25" s="234"/>
      <c r="N25" s="234"/>
      <c r="O25" s="218">
        <v>125000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19">
        <v>811</v>
      </c>
      <c r="C26" s="230" t="s">
        <v>74</v>
      </c>
      <c r="D26" s="360" t="s">
        <v>654</v>
      </c>
      <c r="E26" s="371" t="s">
        <v>644</v>
      </c>
      <c r="F26" s="360" t="s">
        <v>690</v>
      </c>
      <c r="G26" s="331" t="s">
        <v>163</v>
      </c>
      <c r="H26" s="215" t="s">
        <v>164</v>
      </c>
      <c r="I26" s="215" t="s">
        <v>165</v>
      </c>
      <c r="J26" s="233" t="s">
        <v>193</v>
      </c>
      <c r="K26" s="215"/>
      <c r="L26" s="234"/>
      <c r="M26" s="234"/>
      <c r="N26" s="234"/>
      <c r="O26" s="218">
        <v>120000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319">
        <v>1004</v>
      </c>
      <c r="C27" s="230" t="s">
        <v>74</v>
      </c>
      <c r="D27" s="251" t="s">
        <v>661</v>
      </c>
      <c r="E27" s="217" t="s">
        <v>318</v>
      </c>
      <c r="F27" s="251" t="s">
        <v>167</v>
      </c>
      <c r="G27" s="331" t="s">
        <v>163</v>
      </c>
      <c r="H27" s="215" t="s">
        <v>164</v>
      </c>
      <c r="I27" s="215" t="s">
        <v>165</v>
      </c>
      <c r="J27" s="233" t="s">
        <v>193</v>
      </c>
      <c r="K27" s="231"/>
      <c r="L27" s="234"/>
      <c r="M27" s="234"/>
      <c r="N27" s="234"/>
      <c r="O27" s="218">
        <v>125000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319">
        <v>1114</v>
      </c>
      <c r="C28" s="230" t="s">
        <v>686</v>
      </c>
      <c r="D28" s="251" t="s">
        <v>709</v>
      </c>
      <c r="E28" s="217"/>
      <c r="F28" s="251" t="s">
        <v>696</v>
      </c>
      <c r="G28" s="331" t="s">
        <v>688</v>
      </c>
      <c r="H28" s="215" t="s">
        <v>164</v>
      </c>
      <c r="I28" s="215" t="s">
        <v>165</v>
      </c>
      <c r="J28" s="215" t="s">
        <v>691</v>
      </c>
      <c r="K28" s="215" t="s">
        <v>710</v>
      </c>
      <c r="L28" s="234"/>
      <c r="M28" s="234"/>
      <c r="N28" s="234"/>
      <c r="O28" s="218">
        <v>120000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319">
        <v>501</v>
      </c>
      <c r="C29" s="230" t="s">
        <v>693</v>
      </c>
      <c r="D29" s="251" t="s">
        <v>723</v>
      </c>
      <c r="E29" s="217" t="s">
        <v>318</v>
      </c>
      <c r="F29" s="251" t="s">
        <v>704</v>
      </c>
      <c r="G29" s="331" t="s">
        <v>688</v>
      </c>
      <c r="H29" s="215" t="s">
        <v>164</v>
      </c>
      <c r="I29" s="215" t="s">
        <v>165</v>
      </c>
      <c r="J29" s="233" t="s">
        <v>713</v>
      </c>
      <c r="K29" s="215"/>
      <c r="L29" s="234"/>
      <c r="M29" s="234"/>
      <c r="N29" s="234"/>
      <c r="O29" s="218">
        <v>122400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>
        <v>805</v>
      </c>
      <c r="C30" s="230" t="s">
        <v>693</v>
      </c>
      <c r="D30" s="251" t="s">
        <v>724</v>
      </c>
      <c r="E30" s="217" t="s">
        <v>318</v>
      </c>
      <c r="F30" s="251" t="s">
        <v>167</v>
      </c>
      <c r="G30" s="331" t="s">
        <v>720</v>
      </c>
      <c r="H30" s="215" t="s">
        <v>164</v>
      </c>
      <c r="I30" s="215" t="s">
        <v>165</v>
      </c>
      <c r="J30" s="233" t="s">
        <v>713</v>
      </c>
      <c r="K30" s="238"/>
      <c r="L30" s="234"/>
      <c r="M30" s="234"/>
      <c r="N30" s="234"/>
      <c r="O30" s="218">
        <v>188700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3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5</v>
      </c>
      <c r="AV30" s="830"/>
      <c r="AW30" s="324">
        <f>COUNTIF(F8:F67,"v")</f>
        <v>5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>
        <v>1115</v>
      </c>
      <c r="C31" s="230" t="s">
        <v>689</v>
      </c>
      <c r="D31" s="251" t="s">
        <v>725</v>
      </c>
      <c r="E31" s="371" t="s">
        <v>644</v>
      </c>
      <c r="F31" s="360" t="s">
        <v>696</v>
      </c>
      <c r="G31" s="331" t="s">
        <v>163</v>
      </c>
      <c r="H31" s="215" t="s">
        <v>164</v>
      </c>
      <c r="I31" s="215" t="s">
        <v>165</v>
      </c>
      <c r="J31" s="237" t="s">
        <v>713</v>
      </c>
      <c r="K31" s="238"/>
      <c r="L31" s="234"/>
      <c r="M31" s="234"/>
      <c r="N31" s="234"/>
      <c r="O31" s="218">
        <v>110000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1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0</v>
      </c>
      <c r="AV31" s="817"/>
      <c r="AW31" s="322">
        <f>AW29-AW30</f>
        <v>0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19">
        <v>1105</v>
      </c>
      <c r="C32" s="230" t="s">
        <v>73</v>
      </c>
      <c r="D32" s="251" t="s">
        <v>729</v>
      </c>
      <c r="E32" s="217" t="s">
        <v>318</v>
      </c>
      <c r="F32" s="251" t="s">
        <v>160</v>
      </c>
      <c r="G32" s="331" t="s">
        <v>688</v>
      </c>
      <c r="H32" s="215" t="s">
        <v>164</v>
      </c>
      <c r="I32" s="215" t="s">
        <v>165</v>
      </c>
      <c r="J32" s="237" t="s">
        <v>713</v>
      </c>
      <c r="K32" s="215"/>
      <c r="L32" s="234"/>
      <c r="M32" s="234"/>
      <c r="N32" s="234"/>
      <c r="O32" s="218">
        <v>120000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>
        <v>1206</v>
      </c>
      <c r="C33" s="230" t="s">
        <v>693</v>
      </c>
      <c r="D33" s="251" t="s">
        <v>746</v>
      </c>
      <c r="E33" s="217" t="s">
        <v>318</v>
      </c>
      <c r="F33" s="251" t="s">
        <v>160</v>
      </c>
      <c r="G33" s="331" t="s">
        <v>688</v>
      </c>
      <c r="H33" s="215" t="s">
        <v>164</v>
      </c>
      <c r="I33" s="215" t="s">
        <v>165</v>
      </c>
      <c r="J33" s="233" t="s">
        <v>733</v>
      </c>
      <c r="K33" s="215"/>
      <c r="L33" s="234"/>
      <c r="M33" s="234"/>
      <c r="N33" s="234"/>
      <c r="O33" s="218">
        <v>122400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>
        <v>1006</v>
      </c>
      <c r="C34" s="230" t="s">
        <v>693</v>
      </c>
      <c r="D34" s="251" t="s">
        <v>754</v>
      </c>
      <c r="E34" s="217" t="s">
        <v>767</v>
      </c>
      <c r="F34" s="251" t="s">
        <v>692</v>
      </c>
      <c r="G34" s="331" t="s">
        <v>688</v>
      </c>
      <c r="H34" s="215" t="s">
        <v>164</v>
      </c>
      <c r="I34" s="215" t="s">
        <v>165</v>
      </c>
      <c r="J34" s="237" t="s">
        <v>691</v>
      </c>
      <c r="K34" s="238"/>
      <c r="L34" s="234"/>
      <c r="M34" s="234"/>
      <c r="N34" s="234"/>
      <c r="O34" s="218">
        <v>122400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19">
        <v>615</v>
      </c>
      <c r="C35" s="230" t="s">
        <v>686</v>
      </c>
      <c r="D35" s="251" t="s">
        <v>770</v>
      </c>
      <c r="E35" s="217" t="s">
        <v>166</v>
      </c>
      <c r="F35" s="251" t="s">
        <v>696</v>
      </c>
      <c r="G35" s="331" t="s">
        <v>720</v>
      </c>
      <c r="H35" s="215" t="s">
        <v>164</v>
      </c>
      <c r="I35" s="215" t="s">
        <v>165</v>
      </c>
      <c r="J35" s="215" t="s">
        <v>713</v>
      </c>
      <c r="K35" s="215"/>
      <c r="L35" s="234"/>
      <c r="M35" s="234"/>
      <c r="N35" s="234"/>
      <c r="O35" s="218">
        <v>170000</v>
      </c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319">
        <v>1110</v>
      </c>
      <c r="C36" s="230" t="s">
        <v>686</v>
      </c>
      <c r="D36" s="251" t="s">
        <v>771</v>
      </c>
      <c r="E36" s="217" t="s">
        <v>772</v>
      </c>
      <c r="F36" s="251" t="s">
        <v>704</v>
      </c>
      <c r="G36" s="331" t="s">
        <v>688</v>
      </c>
      <c r="H36" s="215" t="s">
        <v>164</v>
      </c>
      <c r="I36" s="215" t="s">
        <v>165</v>
      </c>
      <c r="J36" s="215" t="s">
        <v>713</v>
      </c>
      <c r="K36" s="215"/>
      <c r="L36" s="234"/>
      <c r="M36" s="234"/>
      <c r="N36" s="234"/>
      <c r="O36" s="218">
        <v>125000</v>
      </c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319">
        <v>1214</v>
      </c>
      <c r="C37" s="230" t="s">
        <v>689</v>
      </c>
      <c r="D37" s="251" t="s">
        <v>778</v>
      </c>
      <c r="E37" s="217" t="s">
        <v>166</v>
      </c>
      <c r="F37" s="251" t="s">
        <v>696</v>
      </c>
      <c r="G37" s="331" t="s">
        <v>688</v>
      </c>
      <c r="H37" s="215" t="s">
        <v>164</v>
      </c>
      <c r="I37" s="215" t="s">
        <v>165</v>
      </c>
      <c r="J37" s="215" t="s">
        <v>713</v>
      </c>
      <c r="K37" s="215"/>
      <c r="L37" s="234"/>
      <c r="M37" s="234"/>
      <c r="N37" s="234"/>
      <c r="O37" s="218">
        <v>110000</v>
      </c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319">
        <v>1116</v>
      </c>
      <c r="C38" s="230" t="s">
        <v>686</v>
      </c>
      <c r="D38" s="251" t="s">
        <v>783</v>
      </c>
      <c r="E38" s="217" t="s">
        <v>166</v>
      </c>
      <c r="F38" s="251" t="s">
        <v>696</v>
      </c>
      <c r="G38" s="331" t="s">
        <v>688</v>
      </c>
      <c r="H38" s="215" t="s">
        <v>164</v>
      </c>
      <c r="I38" s="215" t="s">
        <v>165</v>
      </c>
      <c r="J38" s="215" t="s">
        <v>713</v>
      </c>
      <c r="K38" s="215" t="s">
        <v>688</v>
      </c>
      <c r="L38" s="234"/>
      <c r="M38" s="234"/>
      <c r="N38" s="234"/>
      <c r="O38" s="218">
        <v>110000</v>
      </c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319">
        <v>1111</v>
      </c>
      <c r="C39" s="230" t="s">
        <v>689</v>
      </c>
      <c r="D39" s="251" t="s">
        <v>784</v>
      </c>
      <c r="E39" s="217" t="s">
        <v>166</v>
      </c>
      <c r="F39" s="251" t="s">
        <v>690</v>
      </c>
      <c r="G39" s="331" t="s">
        <v>688</v>
      </c>
      <c r="H39" s="215" t="s">
        <v>164</v>
      </c>
      <c r="I39" s="215" t="s">
        <v>165</v>
      </c>
      <c r="J39" s="215" t="s">
        <v>713</v>
      </c>
      <c r="K39" s="215"/>
      <c r="L39" s="234"/>
      <c r="M39" s="234"/>
      <c r="N39" s="234"/>
      <c r="O39" s="218">
        <v>110000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19">
        <v>702</v>
      </c>
      <c r="C40" s="230" t="s">
        <v>686</v>
      </c>
      <c r="D40" s="251" t="s">
        <v>786</v>
      </c>
      <c r="E40" s="217"/>
      <c r="F40" s="251" t="s">
        <v>751</v>
      </c>
      <c r="G40" s="331" t="s">
        <v>688</v>
      </c>
      <c r="H40" s="215" t="s">
        <v>164</v>
      </c>
      <c r="I40" s="215" t="s">
        <v>165</v>
      </c>
      <c r="J40" s="215" t="s">
        <v>713</v>
      </c>
      <c r="K40" s="215"/>
      <c r="L40" s="234"/>
      <c r="M40" s="234"/>
      <c r="N40" s="234"/>
      <c r="O40" s="218">
        <v>125000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19">
        <v>709</v>
      </c>
      <c r="C41" s="230" t="s">
        <v>689</v>
      </c>
      <c r="D41" s="251" t="s">
        <v>788</v>
      </c>
      <c r="E41" s="217" t="s">
        <v>789</v>
      </c>
      <c r="F41" s="251" t="s">
        <v>751</v>
      </c>
      <c r="G41" s="331" t="s">
        <v>688</v>
      </c>
      <c r="H41" s="215" t="s">
        <v>164</v>
      </c>
      <c r="I41" s="215" t="s">
        <v>165</v>
      </c>
      <c r="J41" s="215" t="s">
        <v>713</v>
      </c>
      <c r="K41" s="215"/>
      <c r="L41" s="234"/>
      <c r="M41" s="234"/>
      <c r="N41" s="234"/>
      <c r="O41" s="218">
        <v>120000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319">
        <v>809</v>
      </c>
      <c r="C42" s="318" t="s">
        <v>693</v>
      </c>
      <c r="D42" s="251" t="s">
        <v>790</v>
      </c>
      <c r="E42" s="217"/>
      <c r="F42" s="251" t="s">
        <v>692</v>
      </c>
      <c r="G42" s="331" t="s">
        <v>688</v>
      </c>
      <c r="H42" s="215" t="s">
        <v>164</v>
      </c>
      <c r="I42" s="215" t="s">
        <v>165</v>
      </c>
      <c r="J42" s="215" t="s">
        <v>713</v>
      </c>
      <c r="K42" s="215"/>
      <c r="L42" s="234"/>
      <c r="M42" s="234"/>
      <c r="N42" s="234"/>
      <c r="O42" s="218">
        <v>127500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415"/>
      <c r="C43" s="255"/>
      <c r="D43" s="255"/>
      <c r="E43" s="485"/>
      <c r="F43" s="265"/>
      <c r="G43" s="267"/>
      <c r="H43" s="266"/>
      <c r="I43" s="266"/>
      <c r="J43" s="269"/>
      <c r="K43" s="266"/>
      <c r="L43" s="257"/>
      <c r="M43" s="257"/>
      <c r="N43" s="257"/>
      <c r="O43" s="223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907</v>
      </c>
      <c r="C44" s="230" t="s">
        <v>764</v>
      </c>
      <c r="D44" s="231" t="s">
        <v>763</v>
      </c>
      <c r="E44" s="214"/>
      <c r="F44" s="231" t="s">
        <v>692</v>
      </c>
      <c r="G44" s="232" t="s">
        <v>721</v>
      </c>
      <c r="H44" s="215" t="s">
        <v>164</v>
      </c>
      <c r="I44" s="215" t="s">
        <v>165</v>
      </c>
      <c r="J44" s="233" t="s">
        <v>733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705</v>
      </c>
      <c r="C45" s="230" t="s">
        <v>686</v>
      </c>
      <c r="D45" s="231" t="s">
        <v>756</v>
      </c>
      <c r="E45" s="215" t="s">
        <v>166</v>
      </c>
      <c r="F45" s="231" t="s">
        <v>751</v>
      </c>
      <c r="G45" s="232" t="s">
        <v>757</v>
      </c>
      <c r="H45" s="215" t="s">
        <v>164</v>
      </c>
      <c r="I45" s="215" t="s">
        <v>165</v>
      </c>
      <c r="J45" s="233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1107</v>
      </c>
      <c r="C46" s="230" t="s">
        <v>689</v>
      </c>
      <c r="D46" s="231" t="s">
        <v>719</v>
      </c>
      <c r="E46" s="215"/>
      <c r="F46" s="231" t="s">
        <v>692</v>
      </c>
      <c r="G46" s="232" t="s">
        <v>721</v>
      </c>
      <c r="H46" s="215" t="s">
        <v>164</v>
      </c>
      <c r="I46" s="215" t="s">
        <v>165</v>
      </c>
      <c r="J46" s="233" t="s">
        <v>713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902</v>
      </c>
      <c r="C47" s="230" t="s">
        <v>170</v>
      </c>
      <c r="D47" s="231" t="s">
        <v>650</v>
      </c>
      <c r="E47" s="215"/>
      <c r="F47" s="231" t="s">
        <v>167</v>
      </c>
      <c r="G47" s="232" t="s">
        <v>174</v>
      </c>
      <c r="H47" s="215" t="s">
        <v>164</v>
      </c>
      <c r="I47" s="215" t="s">
        <v>165</v>
      </c>
      <c r="J47" s="233" t="s">
        <v>189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305</v>
      </c>
      <c r="C48" s="446" t="s">
        <v>135</v>
      </c>
      <c r="D48" s="304" t="s">
        <v>426</v>
      </c>
      <c r="E48" s="305" t="s">
        <v>425</v>
      </c>
      <c r="F48" s="304" t="s">
        <v>55</v>
      </c>
      <c r="G48" s="381" t="s">
        <v>369</v>
      </c>
      <c r="H48" s="215" t="s">
        <v>164</v>
      </c>
      <c r="I48" s="215" t="s">
        <v>165</v>
      </c>
      <c r="J48" s="233" t="s">
        <v>189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409</v>
      </c>
      <c r="C49" s="285" t="s">
        <v>70</v>
      </c>
      <c r="D49" s="275" t="s">
        <v>753</v>
      </c>
      <c r="E49" s="276"/>
      <c r="F49" s="275" t="s">
        <v>167</v>
      </c>
      <c r="G49" s="277" t="s">
        <v>172</v>
      </c>
      <c r="H49" s="276" t="s">
        <v>164</v>
      </c>
      <c r="I49" s="276" t="s">
        <v>165</v>
      </c>
      <c r="J49" s="276" t="s">
        <v>189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6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4</v>
      </c>
      <c r="BB54" s="681"/>
      <c r="BC54" s="679">
        <f>AZ24</f>
        <v>8000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4</v>
      </c>
      <c r="BB55" s="681"/>
      <c r="BC55" s="679">
        <f>SUM(BC53:BE54)</f>
        <v>8000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14</v>
      </c>
      <c r="AQ60" s="56">
        <f>SUMIF($C$8:$C$72, $AK60, $L$8:$L$72)+SUMIF($C$8:$C$72, $AK60, $M$8:$M$72)+SUMIF($C$8:$C$72, $AK60, $N$8:$N$72)+SUMIF($C$8:$C$72, $AK60, $O$8:$O$72)</f>
        <v>1540000</v>
      </c>
      <c r="AR60" s="57">
        <f>AQ60*0.9</f>
        <v>1386000</v>
      </c>
      <c r="AS60" s="58">
        <f t="shared" ref="AS60:AS70" si="4">SUM(AN60+AQ60)</f>
        <v>1540000</v>
      </c>
      <c r="AT60" s="59">
        <f t="shared" ref="AT60:AT70" si="5">AO60+AR60</f>
        <v>1386000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12</v>
      </c>
      <c r="AQ61" s="56">
        <f t="shared" ref="AQ61:AQ70" si="8">SUMIF($C$8:$C$72, $AK61, $L$8:$L$72)+SUMIF($C$8:$C$72, $AK61, $M$8:$M$72)+SUMIF($C$8:$C$72, $AK61, $N$8:$N$72)+SUMIF($C$8:$C$72, $AK61, $O$8:$O$72)</f>
        <v>1240000</v>
      </c>
      <c r="AR61" s="57">
        <f t="shared" ref="AR61:AR70" si="9">AQ61*0.9</f>
        <v>1116000</v>
      </c>
      <c r="AS61" s="58">
        <f t="shared" si="4"/>
        <v>1240000</v>
      </c>
      <c r="AT61" s="59">
        <f t="shared" si="5"/>
        <v>1116000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8</v>
      </c>
      <c r="AQ66" s="56">
        <f t="shared" si="8"/>
        <v>918000</v>
      </c>
      <c r="AR66" s="57">
        <f t="shared" si="9"/>
        <v>826200</v>
      </c>
      <c r="AS66" s="58">
        <f t="shared" si="4"/>
        <v>918000</v>
      </c>
      <c r="AT66" s="59">
        <f t="shared" si="5"/>
        <v>826200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3</v>
      </c>
      <c r="AQ67" s="56">
        <f t="shared" si="8"/>
        <v>450279</v>
      </c>
      <c r="AR67" s="57">
        <f t="shared" si="9"/>
        <v>405251.10000000003</v>
      </c>
      <c r="AS67" s="58">
        <f t="shared" si="4"/>
        <v>450279</v>
      </c>
      <c r="AT67" s="59">
        <f t="shared" si="5"/>
        <v>405251.10000000003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49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2</v>
      </c>
      <c r="AQ68" s="56">
        <f t="shared" si="8"/>
        <v>151725</v>
      </c>
      <c r="AR68" s="57">
        <f t="shared" si="9"/>
        <v>136552.5</v>
      </c>
      <c r="AS68" s="58">
        <f t="shared" si="4"/>
        <v>151725</v>
      </c>
      <c r="AT68" s="59">
        <f t="shared" si="5"/>
        <v>136552.5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4300004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8000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4308004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40</v>
      </c>
      <c r="AQ73" s="22">
        <f t="shared" si="10"/>
        <v>4300004</v>
      </c>
      <c r="AR73" s="23">
        <f t="shared" si="10"/>
        <v>3870003.6</v>
      </c>
      <c r="AS73" s="24">
        <f t="shared" si="10"/>
        <v>4300004</v>
      </c>
      <c r="AT73" s="25">
        <f t="shared" si="10"/>
        <v>3870003.6</v>
      </c>
      <c r="AU73" s="692" t="s">
        <v>58</v>
      </c>
      <c r="AV73" s="693"/>
      <c r="AW73" s="693"/>
      <c r="AX73" s="693"/>
      <c r="AY73" s="694"/>
      <c r="AZ73" s="695">
        <f>AS58+AT73</f>
        <v>3870003.6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C000000}"/>
  <mergeCells count="307">
    <mergeCell ref="AI74:AJ74"/>
    <mergeCell ref="AK69:AL69"/>
    <mergeCell ref="AK70:AL70"/>
    <mergeCell ref="AK71:AL71"/>
    <mergeCell ref="AU71:AY71"/>
    <mergeCell ref="AZ71:BE71"/>
    <mergeCell ref="AK72:AL72"/>
    <mergeCell ref="AU72:AY72"/>
    <mergeCell ref="AZ72:BE72"/>
    <mergeCell ref="AK66:AL66"/>
    <mergeCell ref="AK67:AL67"/>
    <mergeCell ref="AZ67:BB67"/>
    <mergeCell ref="BC67:BE67"/>
    <mergeCell ref="AK68:AL68"/>
    <mergeCell ref="AU68:AY68"/>
    <mergeCell ref="AZ68:BB68"/>
    <mergeCell ref="BC68:BE68"/>
    <mergeCell ref="AI73:AJ73"/>
    <mergeCell ref="AU73:AY73"/>
    <mergeCell ref="AZ73:BE73"/>
    <mergeCell ref="BB62:BE62"/>
    <mergeCell ref="AK63:AL63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BB59:BE59"/>
    <mergeCell ref="AK60:AL60"/>
    <mergeCell ref="AW60:BA60"/>
    <mergeCell ref="BB60:BE60"/>
    <mergeCell ref="AK61:AL61"/>
    <mergeCell ref="AW61:BA61"/>
    <mergeCell ref="BB61:BE61"/>
    <mergeCell ref="AQ57:AR57"/>
    <mergeCell ref="AS57:AT57"/>
    <mergeCell ref="AI58:AL58"/>
    <mergeCell ref="AN58:AO58"/>
    <mergeCell ref="AQ58:AR58"/>
    <mergeCell ref="AS58:AT58"/>
    <mergeCell ref="AK57:AL57"/>
    <mergeCell ref="AN57:AO57"/>
    <mergeCell ref="BC54:BE54"/>
    <mergeCell ref="AK53:AL53"/>
    <mergeCell ref="AN53:AO53"/>
    <mergeCell ref="AQ53:AR53"/>
    <mergeCell ref="AS53:AT53"/>
    <mergeCell ref="AU53:AV55"/>
    <mergeCell ref="AK55:AL55"/>
    <mergeCell ref="AN55:AO55"/>
    <mergeCell ref="AQ55:AR55"/>
    <mergeCell ref="AS55:AT55"/>
    <mergeCell ref="AW55:AZ55"/>
    <mergeCell ref="BA55:BB55"/>
    <mergeCell ref="BC55:BE55"/>
    <mergeCell ref="AW53:AZ53"/>
    <mergeCell ref="BA53:BB53"/>
    <mergeCell ref="BC53:BE53"/>
    <mergeCell ref="AK54:AL54"/>
    <mergeCell ref="AN54:AO54"/>
    <mergeCell ref="AQ54:AR54"/>
    <mergeCell ref="AS54:AT54"/>
    <mergeCell ref="AW54:AZ54"/>
    <mergeCell ref="BA54:BB54"/>
    <mergeCell ref="BC51:BE52"/>
    <mergeCell ref="AK52:AL52"/>
    <mergeCell ref="AN52:AO52"/>
    <mergeCell ref="AQ52:AR52"/>
    <mergeCell ref="AW52:AZ52"/>
    <mergeCell ref="BA52:BB52"/>
    <mergeCell ref="AS31:AT31"/>
    <mergeCell ref="AU31:AV31"/>
    <mergeCell ref="AX31:AY31"/>
    <mergeCell ref="AZ31:BA31"/>
    <mergeCell ref="AS51:AT52"/>
    <mergeCell ref="AU51:AV52"/>
    <mergeCell ref="AX30:AY30"/>
    <mergeCell ref="AZ30:BA30"/>
    <mergeCell ref="AX25:AY25"/>
    <mergeCell ref="AZ25:BA25"/>
    <mergeCell ref="AJ27:AO27"/>
    <mergeCell ref="AN28:AO28"/>
    <mergeCell ref="AP28:AQ28"/>
    <mergeCell ref="AS28:AT28"/>
    <mergeCell ref="AU28:AV28"/>
    <mergeCell ref="AX28:AY28"/>
    <mergeCell ref="AZ28:BA28"/>
    <mergeCell ref="AS29:AT29"/>
    <mergeCell ref="AU29:AV29"/>
    <mergeCell ref="AX29:AY29"/>
    <mergeCell ref="AJ30:AK30"/>
    <mergeCell ref="AL30:AM30"/>
    <mergeCell ref="AJ29:AK29"/>
    <mergeCell ref="AL29:AM29"/>
    <mergeCell ref="AN29:AO29"/>
    <mergeCell ref="AV25:AW25"/>
    <mergeCell ref="AJ28:AK28"/>
    <mergeCell ref="AL28:AM28"/>
    <mergeCell ref="AN25:AO25"/>
    <mergeCell ref="AR25:AS25"/>
    <mergeCell ref="AX22:AY22"/>
    <mergeCell ref="AZ22:BA22"/>
    <mergeCell ref="AX23:AY23"/>
    <mergeCell ref="AZ23:BA23"/>
    <mergeCell ref="AX24:AY24"/>
    <mergeCell ref="AZ24:BA24"/>
    <mergeCell ref="AX18:BA18"/>
    <mergeCell ref="AX19:AY19"/>
    <mergeCell ref="AZ19:BA19"/>
    <mergeCell ref="AX20:AY20"/>
    <mergeCell ref="AZ20:BA20"/>
    <mergeCell ref="AX21:AY21"/>
    <mergeCell ref="AZ21:BA21"/>
    <mergeCell ref="AI15:AJ15"/>
    <mergeCell ref="AP15:AQ15"/>
    <mergeCell ref="BB15:BC15"/>
    <mergeCell ref="BD15:BE15"/>
    <mergeCell ref="BB16:BC16"/>
    <mergeCell ref="BD16:BE16"/>
    <mergeCell ref="BB12:BC12"/>
    <mergeCell ref="BD12:BE12"/>
    <mergeCell ref="BB13:BC13"/>
    <mergeCell ref="BD13:BE13"/>
    <mergeCell ref="BB14:BC14"/>
    <mergeCell ref="BD14:BE14"/>
    <mergeCell ref="AX13:AY13"/>
    <mergeCell ref="AZ13:BA13"/>
    <mergeCell ref="AX12:AY12"/>
    <mergeCell ref="AZ12:BA12"/>
    <mergeCell ref="AL13:AM13"/>
    <mergeCell ref="AN13:AO13"/>
    <mergeCell ref="AP13:AQ13"/>
    <mergeCell ref="AR13:AS13"/>
    <mergeCell ref="AT13:AU13"/>
    <mergeCell ref="AV13:AW13"/>
    <mergeCell ref="AL12:AM12"/>
    <mergeCell ref="AN12:AO12"/>
    <mergeCell ref="BB8:BE8"/>
    <mergeCell ref="BB9:BC9"/>
    <mergeCell ref="BD9:BE9"/>
    <mergeCell ref="BB10:BC10"/>
    <mergeCell ref="BD10:BE10"/>
    <mergeCell ref="BB11:BC11"/>
    <mergeCell ref="BD11:BE11"/>
    <mergeCell ref="P4:AE4"/>
    <mergeCell ref="AL4:AP4"/>
    <mergeCell ref="AL5:AP5"/>
    <mergeCell ref="AL6:AP6"/>
    <mergeCell ref="AL7:AM7"/>
    <mergeCell ref="AN7:AP7"/>
    <mergeCell ref="AX11:AY11"/>
    <mergeCell ref="AZ11:BA11"/>
    <mergeCell ref="AX9:AY9"/>
    <mergeCell ref="AZ9:BA9"/>
    <mergeCell ref="AP8:AS8"/>
    <mergeCell ref="AT8:AW8"/>
    <mergeCell ref="AX8:BA8"/>
    <mergeCell ref="AL9:AM9"/>
    <mergeCell ref="AP9:AQ9"/>
    <mergeCell ref="AR9:AS9"/>
    <mergeCell ref="AT9:AU9"/>
    <mergeCell ref="AI25:AJ25"/>
    <mergeCell ref="AP25:AQ25"/>
    <mergeCell ref="A68:B76"/>
    <mergeCell ref="P68:Q76"/>
    <mergeCell ref="AK62:AL62"/>
    <mergeCell ref="AW62:BA62"/>
    <mergeCell ref="AW51:BB51"/>
    <mergeCell ref="AN31:AO31"/>
    <mergeCell ref="AJ31:AK31"/>
    <mergeCell ref="AL31:AM31"/>
    <mergeCell ref="AP31:AQ31"/>
    <mergeCell ref="AI59:AJ72"/>
    <mergeCell ref="AU59:AV63"/>
    <mergeCell ref="AW59:BA59"/>
    <mergeCell ref="AI51:AJ52"/>
    <mergeCell ref="AK51:AL51"/>
    <mergeCell ref="AM51:AO51"/>
    <mergeCell ref="AP51:AR51"/>
    <mergeCell ref="AZ29:BA29"/>
    <mergeCell ref="AI56:AJ57"/>
    <mergeCell ref="AK56:AL56"/>
    <mergeCell ref="AN56:AO56"/>
    <mergeCell ref="AQ56:AR56"/>
    <mergeCell ref="AS56:AT56"/>
    <mergeCell ref="AL24:AM24"/>
    <mergeCell ref="AN24:AO24"/>
    <mergeCell ref="AP24:AQ24"/>
    <mergeCell ref="AR24:AS24"/>
    <mergeCell ref="AT24:AU24"/>
    <mergeCell ref="AP29:AQ29"/>
    <mergeCell ref="AN30:AO30"/>
    <mergeCell ref="AP30:AQ30"/>
    <mergeCell ref="AS30:AT30"/>
    <mergeCell ref="AU30:AV30"/>
    <mergeCell ref="AI53:AJ55"/>
    <mergeCell ref="AV24:AW24"/>
    <mergeCell ref="AL23:AM23"/>
    <mergeCell ref="AN23:AO23"/>
    <mergeCell ref="AP23:AQ23"/>
    <mergeCell ref="AR23:AS23"/>
    <mergeCell ref="AT23:AU23"/>
    <mergeCell ref="AV23:AW23"/>
    <mergeCell ref="AI18:AJ24"/>
    <mergeCell ref="AK18:AK19"/>
    <mergeCell ref="AT21:AU21"/>
    <mergeCell ref="AV21:AW21"/>
    <mergeCell ref="AL22:AM22"/>
    <mergeCell ref="AN22:AO22"/>
    <mergeCell ref="AP22:AQ22"/>
    <mergeCell ref="AR22:AS22"/>
    <mergeCell ref="AT22:AU22"/>
    <mergeCell ref="AV22:AW22"/>
    <mergeCell ref="AL21:AM21"/>
    <mergeCell ref="AN21:AO21"/>
    <mergeCell ref="AP21:AQ21"/>
    <mergeCell ref="AR21:AS21"/>
    <mergeCell ref="AV19:AW19"/>
    <mergeCell ref="AL20:AM20"/>
    <mergeCell ref="AN20:AO20"/>
    <mergeCell ref="AP20:AQ20"/>
    <mergeCell ref="AR20:AS20"/>
    <mergeCell ref="AT20:AU20"/>
    <mergeCell ref="AV20:AW20"/>
    <mergeCell ref="AL19:AM19"/>
    <mergeCell ref="AP19:AQ19"/>
    <mergeCell ref="AR19:AS19"/>
    <mergeCell ref="AT19:AU19"/>
    <mergeCell ref="AX15:AY15"/>
    <mergeCell ref="AZ15:BA15"/>
    <mergeCell ref="AL18:AO18"/>
    <mergeCell ref="AP18:AS18"/>
    <mergeCell ref="AT18:AW18"/>
    <mergeCell ref="AX14:AY14"/>
    <mergeCell ref="AZ14:BA14"/>
    <mergeCell ref="AL15:AM15"/>
    <mergeCell ref="AN15:AO15"/>
    <mergeCell ref="AR15:AS15"/>
    <mergeCell ref="AV15:AW15"/>
    <mergeCell ref="AL14:AM14"/>
    <mergeCell ref="AN14:AO14"/>
    <mergeCell ref="AP14:AQ14"/>
    <mergeCell ref="AR14:AS14"/>
    <mergeCell ref="AT14:AU14"/>
    <mergeCell ref="AV14:AW14"/>
    <mergeCell ref="AX10:AY10"/>
    <mergeCell ref="AZ10:BA10"/>
    <mergeCell ref="AL11:AM11"/>
    <mergeCell ref="AN11:AO11"/>
    <mergeCell ref="AP11:AQ11"/>
    <mergeCell ref="AR11:AS11"/>
    <mergeCell ref="AT11:AU11"/>
    <mergeCell ref="AV11:AW11"/>
    <mergeCell ref="AL10:AM10"/>
    <mergeCell ref="AN10:AO10"/>
    <mergeCell ref="AP10:AQ10"/>
    <mergeCell ref="AR10:AS10"/>
    <mergeCell ref="AT10:AU10"/>
    <mergeCell ref="AV10:AW10"/>
    <mergeCell ref="AV9:AW9"/>
    <mergeCell ref="AL8:AO8"/>
    <mergeCell ref="AI8:AJ14"/>
    <mergeCell ref="AK8:AK9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P12:AQ12"/>
    <mergeCell ref="AR12:AS12"/>
    <mergeCell ref="AT12:AU12"/>
    <mergeCell ref="AV12:AW12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7">
    <cfRule type="cellIs" dxfId="451" priority="1" operator="equal">
      <formula>"여기어때"</formula>
    </cfRule>
    <cfRule type="cellIs" dxfId="450" priority="2" operator="equal">
      <formula>"야놀자"</formula>
    </cfRule>
  </conditionalFormatting>
  <conditionalFormatting sqref="D43">
    <cfRule type="cellIs" dxfId="449" priority="7" operator="equal">
      <formula>"여기어때"</formula>
    </cfRule>
    <cfRule type="cellIs" dxfId="448" priority="8" operator="equal">
      <formula>"야놀자"</formula>
    </cfRule>
  </conditionalFormatting>
  <conditionalFormatting sqref="R8:R66">
    <cfRule type="cellIs" dxfId="447" priority="119" operator="equal">
      <formula>"여기어때"</formula>
    </cfRule>
    <cfRule type="cellIs" dxfId="446" priority="120" operator="equal">
      <formula>"야놀자"</formula>
    </cfRule>
  </conditionalFormatting>
  <conditionalFormatting sqref="R73">
    <cfRule type="cellIs" dxfId="445" priority="121" operator="equal">
      <formula>"여기어때"</formula>
    </cfRule>
    <cfRule type="cellIs" dxfId="444" priority="122" operator="equal">
      <formula>"야놀자"</formula>
    </cfRule>
  </conditionalFormatting>
  <conditionalFormatting sqref="AL30:AM30">
    <cfRule type="cellIs" dxfId="443" priority="106" operator="greaterThan">
      <formula>$AL$29</formula>
    </cfRule>
    <cfRule type="cellIs" dxfId="442" priority="114" operator="equal">
      <formula>$AL$29</formula>
    </cfRule>
  </conditionalFormatting>
  <conditionalFormatting sqref="AN30:AO30">
    <cfRule type="cellIs" dxfId="441" priority="105" operator="greaterThan">
      <formula>$AN$29</formula>
    </cfRule>
    <cfRule type="cellIs" dxfId="440" priority="113" operator="equal">
      <formula>$AN$29</formula>
    </cfRule>
  </conditionalFormatting>
  <conditionalFormatting sqref="AP30:AQ30">
    <cfRule type="cellIs" dxfId="439" priority="104" operator="greaterThan">
      <formula>$AP$29</formula>
    </cfRule>
    <cfRule type="cellIs" dxfId="438" priority="112" operator="equal">
      <formula>$AP$29</formula>
    </cfRule>
  </conditionalFormatting>
  <conditionalFormatting sqref="AR30">
    <cfRule type="cellIs" dxfId="437" priority="103" operator="greaterThan">
      <formula>$AR$29</formula>
    </cfRule>
    <cfRule type="cellIs" dxfId="436" priority="111" operator="equal">
      <formula>$AR$29</formula>
    </cfRule>
  </conditionalFormatting>
  <conditionalFormatting sqref="AS30:AT30">
    <cfRule type="cellIs" dxfId="435" priority="102" operator="greaterThan">
      <formula>$AS$29</formula>
    </cfRule>
    <cfRule type="cellIs" dxfId="434" priority="110" operator="equal">
      <formula>$AS$29</formula>
    </cfRule>
  </conditionalFormatting>
  <conditionalFormatting sqref="AU30:AV30">
    <cfRule type="cellIs" dxfId="433" priority="101" operator="greaterThan">
      <formula>$AU$29</formula>
    </cfRule>
    <cfRule type="cellIs" dxfId="432" priority="109" operator="equal">
      <formula>$AU$29</formula>
    </cfRule>
  </conditionalFormatting>
  <conditionalFormatting sqref="AW30">
    <cfRule type="cellIs" dxfId="431" priority="100" operator="greaterThan">
      <formula>$AW$29</formula>
    </cfRule>
    <cfRule type="cellIs" dxfId="430" priority="108" operator="equal">
      <formula>$AW$29</formula>
    </cfRule>
  </conditionalFormatting>
  <conditionalFormatting sqref="AX30:AY30">
    <cfRule type="cellIs" dxfId="429" priority="99" operator="greaterThan">
      <formula>$AX$29</formula>
    </cfRule>
    <cfRule type="cellIs" dxfId="428" priority="107" operator="equal">
      <formula>$AX$29</formula>
    </cfRule>
  </conditionalFormatting>
  <dataValidations disablePrompts="1" count="1">
    <dataValidation type="list" allowBlank="1" showInputMessage="1" showErrorMessage="1" sqref="A8:A67 C68:C73 C75:C76 P8:P67" xr:uid="{C4FF92E6-5E27-481B-BBC2-C4ABC521E1C2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DEED-FDBC-48CF-B2B5-838982EAF5A4}">
  <sheetPr codeName="Sheet14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C8" sqref="C8"/>
      <selection pane="bottomLeft" activeCell="S1" sqref="S1:Y3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45914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1545850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20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319500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'14'!AA1</f>
        <v>45914</v>
      </c>
      <c r="AM2" s="863"/>
      <c r="AN2" s="863"/>
      <c r="AO2" s="864"/>
      <c r="AP2" s="865" t="s">
        <v>10</v>
      </c>
      <c r="AQ2" s="866"/>
      <c r="AR2" s="866"/>
      <c r="AS2" s="863">
        <f>AA1+1</f>
        <v>45915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1545850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319500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4</v>
      </c>
      <c r="O4" s="299">
        <f>SUM(COUNTIF(B8:B67,{201,202,203,205,206,207,208,209,506,507,508,509,601,602,603,605,606,607,608,609}))</f>
        <v>0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1</v>
      </c>
      <c r="D6" s="356">
        <f>AN31</f>
        <v>1</v>
      </c>
      <c r="E6" s="356">
        <f>AP31</f>
        <v>6</v>
      </c>
      <c r="F6" s="356">
        <f>AR31</f>
        <v>1</v>
      </c>
      <c r="G6" s="356">
        <f>AS31</f>
        <v>7</v>
      </c>
      <c r="H6" s="356">
        <f>AU31</f>
        <v>3</v>
      </c>
      <c r="I6" s="356">
        <f>AW31</f>
        <v>5</v>
      </c>
      <c r="J6" s="356">
        <f>AX31</f>
        <v>0</v>
      </c>
      <c r="K6" s="606"/>
      <c r="L6" s="607"/>
      <c r="M6" s="356"/>
      <c r="N6" s="606">
        <f>C6+D6+E6+F6+G6+H6+I6+J6+K6</f>
        <v>24</v>
      </c>
      <c r="O6" s="602"/>
      <c r="P6" s="599">
        <f>C2</f>
        <v>1545850</v>
      </c>
      <c r="Q6" s="600"/>
      <c r="R6" s="300">
        <f>AN14+AN15</f>
        <v>0</v>
      </c>
      <c r="S6" s="300">
        <f>AZ14+AZ15</f>
        <v>0</v>
      </c>
      <c r="T6" s="300">
        <f>AR14+AR15</f>
        <v>154000</v>
      </c>
      <c r="U6" s="609">
        <f>AS60</f>
        <v>375000</v>
      </c>
      <c r="V6" s="600"/>
      <c r="W6" s="609">
        <f>AS61</f>
        <v>255000</v>
      </c>
      <c r="X6" s="600"/>
      <c r="Y6" s="609">
        <f>AS62</f>
        <v>311800</v>
      </c>
      <c r="Z6" s="600"/>
      <c r="AA6" s="300">
        <f>AS63</f>
        <v>0</v>
      </c>
      <c r="AB6" s="300">
        <f>AS66</f>
        <v>132600</v>
      </c>
      <c r="AC6" s="300">
        <f>AS67</f>
        <v>177450</v>
      </c>
      <c r="AD6" s="300">
        <f>SUMIFS(O7:O47,C7:C47,"트립")</f>
        <v>0</v>
      </c>
      <c r="AE6" s="300">
        <f>AS65</f>
        <v>140000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906</v>
      </c>
      <c r="C8" s="230" t="s">
        <v>73</v>
      </c>
      <c r="D8" s="450" t="s">
        <v>534</v>
      </c>
      <c r="E8" s="215"/>
      <c r="F8" s="231" t="s">
        <v>168</v>
      </c>
      <c r="G8" s="232" t="s">
        <v>163</v>
      </c>
      <c r="H8" s="215" t="s">
        <v>164</v>
      </c>
      <c r="I8" s="215" t="s">
        <v>165</v>
      </c>
      <c r="J8" s="233" t="s">
        <v>189</v>
      </c>
      <c r="K8" s="215"/>
      <c r="L8" s="234"/>
      <c r="M8" s="234"/>
      <c r="N8" s="234"/>
      <c r="O8" s="220">
        <v>75000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319">
        <v>307</v>
      </c>
      <c r="C9" s="380" t="s">
        <v>52</v>
      </c>
      <c r="D9" s="360" t="s">
        <v>594</v>
      </c>
      <c r="E9" s="371"/>
      <c r="F9" s="360" t="s">
        <v>55</v>
      </c>
      <c r="G9" s="395" t="s">
        <v>595</v>
      </c>
      <c r="H9" s="215" t="s">
        <v>164</v>
      </c>
      <c r="I9" s="215" t="s">
        <v>165</v>
      </c>
      <c r="J9" s="233" t="s">
        <v>193</v>
      </c>
      <c r="K9" s="371"/>
      <c r="L9" s="365"/>
      <c r="M9" s="365"/>
      <c r="N9" s="365"/>
      <c r="O9" s="317">
        <v>311800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319">
        <v>911</v>
      </c>
      <c r="C10" s="380" t="s">
        <v>707</v>
      </c>
      <c r="D10" s="486" t="s">
        <v>776</v>
      </c>
      <c r="E10" s="371" t="s">
        <v>812</v>
      </c>
      <c r="F10" s="360" t="s">
        <v>690</v>
      </c>
      <c r="G10" s="395" t="s">
        <v>741</v>
      </c>
      <c r="H10" s="215" t="s">
        <v>164</v>
      </c>
      <c r="I10" s="215" t="s">
        <v>165</v>
      </c>
      <c r="J10" s="233" t="s">
        <v>713</v>
      </c>
      <c r="K10" s="371"/>
      <c r="L10" s="365"/>
      <c r="M10" s="365"/>
      <c r="N10" s="365"/>
      <c r="O10" s="317">
        <v>177450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70000</v>
      </c>
      <c r="AS10" s="627"/>
      <c r="AT10" s="625">
        <f>COUNTA($O$8:$O$67)</f>
        <v>19</v>
      </c>
      <c r="AU10" s="625"/>
      <c r="AV10" s="625">
        <f>SUM(O8:O67)</f>
        <v>1391850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20</v>
      </c>
      <c r="BC10" s="799"/>
      <c r="BD10" s="800">
        <f>SUM(AN10+AR10+AV10+AZ10)</f>
        <v>1461850</v>
      </c>
      <c r="BE10" s="801"/>
    </row>
    <row r="11" spans="1:58" ht="64.5" customHeight="1" x14ac:dyDescent="0.3">
      <c r="A11" s="228">
        <v>4</v>
      </c>
      <c r="B11" s="319">
        <v>1112</v>
      </c>
      <c r="C11" s="230" t="s">
        <v>73</v>
      </c>
      <c r="D11" s="231" t="s">
        <v>785</v>
      </c>
      <c r="E11" s="215" t="s">
        <v>166</v>
      </c>
      <c r="F11" s="231"/>
      <c r="G11" s="232" t="s">
        <v>688</v>
      </c>
      <c r="H11" s="215" t="s">
        <v>164</v>
      </c>
      <c r="I11" s="215" t="s">
        <v>165</v>
      </c>
      <c r="J11" s="233" t="s">
        <v>713</v>
      </c>
      <c r="K11" s="215"/>
      <c r="L11" s="234"/>
      <c r="M11" s="234"/>
      <c r="N11" s="234"/>
      <c r="O11" s="220">
        <v>60000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1206</v>
      </c>
      <c r="C12" s="230" t="s">
        <v>686</v>
      </c>
      <c r="D12" s="231" t="s">
        <v>806</v>
      </c>
      <c r="E12" s="215" t="s">
        <v>714</v>
      </c>
      <c r="F12" s="231" t="s">
        <v>692</v>
      </c>
      <c r="G12" s="232" t="s">
        <v>688</v>
      </c>
      <c r="H12" s="215" t="s">
        <v>164</v>
      </c>
      <c r="I12" s="215" t="s">
        <v>165</v>
      </c>
      <c r="J12" s="233" t="s">
        <v>713</v>
      </c>
      <c r="K12" s="215"/>
      <c r="L12" s="234"/>
      <c r="M12" s="234"/>
      <c r="N12" s="234"/>
      <c r="O12" s="218">
        <v>65000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2</v>
      </c>
      <c r="AQ12" s="785"/>
      <c r="AR12" s="784">
        <f>SUM(M68:M76)</f>
        <v>80000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2</v>
      </c>
      <c r="BC12" s="785"/>
      <c r="BD12" s="780">
        <f>SUM(AN12+AR12+AV12+AZ12)</f>
        <v>80000</v>
      </c>
      <c r="BE12" s="781"/>
    </row>
    <row r="13" spans="1:58" ht="64.5" customHeight="1" x14ac:dyDescent="0.3">
      <c r="A13" s="228">
        <v>6</v>
      </c>
      <c r="B13" s="319">
        <v>309</v>
      </c>
      <c r="C13" s="230" t="s">
        <v>686</v>
      </c>
      <c r="D13" s="231" t="s">
        <v>807</v>
      </c>
      <c r="E13" s="215"/>
      <c r="F13" s="231" t="s">
        <v>700</v>
      </c>
      <c r="G13" s="232" t="s">
        <v>720</v>
      </c>
      <c r="H13" s="215" t="s">
        <v>164</v>
      </c>
      <c r="I13" s="215" t="s">
        <v>165</v>
      </c>
      <c r="J13" s="233" t="s">
        <v>713</v>
      </c>
      <c r="K13" s="215"/>
      <c r="L13" s="234"/>
      <c r="M13" s="234"/>
      <c r="N13" s="234"/>
      <c r="O13" s="218">
        <v>130000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19">
        <v>1216</v>
      </c>
      <c r="C14" s="230" t="s">
        <v>73</v>
      </c>
      <c r="D14" s="231" t="s">
        <v>808</v>
      </c>
      <c r="E14" s="215" t="s">
        <v>166</v>
      </c>
      <c r="F14" s="231"/>
      <c r="G14" s="232" t="s">
        <v>688</v>
      </c>
      <c r="H14" s="215" t="s">
        <v>164</v>
      </c>
      <c r="I14" s="215" t="s">
        <v>165</v>
      </c>
      <c r="J14" s="233" t="s">
        <v>713</v>
      </c>
      <c r="K14" s="215"/>
      <c r="L14" s="234"/>
      <c r="M14" s="234"/>
      <c r="N14" s="234"/>
      <c r="O14" s="219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150000</v>
      </c>
      <c r="AS14" s="653"/>
      <c r="AT14" s="653">
        <f t="shared" ref="AT14" si="1">SUM(AT10:AU11)</f>
        <v>19</v>
      </c>
      <c r="AU14" s="653"/>
      <c r="AV14" s="653">
        <f>SUM(AV10:AW13)</f>
        <v>1391850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20</v>
      </c>
      <c r="BC14" s="655"/>
      <c r="BD14" s="782">
        <f>SUM(BD10:BE13)</f>
        <v>1541850</v>
      </c>
      <c r="BE14" s="783"/>
    </row>
    <row r="15" spans="1:58" ht="64.5" customHeight="1" thickBot="1" x14ac:dyDescent="0.35">
      <c r="A15" s="228">
        <v>8</v>
      </c>
      <c r="B15" s="319">
        <v>1208</v>
      </c>
      <c r="C15" s="230" t="s">
        <v>693</v>
      </c>
      <c r="D15" s="231" t="s">
        <v>811</v>
      </c>
      <c r="E15" s="215"/>
      <c r="F15" s="231" t="s">
        <v>700</v>
      </c>
      <c r="G15" s="232" t="s">
        <v>720</v>
      </c>
      <c r="H15" s="215" t="s">
        <v>164</v>
      </c>
      <c r="I15" s="215" t="s">
        <v>165</v>
      </c>
      <c r="J15" s="233" t="s">
        <v>733</v>
      </c>
      <c r="K15" s="215"/>
      <c r="L15" s="234"/>
      <c r="M15" s="234"/>
      <c r="N15" s="234"/>
      <c r="O15" s="220">
        <v>132600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319">
        <v>305</v>
      </c>
      <c r="C16" s="446" t="s">
        <v>135</v>
      </c>
      <c r="D16" s="304" t="s">
        <v>426</v>
      </c>
      <c r="E16" s="305" t="s">
        <v>425</v>
      </c>
      <c r="F16" s="304" t="s">
        <v>55</v>
      </c>
      <c r="G16" s="381" t="s">
        <v>173</v>
      </c>
      <c r="H16" s="215" t="s">
        <v>164</v>
      </c>
      <c r="I16" s="215" t="s">
        <v>165</v>
      </c>
      <c r="J16" s="233" t="s">
        <v>189</v>
      </c>
      <c r="K16" s="215"/>
      <c r="L16" s="234"/>
      <c r="M16" s="234"/>
      <c r="N16" s="234"/>
      <c r="O16" s="218">
        <v>140000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1545850</v>
      </c>
      <c r="BE16" s="652"/>
      <c r="BF16" s="10"/>
    </row>
    <row r="17" spans="1:62" ht="64.5" customHeight="1" thickBot="1" x14ac:dyDescent="0.35">
      <c r="A17" s="228">
        <v>10</v>
      </c>
      <c r="B17" s="319">
        <v>809</v>
      </c>
      <c r="C17" s="230" t="s">
        <v>775</v>
      </c>
      <c r="D17" s="231" t="s">
        <v>822</v>
      </c>
      <c r="E17" s="215"/>
      <c r="F17" s="231" t="s">
        <v>692</v>
      </c>
      <c r="G17" s="232" t="s">
        <v>688</v>
      </c>
      <c r="H17" s="215" t="s">
        <v>164</v>
      </c>
      <c r="I17" s="215" t="s">
        <v>165</v>
      </c>
      <c r="J17" s="233" t="s">
        <v>733</v>
      </c>
      <c r="K17" s="215"/>
      <c r="L17" s="234"/>
      <c r="M17" s="234">
        <v>70000</v>
      </c>
      <c r="N17" s="234"/>
      <c r="O17" s="218"/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19">
        <v>1214</v>
      </c>
      <c r="C18" s="230" t="s">
        <v>686</v>
      </c>
      <c r="D18" s="231" t="s">
        <v>823</v>
      </c>
      <c r="E18" s="215" t="s">
        <v>166</v>
      </c>
      <c r="F18" s="231" t="s">
        <v>696</v>
      </c>
      <c r="G18" s="232" t="s">
        <v>688</v>
      </c>
      <c r="H18" s="215" t="s">
        <v>164</v>
      </c>
      <c r="I18" s="215" t="s">
        <v>165</v>
      </c>
      <c r="J18" s="215" t="s">
        <v>733</v>
      </c>
      <c r="K18" s="215" t="s">
        <v>710</v>
      </c>
      <c r="L18" s="234"/>
      <c r="M18" s="234"/>
      <c r="N18" s="234"/>
      <c r="O18" s="218">
        <v>60000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19">
        <v>1114</v>
      </c>
      <c r="C19" s="230" t="s">
        <v>689</v>
      </c>
      <c r="D19" s="231" t="s">
        <v>824</v>
      </c>
      <c r="E19" s="215" t="s">
        <v>166</v>
      </c>
      <c r="F19" s="231" t="s">
        <v>696</v>
      </c>
      <c r="G19" s="232" t="s">
        <v>688</v>
      </c>
      <c r="H19" s="215" t="s">
        <v>164</v>
      </c>
      <c r="I19" s="215" t="s">
        <v>165</v>
      </c>
      <c r="J19" s="237" t="s">
        <v>733</v>
      </c>
      <c r="K19" s="238"/>
      <c r="L19" s="234"/>
      <c r="M19" s="234"/>
      <c r="N19" s="234"/>
      <c r="O19" s="218">
        <v>60000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19">
        <v>1215</v>
      </c>
      <c r="C20" s="230" t="s">
        <v>686</v>
      </c>
      <c r="D20" s="231" t="s">
        <v>827</v>
      </c>
      <c r="E20" s="215" t="s">
        <v>166</v>
      </c>
      <c r="F20" s="231" t="s">
        <v>696</v>
      </c>
      <c r="G20" s="232" t="s">
        <v>688</v>
      </c>
      <c r="H20" s="215" t="s">
        <v>164</v>
      </c>
      <c r="I20" s="215" t="s">
        <v>165</v>
      </c>
      <c r="J20" s="233" t="s">
        <v>733</v>
      </c>
      <c r="K20" s="238">
        <v>2</v>
      </c>
      <c r="L20" s="234"/>
      <c r="M20" s="234"/>
      <c r="N20" s="234"/>
      <c r="O20" s="218">
        <v>60000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19">
        <v>907</v>
      </c>
      <c r="C21" s="230" t="s">
        <v>686</v>
      </c>
      <c r="D21" s="231" t="s">
        <v>830</v>
      </c>
      <c r="E21" s="215" t="s">
        <v>166</v>
      </c>
      <c r="F21" s="231" t="s">
        <v>716</v>
      </c>
      <c r="G21" s="232" t="s">
        <v>688</v>
      </c>
      <c r="H21" s="215" t="s">
        <v>164</v>
      </c>
      <c r="I21" s="215" t="s">
        <v>165</v>
      </c>
      <c r="J21" s="233" t="s">
        <v>713</v>
      </c>
      <c r="K21" s="215"/>
      <c r="L21" s="234"/>
      <c r="M21" s="234"/>
      <c r="N21" s="234"/>
      <c r="O21" s="218">
        <v>60000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19"/>
      <c r="C22" s="230"/>
      <c r="D22" s="231"/>
      <c r="E22" s="215"/>
      <c r="F22" s="231"/>
      <c r="G22" s="232"/>
      <c r="H22" s="215"/>
      <c r="I22" s="215"/>
      <c r="J22" s="233"/>
      <c r="K22" s="215"/>
      <c r="L22" s="234"/>
      <c r="M22" s="234"/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/>
      <c r="C23" s="230"/>
      <c r="D23" s="231"/>
      <c r="E23" s="215"/>
      <c r="F23" s="231"/>
      <c r="G23" s="232"/>
      <c r="H23" s="215"/>
      <c r="I23" s="215"/>
      <c r="J23" s="233"/>
      <c r="K23" s="215"/>
      <c r="L23" s="234"/>
      <c r="M23" s="234"/>
      <c r="N23" s="23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19"/>
      <c r="C24" s="230"/>
      <c r="D24" s="231"/>
      <c r="E24" s="215"/>
      <c r="F24" s="231"/>
      <c r="G24" s="232"/>
      <c r="H24" s="215"/>
      <c r="I24" s="215"/>
      <c r="J24" s="215"/>
      <c r="K24" s="215"/>
      <c r="L24" s="234"/>
      <c r="M24" s="234"/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19"/>
      <c r="C25" s="230"/>
      <c r="D25" s="231"/>
      <c r="E25" s="215"/>
      <c r="F25" s="231"/>
      <c r="G25" s="232"/>
      <c r="H25" s="215"/>
      <c r="I25" s="215"/>
      <c r="J25" s="215"/>
      <c r="K25" s="238"/>
      <c r="L25" s="234"/>
      <c r="M25" s="234"/>
      <c r="N25" s="234"/>
      <c r="O25" s="218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19"/>
      <c r="C26" s="230"/>
      <c r="D26" s="231"/>
      <c r="E26" s="215"/>
      <c r="F26" s="231"/>
      <c r="G26" s="232"/>
      <c r="H26" s="215"/>
      <c r="I26" s="215"/>
      <c r="J26" s="215"/>
      <c r="K26" s="238"/>
      <c r="L26" s="234"/>
      <c r="M26" s="234"/>
      <c r="N26" s="23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319"/>
      <c r="C27" s="230"/>
      <c r="D27" s="304"/>
      <c r="E27" s="305"/>
      <c r="F27" s="304"/>
      <c r="G27" s="232"/>
      <c r="H27" s="215"/>
      <c r="I27" s="215"/>
      <c r="J27" s="215"/>
      <c r="K27" s="215"/>
      <c r="L27" s="234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319"/>
      <c r="C28" s="230"/>
      <c r="D28" s="231"/>
      <c r="E28" s="215"/>
      <c r="F28" s="231"/>
      <c r="G28" s="232"/>
      <c r="H28" s="215"/>
      <c r="I28" s="215"/>
      <c r="J28" s="215" t="s">
        <v>831</v>
      </c>
      <c r="K28" s="215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319"/>
      <c r="C29" s="230"/>
      <c r="D29" s="231"/>
      <c r="E29" s="215"/>
      <c r="F29" s="231"/>
      <c r="G29" s="232"/>
      <c r="H29" s="215"/>
      <c r="I29" s="215"/>
      <c r="J29" s="215"/>
      <c r="K29" s="215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/>
      <c r="C30" s="230"/>
      <c r="D30" s="231"/>
      <c r="E30" s="215"/>
      <c r="F30" s="231"/>
      <c r="G30" s="232"/>
      <c r="H30" s="215"/>
      <c r="I30" s="215"/>
      <c r="J30" s="215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4</v>
      </c>
      <c r="AM30" s="828"/>
      <c r="AN30" s="829">
        <f>COUNTIF(F8:F67,"b")</f>
        <v>3</v>
      </c>
      <c r="AO30" s="829"/>
      <c r="AP30" s="830">
        <f>COUNTIF(F8:F67,"at")</f>
        <v>4</v>
      </c>
      <c r="AQ30" s="830"/>
      <c r="AR30" s="323">
        <f>COUNTIF(F8:F67,"aD")</f>
        <v>1</v>
      </c>
      <c r="AS30" s="830">
        <f>COUNTIF(F8:F67,"sd")</f>
        <v>4</v>
      </c>
      <c r="AT30" s="830"/>
      <c r="AU30" s="830">
        <f>COUNTIF(F8:F67,"st")</f>
        <v>2</v>
      </c>
      <c r="AV30" s="830"/>
      <c r="AW30" s="324">
        <f>COUNTIF(F8:F67,"v")</f>
        <v>0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/>
      <c r="C31" s="230"/>
      <c r="D31" s="231"/>
      <c r="E31" s="215"/>
      <c r="F31" s="231"/>
      <c r="G31" s="232"/>
      <c r="H31" s="215"/>
      <c r="I31" s="215"/>
      <c r="J31" s="233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1</v>
      </c>
      <c r="AM31" s="815"/>
      <c r="AN31" s="816">
        <f>AN29-AN30</f>
        <v>1</v>
      </c>
      <c r="AO31" s="816"/>
      <c r="AP31" s="817">
        <f>AP29-AP30</f>
        <v>6</v>
      </c>
      <c r="AQ31" s="817"/>
      <c r="AR31" s="322">
        <f>AR29-AR30</f>
        <v>1</v>
      </c>
      <c r="AS31" s="817">
        <f>AS29-AS30</f>
        <v>7</v>
      </c>
      <c r="AT31" s="817"/>
      <c r="AU31" s="817">
        <f>AU29-AU30</f>
        <v>3</v>
      </c>
      <c r="AV31" s="817"/>
      <c r="AW31" s="322">
        <f>AW29-AW30</f>
        <v>5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19"/>
      <c r="C32" s="230"/>
      <c r="D32" s="231"/>
      <c r="E32" s="215"/>
      <c r="F32" s="231"/>
      <c r="G32" s="232"/>
      <c r="H32" s="215"/>
      <c r="I32" s="215"/>
      <c r="J32" s="233"/>
      <c r="K32" s="238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/>
      <c r="C33" s="230"/>
      <c r="D33" s="231"/>
      <c r="E33" s="215"/>
      <c r="F33" s="231"/>
      <c r="G33" s="232"/>
      <c r="H33" s="215"/>
      <c r="I33" s="215"/>
      <c r="J33" s="233"/>
      <c r="K33" s="238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/>
      <c r="C34" s="230"/>
      <c r="D34" s="231"/>
      <c r="E34" s="215"/>
      <c r="F34" s="231"/>
      <c r="G34" s="232"/>
      <c r="H34" s="215"/>
      <c r="I34" s="215"/>
      <c r="J34" s="233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19"/>
      <c r="C35" s="230"/>
      <c r="D35" s="231"/>
      <c r="E35" s="215"/>
      <c r="F35" s="231"/>
      <c r="G35" s="232"/>
      <c r="H35" s="215"/>
      <c r="I35" s="215"/>
      <c r="J35" s="233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319"/>
      <c r="C36" s="230"/>
      <c r="D36" s="231"/>
      <c r="E36" s="215"/>
      <c r="F36" s="231"/>
      <c r="G36" s="232"/>
      <c r="H36" s="215"/>
      <c r="I36" s="215"/>
      <c r="J36" s="233"/>
      <c r="K36" s="238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319"/>
      <c r="C37" s="230"/>
      <c r="D37" s="231"/>
      <c r="E37" s="215"/>
      <c r="F37" s="231"/>
      <c r="G37" s="232"/>
      <c r="H37" s="215"/>
      <c r="I37" s="215"/>
      <c r="J37" s="233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319"/>
      <c r="C38" s="230"/>
      <c r="D38" s="231"/>
      <c r="E38" s="215"/>
      <c r="F38" s="231"/>
      <c r="G38" s="232"/>
      <c r="H38" s="215"/>
      <c r="I38" s="215"/>
      <c r="J38" s="233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319"/>
      <c r="C39" s="230"/>
      <c r="D39" s="231"/>
      <c r="E39" s="215"/>
      <c r="F39" s="231"/>
      <c r="G39" s="232"/>
      <c r="H39" s="215"/>
      <c r="I39" s="215"/>
      <c r="J39" s="233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33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19"/>
      <c r="C41" s="230"/>
      <c r="D41" s="231"/>
      <c r="E41" s="215"/>
      <c r="F41" s="231"/>
      <c r="G41" s="232"/>
      <c r="H41" s="215"/>
      <c r="I41" s="215"/>
      <c r="J41" s="233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319"/>
      <c r="C42" s="230"/>
      <c r="D42" s="231"/>
      <c r="E42" s="215"/>
      <c r="F42" s="231"/>
      <c r="G42" s="232"/>
      <c r="H42" s="215"/>
      <c r="I42" s="215"/>
      <c r="J42" s="233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232"/>
      <c r="H43" s="215"/>
      <c r="I43" s="215"/>
      <c r="J43" s="233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440">
        <v>615</v>
      </c>
      <c r="C44" s="230" t="s">
        <v>686</v>
      </c>
      <c r="D44" s="231" t="s">
        <v>770</v>
      </c>
      <c r="E44" s="215" t="s">
        <v>166</v>
      </c>
      <c r="F44" s="231" t="s">
        <v>696</v>
      </c>
      <c r="G44" s="232" t="s">
        <v>721</v>
      </c>
      <c r="H44" s="215" t="s">
        <v>164</v>
      </c>
      <c r="I44" s="215" t="s">
        <v>165</v>
      </c>
      <c r="J44" s="215" t="s">
        <v>713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440">
        <v>705</v>
      </c>
      <c r="C45" s="230" t="s">
        <v>686</v>
      </c>
      <c r="D45" s="231" t="s">
        <v>756</v>
      </c>
      <c r="E45" s="215" t="s">
        <v>166</v>
      </c>
      <c r="F45" s="231" t="s">
        <v>751</v>
      </c>
      <c r="G45" s="232" t="s">
        <v>758</v>
      </c>
      <c r="H45" s="215" t="s">
        <v>164</v>
      </c>
      <c r="I45" s="215" t="s">
        <v>165</v>
      </c>
      <c r="J45" s="233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440">
        <v>805</v>
      </c>
      <c r="C46" s="230" t="s">
        <v>693</v>
      </c>
      <c r="D46" s="231" t="s">
        <v>724</v>
      </c>
      <c r="E46" s="215" t="s">
        <v>714</v>
      </c>
      <c r="F46" s="231" t="s">
        <v>167</v>
      </c>
      <c r="G46" s="232" t="s">
        <v>721</v>
      </c>
      <c r="H46" s="215" t="s">
        <v>164</v>
      </c>
      <c r="I46" s="215" t="s">
        <v>165</v>
      </c>
      <c r="J46" s="233" t="s">
        <v>713</v>
      </c>
      <c r="K46" s="238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440">
        <v>902</v>
      </c>
      <c r="C47" s="230" t="s">
        <v>170</v>
      </c>
      <c r="D47" s="231" t="s">
        <v>650</v>
      </c>
      <c r="E47" s="215" t="s">
        <v>714</v>
      </c>
      <c r="F47" s="231" t="s">
        <v>167</v>
      </c>
      <c r="G47" s="232" t="s">
        <v>175</v>
      </c>
      <c r="H47" s="215" t="s">
        <v>164</v>
      </c>
      <c r="I47" s="215" t="s">
        <v>165</v>
      </c>
      <c r="J47" s="233" t="s">
        <v>189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440">
        <v>713</v>
      </c>
      <c r="C48" s="409" t="s">
        <v>81</v>
      </c>
      <c r="D48" s="215" t="s">
        <v>417</v>
      </c>
      <c r="E48" s="215"/>
      <c r="F48" s="231" t="s">
        <v>158</v>
      </c>
      <c r="G48" s="232" t="s">
        <v>172</v>
      </c>
      <c r="H48" s="215" t="s">
        <v>164</v>
      </c>
      <c r="I48" s="215" t="s">
        <v>165</v>
      </c>
      <c r="J48" s="233" t="s">
        <v>189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84">
        <v>715</v>
      </c>
      <c r="C49" s="434" t="s">
        <v>81</v>
      </c>
      <c r="D49" s="407" t="s">
        <v>417</v>
      </c>
      <c r="E49" s="407"/>
      <c r="F49" s="406" t="s">
        <v>158</v>
      </c>
      <c r="G49" s="408" t="s">
        <v>172</v>
      </c>
      <c r="H49" s="407" t="s">
        <v>164</v>
      </c>
      <c r="I49" s="407" t="s">
        <v>165</v>
      </c>
      <c r="J49" s="435" t="s">
        <v>189</v>
      </c>
      <c r="K49" s="407"/>
      <c r="L49" s="451"/>
      <c r="M49" s="451"/>
      <c r="N49" s="451"/>
      <c r="O49" s="452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6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30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30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7</v>
      </c>
      <c r="AQ60" s="56">
        <f>SUMIF($C$8:$C$72, $AK60, $L$8:$L$72)+SUMIF($C$8:$C$72, $AK60, $M$8:$M$72)+SUMIF($C$8:$C$72, $AK60, $N$8:$N$72)+SUMIF($C$8:$C$72, $AK60, $O$8:$O$72)</f>
        <v>375000</v>
      </c>
      <c r="AR60" s="57">
        <f>AQ60*0.9</f>
        <v>337500</v>
      </c>
      <c r="AS60" s="58">
        <f t="shared" ref="AS60:AS70" si="4">SUM(AN60+AQ60)</f>
        <v>375000</v>
      </c>
      <c r="AT60" s="59">
        <f t="shared" ref="AT60:AT70" si="5">AO60+AR60</f>
        <v>337500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30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4</v>
      </c>
      <c r="AQ61" s="56">
        <f t="shared" ref="AQ61:AQ70" si="8">SUMIF($C$8:$C$72, $AK61, $L$8:$L$72)+SUMIF($C$8:$C$72, $AK61, $M$8:$M$72)+SUMIF($C$8:$C$72, $AK61, $N$8:$N$72)+SUMIF($C$8:$C$72, $AK61, $O$8:$O$72)</f>
        <v>255000</v>
      </c>
      <c r="AR61" s="57">
        <f t="shared" ref="AR61:AR70" si="9">AQ61*0.9</f>
        <v>229500</v>
      </c>
      <c r="AS61" s="58">
        <f t="shared" si="4"/>
        <v>255000</v>
      </c>
      <c r="AT61" s="59">
        <f t="shared" si="5"/>
        <v>229500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311800</v>
      </c>
      <c r="AR62" s="57">
        <f t="shared" si="9"/>
        <v>280620</v>
      </c>
      <c r="AS62" s="58">
        <f t="shared" si="4"/>
        <v>311800</v>
      </c>
      <c r="AT62" s="59">
        <f t="shared" si="5"/>
        <v>280620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30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140000</v>
      </c>
      <c r="AR65" s="57">
        <f t="shared" si="9"/>
        <v>126000</v>
      </c>
      <c r="AS65" s="58">
        <f t="shared" si="4"/>
        <v>140000</v>
      </c>
      <c r="AT65" s="59">
        <f t="shared" si="5"/>
        <v>126000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2</v>
      </c>
      <c r="AQ66" s="56">
        <f t="shared" si="8"/>
        <v>132600</v>
      </c>
      <c r="AR66" s="57">
        <f t="shared" si="9"/>
        <v>119340</v>
      </c>
      <c r="AS66" s="58">
        <f t="shared" si="4"/>
        <v>132600</v>
      </c>
      <c r="AT66" s="59">
        <f t="shared" si="5"/>
        <v>119340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3</v>
      </c>
      <c r="AQ67" s="56">
        <f t="shared" si="8"/>
        <v>177450</v>
      </c>
      <c r="AR67" s="57">
        <f t="shared" si="9"/>
        <v>159705</v>
      </c>
      <c r="AS67" s="58">
        <f t="shared" si="4"/>
        <v>177450</v>
      </c>
      <c r="AT67" s="59">
        <f t="shared" si="5"/>
        <v>159705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 t="s">
        <v>814</v>
      </c>
      <c r="D68" s="231" t="s">
        <v>719</v>
      </c>
      <c r="E68" s="215" t="s">
        <v>815</v>
      </c>
      <c r="F68" s="231"/>
      <c r="G68" s="232"/>
      <c r="H68" s="215"/>
      <c r="I68" s="215" t="s">
        <v>739</v>
      </c>
      <c r="J68" s="233"/>
      <c r="K68" s="217"/>
      <c r="L68" s="252"/>
      <c r="M68" s="252">
        <v>40000</v>
      </c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1391850</v>
      </c>
      <c r="BD68" s="656"/>
      <c r="BE68" s="655"/>
    </row>
    <row r="69" spans="1:57" ht="64.5" customHeight="1" x14ac:dyDescent="0.3">
      <c r="A69" s="659"/>
      <c r="B69" s="660"/>
      <c r="C69" s="230" t="s">
        <v>821</v>
      </c>
      <c r="D69" s="251" t="s">
        <v>783</v>
      </c>
      <c r="E69" s="215" t="s">
        <v>815</v>
      </c>
      <c r="F69" s="231"/>
      <c r="G69" s="331"/>
      <c r="H69" s="215"/>
      <c r="I69" s="215" t="s">
        <v>739</v>
      </c>
      <c r="J69" s="233"/>
      <c r="K69" s="217"/>
      <c r="L69" s="254"/>
      <c r="M69" s="252">
        <v>40000</v>
      </c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30"/>
      <c r="D70" s="231"/>
      <c r="E70" s="215"/>
      <c r="F70" s="231"/>
      <c r="G70" s="232"/>
      <c r="H70" s="215"/>
      <c r="I70" s="215"/>
      <c r="J70" s="215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30"/>
      <c r="D71" s="230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30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17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1545850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19</v>
      </c>
      <c r="AQ73" s="22">
        <f t="shared" si="10"/>
        <v>1391850</v>
      </c>
      <c r="AR73" s="23">
        <f t="shared" si="10"/>
        <v>1252665</v>
      </c>
      <c r="AS73" s="24">
        <f t="shared" si="10"/>
        <v>1391850</v>
      </c>
      <c r="AT73" s="25">
        <f t="shared" si="10"/>
        <v>1252665</v>
      </c>
      <c r="AU73" s="692" t="s">
        <v>58</v>
      </c>
      <c r="AV73" s="693"/>
      <c r="AW73" s="693"/>
      <c r="AX73" s="693"/>
      <c r="AY73" s="694"/>
      <c r="AZ73" s="695">
        <f>AS58+AT73</f>
        <v>1252665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D000000}"/>
  <mergeCells count="307">
    <mergeCell ref="AI74:AJ74"/>
    <mergeCell ref="AK69:AL69"/>
    <mergeCell ref="AK70:AL70"/>
    <mergeCell ref="AK71:AL71"/>
    <mergeCell ref="AU71:AY71"/>
    <mergeCell ref="AZ71:BE71"/>
    <mergeCell ref="AK72:AL72"/>
    <mergeCell ref="AU72:AY72"/>
    <mergeCell ref="AZ72:BE72"/>
    <mergeCell ref="AK66:AL66"/>
    <mergeCell ref="AK67:AL67"/>
    <mergeCell ref="AZ67:BB67"/>
    <mergeCell ref="BC67:BE67"/>
    <mergeCell ref="AK68:AL68"/>
    <mergeCell ref="AU68:AY68"/>
    <mergeCell ref="AZ68:BB68"/>
    <mergeCell ref="BC68:BE68"/>
    <mergeCell ref="AI73:AJ73"/>
    <mergeCell ref="AU73:AY73"/>
    <mergeCell ref="AZ73:BE73"/>
    <mergeCell ref="BB62:BE62"/>
    <mergeCell ref="AK63:AL63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BB59:BE59"/>
    <mergeCell ref="AK60:AL60"/>
    <mergeCell ref="AW60:BA60"/>
    <mergeCell ref="BB60:BE60"/>
    <mergeCell ref="AK61:AL61"/>
    <mergeCell ref="AW61:BA61"/>
    <mergeCell ref="BB61:BE61"/>
    <mergeCell ref="AQ57:AR57"/>
    <mergeCell ref="AS57:AT57"/>
    <mergeCell ref="AI58:AL58"/>
    <mergeCell ref="AN58:AO58"/>
    <mergeCell ref="AQ58:AR58"/>
    <mergeCell ref="AS58:AT58"/>
    <mergeCell ref="AK57:AL57"/>
    <mergeCell ref="AN57:AO57"/>
    <mergeCell ref="BC54:BE54"/>
    <mergeCell ref="AK53:AL53"/>
    <mergeCell ref="AN53:AO53"/>
    <mergeCell ref="AQ53:AR53"/>
    <mergeCell ref="AS53:AT53"/>
    <mergeCell ref="AU53:AV55"/>
    <mergeCell ref="AK55:AL55"/>
    <mergeCell ref="AN55:AO55"/>
    <mergeCell ref="AQ55:AR55"/>
    <mergeCell ref="AS55:AT55"/>
    <mergeCell ref="AW55:AZ55"/>
    <mergeCell ref="BA55:BB55"/>
    <mergeCell ref="BC55:BE55"/>
    <mergeCell ref="AW53:AZ53"/>
    <mergeCell ref="BA53:BB53"/>
    <mergeCell ref="BC53:BE53"/>
    <mergeCell ref="AK54:AL54"/>
    <mergeCell ref="AN54:AO54"/>
    <mergeCell ref="AQ54:AR54"/>
    <mergeCell ref="AS54:AT54"/>
    <mergeCell ref="AW54:AZ54"/>
    <mergeCell ref="BA54:BB54"/>
    <mergeCell ref="BC51:BE52"/>
    <mergeCell ref="AK52:AL52"/>
    <mergeCell ref="AN52:AO52"/>
    <mergeCell ref="AQ52:AR52"/>
    <mergeCell ref="AW52:AZ52"/>
    <mergeCell ref="BA52:BB52"/>
    <mergeCell ref="AS31:AT31"/>
    <mergeCell ref="AU31:AV31"/>
    <mergeCell ref="AX31:AY31"/>
    <mergeCell ref="AZ31:BA31"/>
    <mergeCell ref="AS51:AT52"/>
    <mergeCell ref="AU51:AV52"/>
    <mergeCell ref="AX30:AY30"/>
    <mergeCell ref="AZ30:BA30"/>
    <mergeCell ref="AX25:AY25"/>
    <mergeCell ref="AZ25:BA25"/>
    <mergeCell ref="AJ27:AO27"/>
    <mergeCell ref="AN28:AO28"/>
    <mergeCell ref="AP28:AQ28"/>
    <mergeCell ref="AS28:AT28"/>
    <mergeCell ref="AU28:AV28"/>
    <mergeCell ref="AX28:AY28"/>
    <mergeCell ref="AZ28:BA28"/>
    <mergeCell ref="AS29:AT29"/>
    <mergeCell ref="AU29:AV29"/>
    <mergeCell ref="AX29:AY29"/>
    <mergeCell ref="AJ30:AK30"/>
    <mergeCell ref="AL30:AM30"/>
    <mergeCell ref="AJ29:AK29"/>
    <mergeCell ref="AL29:AM29"/>
    <mergeCell ref="AN29:AO29"/>
    <mergeCell ref="AV25:AW25"/>
    <mergeCell ref="AJ28:AK28"/>
    <mergeCell ref="AL28:AM28"/>
    <mergeCell ref="AN25:AO25"/>
    <mergeCell ref="AR25:AS25"/>
    <mergeCell ref="AX22:AY22"/>
    <mergeCell ref="AZ22:BA22"/>
    <mergeCell ref="AX23:AY23"/>
    <mergeCell ref="AZ23:BA23"/>
    <mergeCell ref="AX24:AY24"/>
    <mergeCell ref="AZ24:BA24"/>
    <mergeCell ref="AX18:BA18"/>
    <mergeCell ref="AX19:AY19"/>
    <mergeCell ref="AZ19:BA19"/>
    <mergeCell ref="AX20:AY20"/>
    <mergeCell ref="AZ20:BA20"/>
    <mergeCell ref="AX21:AY21"/>
    <mergeCell ref="AZ21:BA21"/>
    <mergeCell ref="AI15:AJ15"/>
    <mergeCell ref="AP15:AQ15"/>
    <mergeCell ref="BB15:BC15"/>
    <mergeCell ref="BD15:BE15"/>
    <mergeCell ref="BB16:BC16"/>
    <mergeCell ref="BD16:BE16"/>
    <mergeCell ref="BB12:BC12"/>
    <mergeCell ref="BD12:BE12"/>
    <mergeCell ref="BB13:BC13"/>
    <mergeCell ref="BD13:BE13"/>
    <mergeCell ref="BB14:BC14"/>
    <mergeCell ref="BD14:BE14"/>
    <mergeCell ref="AX13:AY13"/>
    <mergeCell ref="AZ13:BA13"/>
    <mergeCell ref="AX12:AY12"/>
    <mergeCell ref="AZ12:BA12"/>
    <mergeCell ref="AL13:AM13"/>
    <mergeCell ref="AN13:AO13"/>
    <mergeCell ref="AP13:AQ13"/>
    <mergeCell ref="AR13:AS13"/>
    <mergeCell ref="AT13:AU13"/>
    <mergeCell ref="AV13:AW13"/>
    <mergeCell ref="AL12:AM12"/>
    <mergeCell ref="AN12:AO12"/>
    <mergeCell ref="BB8:BE8"/>
    <mergeCell ref="BB9:BC9"/>
    <mergeCell ref="BD9:BE9"/>
    <mergeCell ref="BB10:BC10"/>
    <mergeCell ref="BD10:BE10"/>
    <mergeCell ref="BB11:BC11"/>
    <mergeCell ref="BD11:BE11"/>
    <mergeCell ref="P4:AE4"/>
    <mergeCell ref="AL4:AP4"/>
    <mergeCell ref="AL5:AP5"/>
    <mergeCell ref="AL6:AP6"/>
    <mergeCell ref="AL7:AM7"/>
    <mergeCell ref="AN7:AP7"/>
    <mergeCell ref="AX11:AY11"/>
    <mergeCell ref="AZ11:BA11"/>
    <mergeCell ref="AX9:AY9"/>
    <mergeCell ref="AZ9:BA9"/>
    <mergeCell ref="AP8:AS8"/>
    <mergeCell ref="AT8:AW8"/>
    <mergeCell ref="AX8:BA8"/>
    <mergeCell ref="AL9:AM9"/>
    <mergeCell ref="AP9:AQ9"/>
    <mergeCell ref="AR9:AS9"/>
    <mergeCell ref="AT9:AU9"/>
    <mergeCell ref="AI25:AJ25"/>
    <mergeCell ref="AP25:AQ25"/>
    <mergeCell ref="A68:B76"/>
    <mergeCell ref="P68:Q76"/>
    <mergeCell ref="AK62:AL62"/>
    <mergeCell ref="AW62:BA62"/>
    <mergeCell ref="AW51:BB51"/>
    <mergeCell ref="AN31:AO31"/>
    <mergeCell ref="AJ31:AK31"/>
    <mergeCell ref="AL31:AM31"/>
    <mergeCell ref="AP31:AQ31"/>
    <mergeCell ref="AI59:AJ72"/>
    <mergeCell ref="AU59:AV63"/>
    <mergeCell ref="AW59:BA59"/>
    <mergeCell ref="AI51:AJ52"/>
    <mergeCell ref="AK51:AL51"/>
    <mergeCell ref="AM51:AO51"/>
    <mergeCell ref="AP51:AR51"/>
    <mergeCell ref="AZ29:BA29"/>
    <mergeCell ref="AI56:AJ57"/>
    <mergeCell ref="AK56:AL56"/>
    <mergeCell ref="AN56:AO56"/>
    <mergeCell ref="AQ56:AR56"/>
    <mergeCell ref="AS56:AT56"/>
    <mergeCell ref="AL24:AM24"/>
    <mergeCell ref="AN24:AO24"/>
    <mergeCell ref="AP24:AQ24"/>
    <mergeCell ref="AR24:AS24"/>
    <mergeCell ref="AT24:AU24"/>
    <mergeCell ref="AP29:AQ29"/>
    <mergeCell ref="AN30:AO30"/>
    <mergeCell ref="AP30:AQ30"/>
    <mergeCell ref="AS30:AT30"/>
    <mergeCell ref="AU30:AV30"/>
    <mergeCell ref="AI53:AJ55"/>
    <mergeCell ref="AV24:AW24"/>
    <mergeCell ref="AL23:AM23"/>
    <mergeCell ref="AN23:AO23"/>
    <mergeCell ref="AP23:AQ23"/>
    <mergeCell ref="AR23:AS23"/>
    <mergeCell ref="AT23:AU23"/>
    <mergeCell ref="AV23:AW23"/>
    <mergeCell ref="AI18:AJ24"/>
    <mergeCell ref="AK18:AK19"/>
    <mergeCell ref="AT21:AU21"/>
    <mergeCell ref="AV21:AW21"/>
    <mergeCell ref="AL22:AM22"/>
    <mergeCell ref="AN22:AO22"/>
    <mergeCell ref="AP22:AQ22"/>
    <mergeCell ref="AR22:AS22"/>
    <mergeCell ref="AT22:AU22"/>
    <mergeCell ref="AV22:AW22"/>
    <mergeCell ref="AL21:AM21"/>
    <mergeCell ref="AN21:AO21"/>
    <mergeCell ref="AP21:AQ21"/>
    <mergeCell ref="AR21:AS21"/>
    <mergeCell ref="AV19:AW19"/>
    <mergeCell ref="AL20:AM20"/>
    <mergeCell ref="AN20:AO20"/>
    <mergeCell ref="AP20:AQ20"/>
    <mergeCell ref="AR20:AS20"/>
    <mergeCell ref="AT20:AU20"/>
    <mergeCell ref="AV20:AW20"/>
    <mergeCell ref="AL19:AM19"/>
    <mergeCell ref="AP19:AQ19"/>
    <mergeCell ref="AR19:AS19"/>
    <mergeCell ref="AT19:AU19"/>
    <mergeCell ref="AX15:AY15"/>
    <mergeCell ref="AZ15:BA15"/>
    <mergeCell ref="AL18:AO18"/>
    <mergeCell ref="AP18:AS18"/>
    <mergeCell ref="AT18:AW18"/>
    <mergeCell ref="AX14:AY14"/>
    <mergeCell ref="AZ14:BA14"/>
    <mergeCell ref="AL15:AM15"/>
    <mergeCell ref="AN15:AO15"/>
    <mergeCell ref="AR15:AS15"/>
    <mergeCell ref="AV15:AW15"/>
    <mergeCell ref="AL14:AM14"/>
    <mergeCell ref="AN14:AO14"/>
    <mergeCell ref="AP14:AQ14"/>
    <mergeCell ref="AR14:AS14"/>
    <mergeCell ref="AT14:AU14"/>
    <mergeCell ref="AV14:AW14"/>
    <mergeCell ref="AX10:AY10"/>
    <mergeCell ref="AZ10:BA10"/>
    <mergeCell ref="AL11:AM11"/>
    <mergeCell ref="AN11:AO11"/>
    <mergeCell ref="AP11:AQ11"/>
    <mergeCell ref="AR11:AS11"/>
    <mergeCell ref="AT11:AU11"/>
    <mergeCell ref="AV11:AW11"/>
    <mergeCell ref="AL10:AM10"/>
    <mergeCell ref="AN10:AO10"/>
    <mergeCell ref="AP10:AQ10"/>
    <mergeCell ref="AR10:AS10"/>
    <mergeCell ref="AT10:AU10"/>
    <mergeCell ref="AV10:AW10"/>
    <mergeCell ref="AV9:AW9"/>
    <mergeCell ref="AL8:AO8"/>
    <mergeCell ref="AI8:AJ14"/>
    <mergeCell ref="AK8:AK9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P12:AQ12"/>
    <mergeCell ref="AR12:AS12"/>
    <mergeCell ref="AT12:AU12"/>
    <mergeCell ref="AV12:AW12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72">
    <cfRule type="cellIs" dxfId="427" priority="1" operator="equal">
      <formula>"여기어때"</formula>
    </cfRule>
    <cfRule type="cellIs" dxfId="426" priority="2" operator="equal">
      <formula>"야놀자"</formula>
    </cfRule>
  </conditionalFormatting>
  <conditionalFormatting sqref="D71">
    <cfRule type="cellIs" dxfId="425" priority="87" operator="equal">
      <formula>"여기어때"</formula>
    </cfRule>
    <cfRule type="cellIs" dxfId="424" priority="88" operator="equal">
      <formula>"야놀자"</formula>
    </cfRule>
  </conditionalFormatting>
  <conditionalFormatting sqref="R8:R66">
    <cfRule type="cellIs" dxfId="423" priority="145" operator="equal">
      <formula>"여기어때"</formula>
    </cfRule>
    <cfRule type="cellIs" dxfId="422" priority="146" operator="equal">
      <formula>"야놀자"</formula>
    </cfRule>
  </conditionalFormatting>
  <conditionalFormatting sqref="R73">
    <cfRule type="cellIs" dxfId="421" priority="147" operator="equal">
      <formula>"여기어때"</formula>
    </cfRule>
    <cfRule type="cellIs" dxfId="420" priority="148" operator="equal">
      <formula>"야놀자"</formula>
    </cfRule>
  </conditionalFormatting>
  <conditionalFormatting sqref="AL30:AM30">
    <cfRule type="cellIs" dxfId="419" priority="132" operator="greaterThan">
      <formula>$AL$29</formula>
    </cfRule>
    <cfRule type="cellIs" dxfId="418" priority="140" operator="equal">
      <formula>$AL$29</formula>
    </cfRule>
  </conditionalFormatting>
  <conditionalFormatting sqref="AN30:AO30">
    <cfRule type="cellIs" dxfId="417" priority="131" operator="greaterThan">
      <formula>$AN$29</formula>
    </cfRule>
    <cfRule type="cellIs" dxfId="416" priority="139" operator="equal">
      <formula>$AN$29</formula>
    </cfRule>
  </conditionalFormatting>
  <conditionalFormatting sqref="AP30:AQ30">
    <cfRule type="cellIs" dxfId="415" priority="130" operator="greaterThan">
      <formula>$AP$29</formula>
    </cfRule>
    <cfRule type="cellIs" dxfId="414" priority="138" operator="equal">
      <formula>$AP$29</formula>
    </cfRule>
  </conditionalFormatting>
  <conditionalFormatting sqref="AR30">
    <cfRule type="cellIs" dxfId="413" priority="129" operator="greaterThan">
      <formula>$AR$29</formula>
    </cfRule>
    <cfRule type="cellIs" dxfId="412" priority="137" operator="equal">
      <formula>$AR$29</formula>
    </cfRule>
  </conditionalFormatting>
  <conditionalFormatting sqref="AS30:AT30">
    <cfRule type="cellIs" dxfId="411" priority="128" operator="greaterThan">
      <formula>$AS$29</formula>
    </cfRule>
    <cfRule type="cellIs" dxfId="410" priority="136" operator="equal">
      <formula>$AS$29</formula>
    </cfRule>
  </conditionalFormatting>
  <conditionalFormatting sqref="AU30:AV30">
    <cfRule type="cellIs" dxfId="409" priority="127" operator="greaterThan">
      <formula>$AU$29</formula>
    </cfRule>
    <cfRule type="cellIs" dxfId="408" priority="135" operator="equal">
      <formula>$AU$29</formula>
    </cfRule>
  </conditionalFormatting>
  <conditionalFormatting sqref="AW30">
    <cfRule type="cellIs" dxfId="407" priority="126" operator="greaterThan">
      <formula>$AW$29</formula>
    </cfRule>
    <cfRule type="cellIs" dxfId="406" priority="134" operator="equal">
      <formula>$AW$29</formula>
    </cfRule>
  </conditionalFormatting>
  <conditionalFormatting sqref="AX30:AY30">
    <cfRule type="cellIs" dxfId="405" priority="125" operator="greaterThan">
      <formula>$AX$29</formula>
    </cfRule>
    <cfRule type="cellIs" dxfId="404" priority="133" operator="equal">
      <formula>$AX$29</formula>
    </cfRule>
  </conditionalFormatting>
  <dataValidations count="1">
    <dataValidation type="list" allowBlank="1" showInputMessage="1" showErrorMessage="1" sqref="A8:A67 C73 C75:C76 P8:P67" xr:uid="{B9B59A41-D012-4DBD-88F6-27461266D4E7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4268-824E-4DF7-BD2B-793B98C202DD}">
  <sheetPr codeName="Sheet15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H40" sqref="H40:I40"/>
      <selection pane="bottomLeft" activeCell="I20" sqref="I20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45915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1233100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22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319500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'15'!AA1</f>
        <v>45915</v>
      </c>
      <c r="AM2" s="863"/>
      <c r="AN2" s="863"/>
      <c r="AO2" s="864"/>
      <c r="AP2" s="865" t="s">
        <v>10</v>
      </c>
      <c r="AQ2" s="866"/>
      <c r="AR2" s="866"/>
      <c r="AS2" s="863">
        <f>AA1+1</f>
        <v>45916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1233100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319500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1</v>
      </c>
      <c r="E6" s="356">
        <f>AP31</f>
        <v>5</v>
      </c>
      <c r="F6" s="356">
        <f>AR31</f>
        <v>2</v>
      </c>
      <c r="G6" s="356">
        <f>AS31</f>
        <v>4</v>
      </c>
      <c r="H6" s="356">
        <f>AU31</f>
        <v>4</v>
      </c>
      <c r="I6" s="356">
        <f>AW31</f>
        <v>4</v>
      </c>
      <c r="J6" s="356">
        <f>AX31</f>
        <v>0</v>
      </c>
      <c r="K6" s="606"/>
      <c r="L6" s="607"/>
      <c r="M6" s="356"/>
      <c r="N6" s="606">
        <f>C6+D6+E6+F6+G6+H6+I6+J6+K6</f>
        <v>20</v>
      </c>
      <c r="O6" s="602"/>
      <c r="P6" s="599">
        <f>C2</f>
        <v>1233100</v>
      </c>
      <c r="Q6" s="600"/>
      <c r="R6" s="300">
        <f>AN14+AN15</f>
        <v>0</v>
      </c>
      <c r="S6" s="300">
        <f>AZ14+AZ15</f>
        <v>0</v>
      </c>
      <c r="T6" s="300">
        <f>AR14+AR15</f>
        <v>199000</v>
      </c>
      <c r="U6" s="609">
        <f>AS60</f>
        <v>570000</v>
      </c>
      <c r="V6" s="600"/>
      <c r="W6" s="609">
        <f>AS61</f>
        <v>195000</v>
      </c>
      <c r="X6" s="600"/>
      <c r="Y6" s="609">
        <f>AS62</f>
        <v>65000</v>
      </c>
      <c r="Z6" s="600"/>
      <c r="AA6" s="300">
        <f>AS63</f>
        <v>0</v>
      </c>
      <c r="AB6" s="300">
        <f>AS66</f>
        <v>132600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71500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11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464">
        <v>404</v>
      </c>
      <c r="C8" s="230" t="s">
        <v>74</v>
      </c>
      <c r="D8" s="231" t="s">
        <v>217</v>
      </c>
      <c r="E8" s="215" t="s">
        <v>714</v>
      </c>
      <c r="F8" s="231" t="s">
        <v>167</v>
      </c>
      <c r="G8" s="232" t="s">
        <v>163</v>
      </c>
      <c r="H8" s="215" t="s">
        <v>164</v>
      </c>
      <c r="I8" s="215" t="s">
        <v>165</v>
      </c>
      <c r="J8" s="233" t="s">
        <v>189</v>
      </c>
      <c r="K8" s="215"/>
      <c r="L8" s="234"/>
      <c r="M8" s="234"/>
      <c r="N8" s="234"/>
      <c r="O8" s="218">
        <v>80000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464">
        <v>609</v>
      </c>
      <c r="C9" s="230" t="s">
        <v>292</v>
      </c>
      <c r="D9" s="231" t="s">
        <v>429</v>
      </c>
      <c r="E9" s="215" t="s">
        <v>714</v>
      </c>
      <c r="F9" s="231" t="s">
        <v>167</v>
      </c>
      <c r="G9" s="232" t="s">
        <v>283</v>
      </c>
      <c r="H9" s="215" t="s">
        <v>164</v>
      </c>
      <c r="I9" s="215" t="s">
        <v>165</v>
      </c>
      <c r="J9" s="233" t="s">
        <v>189</v>
      </c>
      <c r="K9" s="215"/>
      <c r="L9" s="234"/>
      <c r="M9" s="234"/>
      <c r="N9" s="234"/>
      <c r="O9" s="218">
        <v>65000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464">
        <v>1004</v>
      </c>
      <c r="C10" s="230" t="s">
        <v>491</v>
      </c>
      <c r="D10" s="231" t="s">
        <v>524</v>
      </c>
      <c r="E10" s="231"/>
      <c r="F10" s="231" t="s">
        <v>519</v>
      </c>
      <c r="G10" s="232" t="s">
        <v>490</v>
      </c>
      <c r="H10" s="215" t="s">
        <v>164</v>
      </c>
      <c r="I10" s="215" t="s">
        <v>165</v>
      </c>
      <c r="J10" s="233" t="s">
        <v>189</v>
      </c>
      <c r="K10" s="215"/>
      <c r="L10" s="234"/>
      <c r="M10" s="234"/>
      <c r="N10" s="234"/>
      <c r="O10" s="220">
        <v>75000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195000</v>
      </c>
      <c r="AS10" s="627"/>
      <c r="AT10" s="625">
        <f>COUNTA($O$8:$O$67)</f>
        <v>21</v>
      </c>
      <c r="AU10" s="625"/>
      <c r="AV10" s="625">
        <f>SUM(O8:O67)</f>
        <v>1034100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22</v>
      </c>
      <c r="BC10" s="799"/>
      <c r="BD10" s="800">
        <f>SUM(AN10+AR10+AV10+AZ10)</f>
        <v>1229100</v>
      </c>
      <c r="BE10" s="801"/>
    </row>
    <row r="11" spans="1:58" ht="64.5" customHeight="1" x14ac:dyDescent="0.3">
      <c r="A11" s="228">
        <v>4</v>
      </c>
      <c r="B11" s="464">
        <v>1105</v>
      </c>
      <c r="C11" s="230" t="s">
        <v>623</v>
      </c>
      <c r="D11" s="231" t="s">
        <v>624</v>
      </c>
      <c r="E11" s="215" t="s">
        <v>714</v>
      </c>
      <c r="F11" s="231" t="s">
        <v>167</v>
      </c>
      <c r="G11" s="232" t="s">
        <v>616</v>
      </c>
      <c r="H11" s="215" t="s">
        <v>164</v>
      </c>
      <c r="I11" s="215" t="s">
        <v>165</v>
      </c>
      <c r="J11" s="233" t="s">
        <v>189</v>
      </c>
      <c r="K11" s="215"/>
      <c r="L11" s="234"/>
      <c r="M11" s="234"/>
      <c r="N11" s="234"/>
      <c r="O11" s="218">
        <v>66300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464">
        <v>1210</v>
      </c>
      <c r="C12" s="230" t="s">
        <v>636</v>
      </c>
      <c r="D12" s="231" t="s">
        <v>860</v>
      </c>
      <c r="E12" s="215"/>
      <c r="F12" s="231" t="s">
        <v>704</v>
      </c>
      <c r="G12" s="232" t="s">
        <v>616</v>
      </c>
      <c r="H12" s="215" t="s">
        <v>164</v>
      </c>
      <c r="I12" s="215" t="s">
        <v>165</v>
      </c>
      <c r="J12" s="233" t="s">
        <v>189</v>
      </c>
      <c r="K12" s="215"/>
      <c r="L12" s="234"/>
      <c r="M12" s="234"/>
      <c r="N12" s="234"/>
      <c r="O12" s="220">
        <v>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464">
        <v>1107</v>
      </c>
      <c r="C13" s="230" t="s">
        <v>730</v>
      </c>
      <c r="D13" s="231" t="s">
        <v>769</v>
      </c>
      <c r="E13" s="215" t="s">
        <v>714</v>
      </c>
      <c r="F13" s="231" t="s">
        <v>167</v>
      </c>
      <c r="G13" s="232" t="s">
        <v>163</v>
      </c>
      <c r="H13" s="215" t="s">
        <v>164</v>
      </c>
      <c r="I13" s="215" t="s">
        <v>165</v>
      </c>
      <c r="J13" s="233" t="s">
        <v>713</v>
      </c>
      <c r="K13" s="215"/>
      <c r="L13" s="234"/>
      <c r="M13" s="234"/>
      <c r="N13" s="234"/>
      <c r="O13" s="218">
        <v>71500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464">
        <v>409</v>
      </c>
      <c r="C14" s="230" t="s">
        <v>693</v>
      </c>
      <c r="D14" s="231" t="s">
        <v>787</v>
      </c>
      <c r="E14" s="215" t="s">
        <v>714</v>
      </c>
      <c r="F14" s="231" t="s">
        <v>167</v>
      </c>
      <c r="G14" s="232" t="s">
        <v>163</v>
      </c>
      <c r="H14" s="215" t="s">
        <v>164</v>
      </c>
      <c r="I14" s="215" t="s">
        <v>165</v>
      </c>
      <c r="J14" s="233" t="s">
        <v>713</v>
      </c>
      <c r="K14" s="215" t="s">
        <v>710</v>
      </c>
      <c r="L14" s="424"/>
      <c r="M14" s="234"/>
      <c r="N14" s="234"/>
      <c r="O14" s="218">
        <v>66300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195000</v>
      </c>
      <c r="AS14" s="653"/>
      <c r="AT14" s="653">
        <f t="shared" ref="AT14" si="1">SUM(AT10:AU11)</f>
        <v>21</v>
      </c>
      <c r="AU14" s="653"/>
      <c r="AV14" s="653">
        <f>SUM(AV10:AW13)</f>
        <v>1034100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22</v>
      </c>
      <c r="BC14" s="655"/>
      <c r="BD14" s="782">
        <f>SUM(BD10:BE13)</f>
        <v>1229100</v>
      </c>
      <c r="BE14" s="783"/>
    </row>
    <row r="15" spans="1:58" ht="64.5" customHeight="1" thickBot="1" x14ac:dyDescent="0.35">
      <c r="A15" s="228">
        <v>8</v>
      </c>
      <c r="B15" s="464">
        <v>1011</v>
      </c>
      <c r="C15" s="230" t="s">
        <v>689</v>
      </c>
      <c r="D15" s="231" t="s">
        <v>697</v>
      </c>
      <c r="E15" s="215" t="s">
        <v>166</v>
      </c>
      <c r="F15" s="231" t="s">
        <v>690</v>
      </c>
      <c r="G15" s="232" t="s">
        <v>688</v>
      </c>
      <c r="H15" s="215" t="s">
        <v>164</v>
      </c>
      <c r="I15" s="215" t="s">
        <v>165</v>
      </c>
      <c r="J15" s="233" t="s">
        <v>189</v>
      </c>
      <c r="K15" s="215"/>
      <c r="L15" s="303"/>
      <c r="M15" s="234"/>
      <c r="N15" s="234"/>
      <c r="O15" s="218">
        <v>60000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464">
        <v>1111</v>
      </c>
      <c r="C16" s="380" t="s">
        <v>686</v>
      </c>
      <c r="D16" s="304" t="s">
        <v>832</v>
      </c>
      <c r="E16" s="215" t="s">
        <v>166</v>
      </c>
      <c r="F16" s="304" t="s">
        <v>690</v>
      </c>
      <c r="G16" s="381" t="s">
        <v>741</v>
      </c>
      <c r="H16" s="215" t="s">
        <v>164</v>
      </c>
      <c r="I16" s="215" t="s">
        <v>165</v>
      </c>
      <c r="J16" s="382" t="s">
        <v>713</v>
      </c>
      <c r="K16" s="305"/>
      <c r="L16" s="303"/>
      <c r="M16" s="303"/>
      <c r="N16" s="303"/>
      <c r="O16" s="220">
        <v>180000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1233100</v>
      </c>
      <c r="BE16" s="652"/>
      <c r="BF16" s="10"/>
    </row>
    <row r="17" spans="1:62" ht="64.5" customHeight="1" thickBot="1" x14ac:dyDescent="0.35">
      <c r="A17" s="228">
        <v>10</v>
      </c>
      <c r="B17" s="464">
        <v>308</v>
      </c>
      <c r="C17" s="230" t="s">
        <v>52</v>
      </c>
      <c r="D17" s="231" t="s">
        <v>841</v>
      </c>
      <c r="E17" s="215"/>
      <c r="F17" s="231" t="s">
        <v>700</v>
      </c>
      <c r="G17" s="232" t="s">
        <v>688</v>
      </c>
      <c r="H17" s="215" t="s">
        <v>164</v>
      </c>
      <c r="I17" s="215" t="s">
        <v>165</v>
      </c>
      <c r="J17" s="305" t="s">
        <v>733</v>
      </c>
      <c r="K17" s="215"/>
      <c r="L17" s="234"/>
      <c r="M17" s="234"/>
      <c r="N17" s="234"/>
      <c r="O17" s="218">
        <v>65000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464">
        <v>1215</v>
      </c>
      <c r="C18" s="230" t="s">
        <v>689</v>
      </c>
      <c r="D18" s="231" t="s">
        <v>844</v>
      </c>
      <c r="E18" s="215" t="s">
        <v>166</v>
      </c>
      <c r="F18" s="231" t="s">
        <v>696</v>
      </c>
      <c r="G18" s="232" t="s">
        <v>688</v>
      </c>
      <c r="H18" s="215" t="s">
        <v>164</v>
      </c>
      <c r="I18" s="215" t="s">
        <v>165</v>
      </c>
      <c r="J18" s="233" t="s">
        <v>189</v>
      </c>
      <c r="K18" s="215"/>
      <c r="L18" s="234"/>
      <c r="M18" s="234"/>
      <c r="N18" s="234"/>
      <c r="O18" s="218">
        <v>60000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464">
        <v>1112</v>
      </c>
      <c r="C19" s="230" t="s">
        <v>686</v>
      </c>
      <c r="D19" s="231" t="s">
        <v>846</v>
      </c>
      <c r="E19" s="215" t="s">
        <v>166</v>
      </c>
      <c r="F19" s="231" t="s">
        <v>696</v>
      </c>
      <c r="G19" s="232" t="s">
        <v>688</v>
      </c>
      <c r="H19" s="215" t="s">
        <v>164</v>
      </c>
      <c r="I19" s="215" t="s">
        <v>165</v>
      </c>
      <c r="J19" s="233" t="s">
        <v>189</v>
      </c>
      <c r="K19" s="215" t="s">
        <v>710</v>
      </c>
      <c r="L19" s="234"/>
      <c r="M19" s="234"/>
      <c r="N19" s="234"/>
      <c r="O19" s="218">
        <v>60000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464">
        <v>1214</v>
      </c>
      <c r="C20" s="230" t="s">
        <v>686</v>
      </c>
      <c r="D20" s="231" t="s">
        <v>850</v>
      </c>
      <c r="E20" s="215" t="s">
        <v>166</v>
      </c>
      <c r="F20" s="231" t="s">
        <v>696</v>
      </c>
      <c r="G20" s="232" t="s">
        <v>688</v>
      </c>
      <c r="H20" s="215" t="s">
        <v>164</v>
      </c>
      <c r="I20" s="215" t="s">
        <v>165</v>
      </c>
      <c r="J20" s="233" t="s">
        <v>189</v>
      </c>
      <c r="K20" s="215"/>
      <c r="L20" s="234"/>
      <c r="M20" s="234"/>
      <c r="N20" s="234"/>
      <c r="O20" s="218">
        <v>60000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464">
        <v>1114</v>
      </c>
      <c r="C21" s="230" t="s">
        <v>686</v>
      </c>
      <c r="D21" s="231" t="s">
        <v>862</v>
      </c>
      <c r="E21" s="215" t="s">
        <v>166</v>
      </c>
      <c r="F21" s="231" t="s">
        <v>696</v>
      </c>
      <c r="G21" s="232" t="s">
        <v>688</v>
      </c>
      <c r="H21" s="215" t="s">
        <v>164</v>
      </c>
      <c r="I21" s="215" t="s">
        <v>165</v>
      </c>
      <c r="J21" s="233" t="s">
        <v>189</v>
      </c>
      <c r="K21" s="215"/>
      <c r="L21" s="234"/>
      <c r="M21" s="234"/>
      <c r="N21" s="234"/>
      <c r="O21" s="218">
        <v>60000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464">
        <v>506</v>
      </c>
      <c r="C22" s="230" t="s">
        <v>775</v>
      </c>
      <c r="D22" s="231" t="s">
        <v>872</v>
      </c>
      <c r="E22" s="215" t="s">
        <v>714</v>
      </c>
      <c r="F22" s="231" t="s">
        <v>692</v>
      </c>
      <c r="G22" s="232" t="s">
        <v>741</v>
      </c>
      <c r="H22" s="215" t="s">
        <v>164</v>
      </c>
      <c r="I22" s="215" t="s">
        <v>165</v>
      </c>
      <c r="J22" s="215" t="s">
        <v>733</v>
      </c>
      <c r="K22" s="215"/>
      <c r="L22" s="234"/>
      <c r="M22" s="234">
        <v>195000</v>
      </c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464">
        <v>1116</v>
      </c>
      <c r="C23" s="230" t="s">
        <v>686</v>
      </c>
      <c r="D23" s="231" t="s">
        <v>873</v>
      </c>
      <c r="E23" s="215"/>
      <c r="F23" s="231" t="s">
        <v>696</v>
      </c>
      <c r="G23" s="232" t="s">
        <v>688</v>
      </c>
      <c r="H23" s="215" t="s">
        <v>164</v>
      </c>
      <c r="I23" s="215" t="s">
        <v>165</v>
      </c>
      <c r="J23" s="233" t="s">
        <v>733</v>
      </c>
      <c r="K23" s="215"/>
      <c r="L23" s="234"/>
      <c r="M23" s="234"/>
      <c r="N23" s="234"/>
      <c r="O23" s="218">
        <v>65000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/>
      <c r="C24" s="230"/>
      <c r="D24" s="231"/>
      <c r="E24" s="215"/>
      <c r="F24" s="231"/>
      <c r="G24" s="232"/>
      <c r="H24" s="215"/>
      <c r="I24" s="215"/>
      <c r="J24" s="233"/>
      <c r="K24" s="215"/>
      <c r="L24" s="234"/>
      <c r="M24" s="234"/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31"/>
      <c r="E25" s="215"/>
      <c r="F25" s="231"/>
      <c r="G25" s="232"/>
      <c r="H25" s="215"/>
      <c r="I25" s="215"/>
      <c r="J25" s="215"/>
      <c r="K25" s="238"/>
      <c r="L25" s="234"/>
      <c r="M25" s="234"/>
      <c r="N25" s="234"/>
      <c r="O25" s="218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/>
      <c r="C26" s="230"/>
      <c r="D26" s="231"/>
      <c r="E26" s="215"/>
      <c r="F26" s="231"/>
      <c r="G26" s="232"/>
      <c r="H26" s="215"/>
      <c r="I26" s="215"/>
      <c r="J26" s="215"/>
      <c r="K26" s="215"/>
      <c r="L26" s="234"/>
      <c r="M26" s="234"/>
      <c r="N26" s="23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/>
      <c r="C27" s="230"/>
      <c r="D27" s="231"/>
      <c r="E27" s="215"/>
      <c r="F27" s="231"/>
      <c r="G27" s="232"/>
      <c r="H27" s="215"/>
      <c r="I27" s="215"/>
      <c r="J27" s="237"/>
      <c r="K27" s="238"/>
      <c r="L27" s="234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215"/>
      <c r="F28" s="231"/>
      <c r="G28" s="232"/>
      <c r="H28" s="215"/>
      <c r="I28" s="215"/>
      <c r="J28" s="233"/>
      <c r="K28" s="215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31"/>
      <c r="E29" s="215"/>
      <c r="F29" s="231"/>
      <c r="G29" s="232"/>
      <c r="H29" s="215"/>
      <c r="I29" s="215"/>
      <c r="J29" s="215"/>
      <c r="K29" s="215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1"/>
      <c r="E30" s="215"/>
      <c r="F30" s="231"/>
      <c r="G30" s="232"/>
      <c r="H30" s="215"/>
      <c r="I30" s="215"/>
      <c r="J30" s="233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3</v>
      </c>
      <c r="AO30" s="829"/>
      <c r="AP30" s="830">
        <f>COUNTIF(F8:F67,"at")</f>
        <v>5</v>
      </c>
      <c r="AQ30" s="830"/>
      <c r="AR30" s="323">
        <f>COUNTIF(F8:F67,"aD")</f>
        <v>0</v>
      </c>
      <c r="AS30" s="830">
        <f>COUNTIF(F8:F67,"sd")</f>
        <v>7</v>
      </c>
      <c r="AT30" s="830"/>
      <c r="AU30" s="830">
        <f>COUNTIF(F8:F67,"st")</f>
        <v>1</v>
      </c>
      <c r="AV30" s="830"/>
      <c r="AW30" s="324">
        <f>COUNTIF(F8:F67,"v")</f>
        <v>1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5"/>
      <c r="F31" s="231"/>
      <c r="G31" s="232"/>
      <c r="H31" s="215"/>
      <c r="I31" s="215"/>
      <c r="J31" s="215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1</v>
      </c>
      <c r="AO31" s="816"/>
      <c r="AP31" s="817">
        <f>AP29-AP30</f>
        <v>5</v>
      </c>
      <c r="AQ31" s="817"/>
      <c r="AR31" s="322">
        <f>AR29-AR30</f>
        <v>2</v>
      </c>
      <c r="AS31" s="817">
        <f>AS29-AS30</f>
        <v>4</v>
      </c>
      <c r="AT31" s="817"/>
      <c r="AU31" s="817">
        <f>AU29-AU30</f>
        <v>4</v>
      </c>
      <c r="AV31" s="817"/>
      <c r="AW31" s="322">
        <f>AW29-AW30</f>
        <v>4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232"/>
      <c r="H32" s="215"/>
      <c r="I32" s="215"/>
      <c r="J32" s="215"/>
      <c r="K32" s="215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232"/>
      <c r="H33" s="215"/>
      <c r="I33" s="215"/>
      <c r="J33" s="233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33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33"/>
      <c r="K35" s="215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33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425"/>
      <c r="D38" s="426"/>
      <c r="E38" s="427"/>
      <c r="F38" s="426"/>
      <c r="G38" s="428"/>
      <c r="H38" s="427"/>
      <c r="I38" s="427"/>
      <c r="J38" s="429"/>
      <c r="K38" s="427"/>
      <c r="L38" s="430"/>
      <c r="M38" s="430"/>
      <c r="N38" s="430"/>
      <c r="O38" s="361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428"/>
      <c r="H39" s="427"/>
      <c r="I39" s="427"/>
      <c r="J39" s="429"/>
      <c r="K39" s="427"/>
      <c r="L39" s="430"/>
      <c r="M39" s="430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64"/>
      <c r="C40" s="255"/>
      <c r="D40" s="265"/>
      <c r="E40" s="266"/>
      <c r="F40" s="265"/>
      <c r="G40" s="232"/>
      <c r="H40" s="215"/>
      <c r="I40" s="215"/>
      <c r="J40" s="215"/>
      <c r="K40" s="215"/>
      <c r="L40" s="234"/>
      <c r="M40" s="234"/>
      <c r="N40" s="257"/>
      <c r="O40" s="223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33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232"/>
      <c r="H43" s="215"/>
      <c r="I43" s="215"/>
      <c r="J43" s="215"/>
      <c r="K43" s="215"/>
      <c r="L43" s="234"/>
      <c r="M43" s="234"/>
      <c r="N43" s="234"/>
      <c r="O43" s="220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440">
        <v>305</v>
      </c>
      <c r="C44" s="446" t="s">
        <v>135</v>
      </c>
      <c r="D44" s="304" t="s">
        <v>426</v>
      </c>
      <c r="E44" s="305" t="s">
        <v>425</v>
      </c>
      <c r="F44" s="304" t="s">
        <v>55</v>
      </c>
      <c r="G44" s="381" t="s">
        <v>174</v>
      </c>
      <c r="H44" s="215" t="s">
        <v>164</v>
      </c>
      <c r="I44" s="215" t="s">
        <v>165</v>
      </c>
      <c r="J44" s="233" t="s">
        <v>189</v>
      </c>
      <c r="K44" s="305"/>
      <c r="L44" s="303"/>
      <c r="M44" s="234"/>
      <c r="N44" s="234"/>
      <c r="O44" s="219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440">
        <v>1208</v>
      </c>
      <c r="C45" s="230" t="s">
        <v>693</v>
      </c>
      <c r="D45" s="231" t="s">
        <v>811</v>
      </c>
      <c r="E45" s="215"/>
      <c r="F45" s="231" t="s">
        <v>700</v>
      </c>
      <c r="G45" s="232" t="s">
        <v>721</v>
      </c>
      <c r="H45" s="215" t="s">
        <v>164</v>
      </c>
      <c r="I45" s="215" t="s">
        <v>165</v>
      </c>
      <c r="J45" s="233" t="s">
        <v>733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440">
        <v>309</v>
      </c>
      <c r="C46" s="230" t="s">
        <v>686</v>
      </c>
      <c r="D46" s="231" t="s">
        <v>807</v>
      </c>
      <c r="E46" s="215"/>
      <c r="F46" s="231" t="s">
        <v>700</v>
      </c>
      <c r="G46" s="232" t="s">
        <v>721</v>
      </c>
      <c r="H46" s="215" t="s">
        <v>164</v>
      </c>
      <c r="I46" s="215" t="s">
        <v>165</v>
      </c>
      <c r="J46" s="233" t="s">
        <v>713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440">
        <v>911</v>
      </c>
      <c r="C47" s="380" t="s">
        <v>707</v>
      </c>
      <c r="D47" s="360" t="s">
        <v>776</v>
      </c>
      <c r="E47" s="371"/>
      <c r="F47" s="360" t="s">
        <v>690</v>
      </c>
      <c r="G47" s="395" t="s">
        <v>742</v>
      </c>
      <c r="H47" s="215" t="s">
        <v>164</v>
      </c>
      <c r="I47" s="215" t="s">
        <v>165</v>
      </c>
      <c r="J47" s="233" t="s">
        <v>713</v>
      </c>
      <c r="K47" s="371"/>
      <c r="L47" s="365"/>
      <c r="M47" s="365"/>
      <c r="N47" s="365"/>
      <c r="O47" s="317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440">
        <v>307</v>
      </c>
      <c r="C48" s="380" t="s">
        <v>52</v>
      </c>
      <c r="D48" s="360" t="s">
        <v>594</v>
      </c>
      <c r="E48" s="371"/>
      <c r="F48" s="360" t="s">
        <v>55</v>
      </c>
      <c r="G48" s="395" t="s">
        <v>197</v>
      </c>
      <c r="H48" s="215" t="s">
        <v>164</v>
      </c>
      <c r="I48" s="215" t="s">
        <v>165</v>
      </c>
      <c r="J48" s="233" t="s">
        <v>193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88">
        <v>705</v>
      </c>
      <c r="C49" s="471" t="s">
        <v>686</v>
      </c>
      <c r="D49" s="472" t="s">
        <v>756</v>
      </c>
      <c r="E49" s="473" t="s">
        <v>166</v>
      </c>
      <c r="F49" s="472" t="s">
        <v>751</v>
      </c>
      <c r="G49" s="474" t="s">
        <v>759</v>
      </c>
      <c r="H49" s="473" t="s">
        <v>164</v>
      </c>
      <c r="I49" s="473" t="s">
        <v>165</v>
      </c>
      <c r="J49" s="475" t="s">
        <v>189</v>
      </c>
      <c r="K49" s="473"/>
      <c r="L49" s="476"/>
      <c r="M49" s="476"/>
      <c r="N49" s="476"/>
      <c r="O49" s="477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thickTop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6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0"/>
      <c r="G54" s="431"/>
      <c r="H54" s="215"/>
      <c r="I54" s="231"/>
      <c r="J54" s="232"/>
      <c r="K54" s="215"/>
      <c r="L54" s="215"/>
      <c r="M54" s="233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0"/>
      <c r="G55" s="231"/>
      <c r="H55" s="215"/>
      <c r="I55" s="231"/>
      <c r="J55" s="232"/>
      <c r="K55" s="215"/>
      <c r="L55" s="215"/>
      <c r="M55" s="215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0"/>
      <c r="G56" s="231"/>
      <c r="H56" s="215"/>
      <c r="I56" s="231"/>
      <c r="J56" s="232"/>
      <c r="K56" s="215"/>
      <c r="L56" s="215"/>
      <c r="M56" s="215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380"/>
      <c r="G57" s="304"/>
      <c r="H57" s="305"/>
      <c r="I57" s="304"/>
      <c r="J57" s="381"/>
      <c r="K57" s="305"/>
      <c r="L57" s="305"/>
      <c r="M57" s="305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0"/>
      <c r="G58" s="231"/>
      <c r="H58" s="215"/>
      <c r="I58" s="231"/>
      <c r="J58" s="232"/>
      <c r="K58" s="215"/>
      <c r="L58" s="215"/>
      <c r="M58" s="215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0"/>
      <c r="G59" s="231"/>
      <c r="H59" s="215"/>
      <c r="I59" s="231"/>
      <c r="J59" s="232"/>
      <c r="K59" s="215"/>
      <c r="L59" s="215"/>
      <c r="M59" s="215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9</v>
      </c>
      <c r="AQ60" s="56">
        <f>SUMIF($C$8:$C$72, $AK60, $L$8:$L$72)+SUMIF($C$8:$C$72, $AK60, $M$8:$M$72)+SUMIF($C$8:$C$72, $AK60, $N$8:$N$72)+SUMIF($C$8:$C$72, $AK60, $O$8:$O$72)</f>
        <v>570000</v>
      </c>
      <c r="AR60" s="57">
        <f>AQ60*0.9</f>
        <v>513000</v>
      </c>
      <c r="AS60" s="58">
        <f t="shared" ref="AS60:AS70" si="4">SUM(AN60+AQ60)</f>
        <v>570000</v>
      </c>
      <c r="AT60" s="59">
        <f t="shared" ref="AT60:AT70" si="5">AO60+AR60</f>
        <v>513000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3</v>
      </c>
      <c r="AQ61" s="56">
        <f t="shared" ref="AQ61:AQ70" si="8">SUMIF($C$8:$C$72, $AK61, $L$8:$L$72)+SUMIF($C$8:$C$72, $AK61, $M$8:$M$72)+SUMIF($C$8:$C$72, $AK61, $N$8:$N$72)+SUMIF($C$8:$C$72, $AK61, $O$8:$O$72)</f>
        <v>195000</v>
      </c>
      <c r="AR61" s="57">
        <f t="shared" ref="AR61:AR70" si="9">AQ61*0.9</f>
        <v>175500</v>
      </c>
      <c r="AS61" s="58">
        <f t="shared" si="4"/>
        <v>195000</v>
      </c>
      <c r="AT61" s="59">
        <f t="shared" si="5"/>
        <v>175500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2</v>
      </c>
      <c r="AQ62" s="56">
        <f t="shared" si="8"/>
        <v>65000</v>
      </c>
      <c r="AR62" s="57">
        <f t="shared" si="9"/>
        <v>58500</v>
      </c>
      <c r="AS62" s="58">
        <f t="shared" si="4"/>
        <v>65000</v>
      </c>
      <c r="AT62" s="59">
        <f t="shared" si="5"/>
        <v>58500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132600</v>
      </c>
      <c r="AR66" s="57">
        <f t="shared" si="9"/>
        <v>119340</v>
      </c>
      <c r="AS66" s="58">
        <f t="shared" si="4"/>
        <v>132600</v>
      </c>
      <c r="AT66" s="59">
        <f t="shared" si="5"/>
        <v>119340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1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49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1034100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1</v>
      </c>
      <c r="AQ70" s="56">
        <f t="shared" si="8"/>
        <v>71500</v>
      </c>
      <c r="AR70" s="57">
        <f t="shared" si="9"/>
        <v>64350</v>
      </c>
      <c r="AS70" s="58">
        <f t="shared" si="4"/>
        <v>71500</v>
      </c>
      <c r="AT70" s="59">
        <f t="shared" si="5"/>
        <v>64350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1233100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20</v>
      </c>
      <c r="AQ73" s="22">
        <f t="shared" si="10"/>
        <v>1034100</v>
      </c>
      <c r="AR73" s="23">
        <f t="shared" si="10"/>
        <v>930690</v>
      </c>
      <c r="AS73" s="24">
        <f t="shared" si="10"/>
        <v>1034100</v>
      </c>
      <c r="AT73" s="25">
        <f t="shared" si="10"/>
        <v>930690</v>
      </c>
      <c r="AU73" s="692" t="s">
        <v>58</v>
      </c>
      <c r="AV73" s="693"/>
      <c r="AW73" s="693"/>
      <c r="AX73" s="693"/>
      <c r="AY73" s="694"/>
      <c r="AZ73" s="695">
        <f>AS58+AT73</f>
        <v>930690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E000000}"/>
  <mergeCells count="307">
    <mergeCell ref="AI74:AJ74"/>
    <mergeCell ref="AK69:AL69"/>
    <mergeCell ref="AK70:AL70"/>
    <mergeCell ref="AK71:AL71"/>
    <mergeCell ref="AU71:AY71"/>
    <mergeCell ref="AZ71:BE71"/>
    <mergeCell ref="AK72:AL72"/>
    <mergeCell ref="AU72:AY72"/>
    <mergeCell ref="AZ72:BE72"/>
    <mergeCell ref="AK66:AL66"/>
    <mergeCell ref="AK67:AL67"/>
    <mergeCell ref="AZ67:BB67"/>
    <mergeCell ref="BC67:BE67"/>
    <mergeCell ref="AK68:AL68"/>
    <mergeCell ref="AU68:AY68"/>
    <mergeCell ref="AZ68:BB68"/>
    <mergeCell ref="BC68:BE68"/>
    <mergeCell ref="AI73:AJ73"/>
    <mergeCell ref="AU73:AY73"/>
    <mergeCell ref="AZ73:BE73"/>
    <mergeCell ref="BB62:BE62"/>
    <mergeCell ref="AK63:AL63"/>
    <mergeCell ref="AW63:BA63"/>
    <mergeCell ref="BB63:BE63"/>
    <mergeCell ref="AK64:AL64"/>
    <mergeCell ref="AU64:AV65"/>
    <mergeCell ref="AW64:BA64"/>
    <mergeCell ref="BB64:BE64"/>
    <mergeCell ref="AK65:AL65"/>
    <mergeCell ref="AW65:BA65"/>
    <mergeCell ref="BB65:BE65"/>
    <mergeCell ref="BB59:BE59"/>
    <mergeCell ref="AK60:AL60"/>
    <mergeCell ref="AW60:BA60"/>
    <mergeCell ref="BB60:BE60"/>
    <mergeCell ref="AK61:AL61"/>
    <mergeCell ref="AW61:BA61"/>
    <mergeCell ref="BB61:BE61"/>
    <mergeCell ref="AQ57:AR57"/>
    <mergeCell ref="AS57:AT57"/>
    <mergeCell ref="AI58:AL58"/>
    <mergeCell ref="AN58:AO58"/>
    <mergeCell ref="AQ58:AR58"/>
    <mergeCell ref="AS58:AT58"/>
    <mergeCell ref="AK57:AL57"/>
    <mergeCell ref="AN57:AO57"/>
    <mergeCell ref="BC54:BE54"/>
    <mergeCell ref="AK53:AL53"/>
    <mergeCell ref="AN53:AO53"/>
    <mergeCell ref="AQ53:AR53"/>
    <mergeCell ref="AS53:AT53"/>
    <mergeCell ref="AU53:AV55"/>
    <mergeCell ref="AK55:AL55"/>
    <mergeCell ref="AN55:AO55"/>
    <mergeCell ref="AQ55:AR55"/>
    <mergeCell ref="AS55:AT55"/>
    <mergeCell ref="AW55:AZ55"/>
    <mergeCell ref="BA55:BB55"/>
    <mergeCell ref="BC55:BE55"/>
    <mergeCell ref="AW53:AZ53"/>
    <mergeCell ref="BA53:BB53"/>
    <mergeCell ref="BC53:BE53"/>
    <mergeCell ref="AK54:AL54"/>
    <mergeCell ref="AN54:AO54"/>
    <mergeCell ref="AQ54:AR54"/>
    <mergeCell ref="AS54:AT54"/>
    <mergeCell ref="AW54:AZ54"/>
    <mergeCell ref="BA54:BB54"/>
    <mergeCell ref="BC51:BE52"/>
    <mergeCell ref="AK52:AL52"/>
    <mergeCell ref="AN52:AO52"/>
    <mergeCell ref="AQ52:AR52"/>
    <mergeCell ref="AW52:AZ52"/>
    <mergeCell ref="BA52:BB52"/>
    <mergeCell ref="AS31:AT31"/>
    <mergeCell ref="AU31:AV31"/>
    <mergeCell ref="AX31:AY31"/>
    <mergeCell ref="AZ31:BA31"/>
    <mergeCell ref="AS51:AT52"/>
    <mergeCell ref="AU51:AV52"/>
    <mergeCell ref="AX30:AY30"/>
    <mergeCell ref="AZ30:BA30"/>
    <mergeCell ref="AX25:AY25"/>
    <mergeCell ref="AZ25:BA25"/>
    <mergeCell ref="AJ27:AO27"/>
    <mergeCell ref="AN28:AO28"/>
    <mergeCell ref="AP28:AQ28"/>
    <mergeCell ref="AS28:AT28"/>
    <mergeCell ref="AU28:AV28"/>
    <mergeCell ref="AX28:AY28"/>
    <mergeCell ref="AZ28:BA28"/>
    <mergeCell ref="AS29:AT29"/>
    <mergeCell ref="AU29:AV29"/>
    <mergeCell ref="AX29:AY29"/>
    <mergeCell ref="AJ30:AK30"/>
    <mergeCell ref="AL30:AM30"/>
    <mergeCell ref="AJ29:AK29"/>
    <mergeCell ref="AL29:AM29"/>
    <mergeCell ref="AN29:AO29"/>
    <mergeCell ref="AV25:AW25"/>
    <mergeCell ref="AJ28:AK28"/>
    <mergeCell ref="AL28:AM28"/>
    <mergeCell ref="AN25:AO25"/>
    <mergeCell ref="AR25:AS25"/>
    <mergeCell ref="AX22:AY22"/>
    <mergeCell ref="AZ22:BA22"/>
    <mergeCell ref="AX23:AY23"/>
    <mergeCell ref="AZ23:BA23"/>
    <mergeCell ref="AX24:AY24"/>
    <mergeCell ref="AZ24:BA24"/>
    <mergeCell ref="AX18:BA18"/>
    <mergeCell ref="AX19:AY19"/>
    <mergeCell ref="AZ19:BA19"/>
    <mergeCell ref="AX20:AY20"/>
    <mergeCell ref="AZ20:BA20"/>
    <mergeCell ref="AX21:AY21"/>
    <mergeCell ref="AZ21:BA21"/>
    <mergeCell ref="AI15:AJ15"/>
    <mergeCell ref="AP15:AQ15"/>
    <mergeCell ref="BB15:BC15"/>
    <mergeCell ref="BD15:BE15"/>
    <mergeCell ref="BB16:BC16"/>
    <mergeCell ref="BD16:BE16"/>
    <mergeCell ref="BB12:BC12"/>
    <mergeCell ref="BD12:BE12"/>
    <mergeCell ref="BB13:BC13"/>
    <mergeCell ref="BD13:BE13"/>
    <mergeCell ref="BB14:BC14"/>
    <mergeCell ref="BD14:BE14"/>
    <mergeCell ref="AX13:AY13"/>
    <mergeCell ref="AZ13:BA13"/>
    <mergeCell ref="AX12:AY12"/>
    <mergeCell ref="AZ12:BA12"/>
    <mergeCell ref="AL13:AM13"/>
    <mergeCell ref="AN13:AO13"/>
    <mergeCell ref="AP13:AQ13"/>
    <mergeCell ref="AR13:AS13"/>
    <mergeCell ref="AT13:AU13"/>
    <mergeCell ref="AV13:AW13"/>
    <mergeCell ref="AL12:AM12"/>
    <mergeCell ref="AN12:AO12"/>
    <mergeCell ref="BB8:BE8"/>
    <mergeCell ref="BB9:BC9"/>
    <mergeCell ref="BD9:BE9"/>
    <mergeCell ref="BB10:BC10"/>
    <mergeCell ref="BD10:BE10"/>
    <mergeCell ref="BB11:BC11"/>
    <mergeCell ref="BD11:BE11"/>
    <mergeCell ref="P4:AE4"/>
    <mergeCell ref="AL4:AP4"/>
    <mergeCell ref="AL5:AP5"/>
    <mergeCell ref="AL6:AP6"/>
    <mergeCell ref="AL7:AM7"/>
    <mergeCell ref="AN7:AP7"/>
    <mergeCell ref="AX11:AY11"/>
    <mergeCell ref="AZ11:BA11"/>
    <mergeCell ref="AX9:AY9"/>
    <mergeCell ref="AZ9:BA9"/>
    <mergeCell ref="AP8:AS8"/>
    <mergeCell ref="AT8:AW8"/>
    <mergeCell ref="AX8:BA8"/>
    <mergeCell ref="AL9:AM9"/>
    <mergeCell ref="AP9:AQ9"/>
    <mergeCell ref="AR9:AS9"/>
    <mergeCell ref="AT9:AU9"/>
    <mergeCell ref="AI25:AJ25"/>
    <mergeCell ref="AP25:AQ25"/>
    <mergeCell ref="A68:B76"/>
    <mergeCell ref="P68:Q76"/>
    <mergeCell ref="AK62:AL62"/>
    <mergeCell ref="AW62:BA62"/>
    <mergeCell ref="AW51:BB51"/>
    <mergeCell ref="AN31:AO31"/>
    <mergeCell ref="AJ31:AK31"/>
    <mergeCell ref="AL31:AM31"/>
    <mergeCell ref="AP31:AQ31"/>
    <mergeCell ref="AI59:AJ72"/>
    <mergeCell ref="AU59:AV63"/>
    <mergeCell ref="AW59:BA59"/>
    <mergeCell ref="AI51:AJ52"/>
    <mergeCell ref="AK51:AL51"/>
    <mergeCell ref="AM51:AO51"/>
    <mergeCell ref="AP51:AR51"/>
    <mergeCell ref="AZ29:BA29"/>
    <mergeCell ref="AI56:AJ57"/>
    <mergeCell ref="AK56:AL56"/>
    <mergeCell ref="AN56:AO56"/>
    <mergeCell ref="AQ56:AR56"/>
    <mergeCell ref="AS56:AT56"/>
    <mergeCell ref="AL24:AM24"/>
    <mergeCell ref="AN24:AO24"/>
    <mergeCell ref="AP24:AQ24"/>
    <mergeCell ref="AR24:AS24"/>
    <mergeCell ref="AT24:AU24"/>
    <mergeCell ref="AP29:AQ29"/>
    <mergeCell ref="AN30:AO30"/>
    <mergeCell ref="AP30:AQ30"/>
    <mergeCell ref="AS30:AT30"/>
    <mergeCell ref="AU30:AV30"/>
    <mergeCell ref="AI53:AJ55"/>
    <mergeCell ref="AV24:AW24"/>
    <mergeCell ref="AL23:AM23"/>
    <mergeCell ref="AN23:AO23"/>
    <mergeCell ref="AP23:AQ23"/>
    <mergeCell ref="AR23:AS23"/>
    <mergeCell ref="AT23:AU23"/>
    <mergeCell ref="AV23:AW23"/>
    <mergeCell ref="AI18:AJ24"/>
    <mergeCell ref="AK18:AK19"/>
    <mergeCell ref="AT21:AU21"/>
    <mergeCell ref="AV21:AW21"/>
    <mergeCell ref="AL22:AM22"/>
    <mergeCell ref="AN22:AO22"/>
    <mergeCell ref="AP22:AQ22"/>
    <mergeCell ref="AR22:AS22"/>
    <mergeCell ref="AT22:AU22"/>
    <mergeCell ref="AV22:AW22"/>
    <mergeCell ref="AL21:AM21"/>
    <mergeCell ref="AN21:AO21"/>
    <mergeCell ref="AP21:AQ21"/>
    <mergeCell ref="AR21:AS21"/>
    <mergeCell ref="AV19:AW19"/>
    <mergeCell ref="AL20:AM20"/>
    <mergeCell ref="AN20:AO20"/>
    <mergeCell ref="AP20:AQ20"/>
    <mergeCell ref="AR20:AS20"/>
    <mergeCell ref="AT20:AU20"/>
    <mergeCell ref="AV20:AW20"/>
    <mergeCell ref="AL19:AM19"/>
    <mergeCell ref="AP19:AQ19"/>
    <mergeCell ref="AR19:AS19"/>
    <mergeCell ref="AT19:AU19"/>
    <mergeCell ref="AX15:AY15"/>
    <mergeCell ref="AZ15:BA15"/>
    <mergeCell ref="AL18:AO18"/>
    <mergeCell ref="AP18:AS18"/>
    <mergeCell ref="AT18:AW18"/>
    <mergeCell ref="AX14:AY14"/>
    <mergeCell ref="AZ14:BA14"/>
    <mergeCell ref="AL15:AM15"/>
    <mergeCell ref="AN15:AO15"/>
    <mergeCell ref="AR15:AS15"/>
    <mergeCell ref="AV15:AW15"/>
    <mergeCell ref="AL14:AM14"/>
    <mergeCell ref="AN14:AO14"/>
    <mergeCell ref="AP14:AQ14"/>
    <mergeCell ref="AR14:AS14"/>
    <mergeCell ref="AT14:AU14"/>
    <mergeCell ref="AV14:AW14"/>
    <mergeCell ref="AX10:AY10"/>
    <mergeCell ref="AZ10:BA10"/>
    <mergeCell ref="AL11:AM11"/>
    <mergeCell ref="AN11:AO11"/>
    <mergeCell ref="AP11:AQ11"/>
    <mergeCell ref="AR11:AS11"/>
    <mergeCell ref="AT11:AU11"/>
    <mergeCell ref="AV11:AW11"/>
    <mergeCell ref="AL10:AM10"/>
    <mergeCell ref="AN10:AO10"/>
    <mergeCell ref="AP10:AQ10"/>
    <mergeCell ref="AR10:AS10"/>
    <mergeCell ref="AT10:AU10"/>
    <mergeCell ref="AV10:AW10"/>
    <mergeCell ref="AV9:AW9"/>
    <mergeCell ref="AL8:AO8"/>
    <mergeCell ref="AI8:AJ14"/>
    <mergeCell ref="AK8:AK9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P12:AQ12"/>
    <mergeCell ref="AR12:AS12"/>
    <mergeCell ref="AT12:AU12"/>
    <mergeCell ref="AV12:AW12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7">
    <cfRule type="cellIs" dxfId="403" priority="1" operator="equal">
      <formula>"여기어때"</formula>
    </cfRule>
    <cfRule type="cellIs" dxfId="402" priority="2" operator="equal">
      <formula>"야놀자"</formula>
    </cfRule>
  </conditionalFormatting>
  <conditionalFormatting sqref="F54:F59">
    <cfRule type="cellIs" dxfId="401" priority="891" operator="equal">
      <formula>"여기어때"</formula>
    </cfRule>
    <cfRule type="cellIs" dxfId="400" priority="892" operator="equal">
      <formula>"야놀자"</formula>
    </cfRule>
  </conditionalFormatting>
  <conditionalFormatting sqref="R8:R66">
    <cfRule type="cellIs" dxfId="399" priority="1187" operator="equal">
      <formula>"여기어때"</formula>
    </cfRule>
    <cfRule type="cellIs" dxfId="398" priority="1188" operator="equal">
      <formula>"야놀자"</formula>
    </cfRule>
  </conditionalFormatting>
  <conditionalFormatting sqref="R73">
    <cfRule type="cellIs" dxfId="397" priority="1189" operator="equal">
      <formula>"여기어때"</formula>
    </cfRule>
    <cfRule type="cellIs" dxfId="396" priority="1190" operator="equal">
      <formula>"야놀자"</formula>
    </cfRule>
  </conditionalFormatting>
  <conditionalFormatting sqref="AL30:AM30">
    <cfRule type="cellIs" dxfId="395" priority="1174" operator="greaterThan">
      <formula>$AL$29</formula>
    </cfRule>
    <cfRule type="cellIs" dxfId="394" priority="1182" operator="equal">
      <formula>$AL$29</formula>
    </cfRule>
  </conditionalFormatting>
  <conditionalFormatting sqref="AN30:AO30">
    <cfRule type="cellIs" dxfId="393" priority="1173" operator="greaterThan">
      <formula>$AN$29</formula>
    </cfRule>
    <cfRule type="cellIs" dxfId="392" priority="1181" operator="equal">
      <formula>$AN$29</formula>
    </cfRule>
  </conditionalFormatting>
  <conditionalFormatting sqref="AP30:AQ30">
    <cfRule type="cellIs" dxfId="391" priority="1172" operator="greaterThan">
      <formula>$AP$29</formula>
    </cfRule>
    <cfRule type="cellIs" dxfId="390" priority="1180" operator="equal">
      <formula>$AP$29</formula>
    </cfRule>
  </conditionalFormatting>
  <conditionalFormatting sqref="AR30">
    <cfRule type="cellIs" dxfId="389" priority="1171" operator="greaterThan">
      <formula>$AR$29</formula>
    </cfRule>
    <cfRule type="cellIs" dxfId="388" priority="1179" operator="equal">
      <formula>$AR$29</formula>
    </cfRule>
  </conditionalFormatting>
  <conditionalFormatting sqref="AS30:AT30">
    <cfRule type="cellIs" dxfId="387" priority="1170" operator="greaterThan">
      <formula>$AS$29</formula>
    </cfRule>
    <cfRule type="cellIs" dxfId="386" priority="1178" operator="equal">
      <formula>$AS$29</formula>
    </cfRule>
  </conditionalFormatting>
  <conditionalFormatting sqref="AU30:AV30">
    <cfRule type="cellIs" dxfId="385" priority="1169" operator="greaterThan">
      <formula>$AU$29</formula>
    </cfRule>
    <cfRule type="cellIs" dxfId="384" priority="1177" operator="equal">
      <formula>$AU$29</formula>
    </cfRule>
  </conditionalFormatting>
  <conditionalFormatting sqref="AW30">
    <cfRule type="cellIs" dxfId="383" priority="1168" operator="greaterThan">
      <formula>$AW$29</formula>
    </cfRule>
    <cfRule type="cellIs" dxfId="382" priority="1176" operator="equal">
      <formula>$AW$29</formula>
    </cfRule>
  </conditionalFormatting>
  <conditionalFormatting sqref="AX30:AY30">
    <cfRule type="cellIs" dxfId="381" priority="1167" operator="greaterThan">
      <formula>$AX$29</formula>
    </cfRule>
    <cfRule type="cellIs" dxfId="380" priority="1175" operator="equal">
      <formula>$AX$29</formula>
    </cfRule>
  </conditionalFormatting>
  <dataValidations count="1">
    <dataValidation type="list" allowBlank="1" showInputMessage="1" showErrorMessage="1" sqref="A8:A67 C68:C73 C75:C76 P8:P67" xr:uid="{1D08D32F-D10E-4A64-AD3D-E0DF8C387E9E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35A0-55AF-40F0-A2E4-2969BB13ABF1}">
  <sheetPr codeName="Sheet16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L31" sqref="L31"/>
      <selection pane="bottomLeft" activeCell="L27" sqref="L27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813</v>
      </c>
      <c r="T1" s="834"/>
      <c r="U1" s="834"/>
      <c r="V1" s="834"/>
      <c r="W1" s="834"/>
      <c r="X1" s="834"/>
      <c r="Y1" s="835"/>
      <c r="Z1" s="1" t="s">
        <v>2</v>
      </c>
      <c r="AA1" s="873">
        <v>45916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1821117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24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319500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'16'!AA1</f>
        <v>45916</v>
      </c>
      <c r="AM2" s="863"/>
      <c r="AN2" s="863"/>
      <c r="AO2" s="864"/>
      <c r="AP2" s="865" t="s">
        <v>10</v>
      </c>
      <c r="AQ2" s="866"/>
      <c r="AR2" s="866"/>
      <c r="AS2" s="863">
        <f>AA1+1</f>
        <v>45917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양동건 대체/김선우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1821117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323500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2</v>
      </c>
      <c r="D6" s="356">
        <f>AN31</f>
        <v>1</v>
      </c>
      <c r="E6" s="356">
        <f>AP31</f>
        <v>3</v>
      </c>
      <c r="F6" s="356">
        <f>AR31</f>
        <v>2</v>
      </c>
      <c r="G6" s="356">
        <f>AS31</f>
        <v>3</v>
      </c>
      <c r="H6" s="356">
        <f>AU31</f>
        <v>2</v>
      </c>
      <c r="I6" s="356">
        <f>AW31</f>
        <v>5</v>
      </c>
      <c r="J6" s="356">
        <f>AX31</f>
        <v>0</v>
      </c>
      <c r="K6" s="606"/>
      <c r="L6" s="607"/>
      <c r="M6" s="356"/>
      <c r="N6" s="606">
        <f>C6+D6+E6+F6+G6+H6+I6+J6+K6</f>
        <v>18</v>
      </c>
      <c r="O6" s="602"/>
      <c r="P6" s="599">
        <f>C2</f>
        <v>1821117</v>
      </c>
      <c r="Q6" s="600"/>
      <c r="R6" s="300">
        <f>AN14+AN15</f>
        <v>4000</v>
      </c>
      <c r="S6" s="300">
        <f>AZ14+AZ15</f>
        <v>0</v>
      </c>
      <c r="T6" s="300">
        <f>AR14+AR15</f>
        <v>84000</v>
      </c>
      <c r="U6" s="609">
        <f>AS60</f>
        <v>180000</v>
      </c>
      <c r="V6" s="600"/>
      <c r="W6" s="609">
        <f>AS61</f>
        <v>610000</v>
      </c>
      <c r="X6" s="600"/>
      <c r="Y6" s="609">
        <f>AS62</f>
        <v>65000</v>
      </c>
      <c r="Z6" s="600"/>
      <c r="AA6" s="300">
        <f>AS63</f>
        <v>0</v>
      </c>
      <c r="AB6" s="300">
        <f>AS66</f>
        <v>136500</v>
      </c>
      <c r="AC6" s="300">
        <f>AS67</f>
        <v>741617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1107</v>
      </c>
      <c r="C8" s="230" t="s">
        <v>284</v>
      </c>
      <c r="D8" s="231" t="s">
        <v>684</v>
      </c>
      <c r="E8" s="215" t="s">
        <v>685</v>
      </c>
      <c r="F8" s="231" t="s">
        <v>692</v>
      </c>
      <c r="G8" s="232" t="s">
        <v>283</v>
      </c>
      <c r="H8" s="215" t="s">
        <v>285</v>
      </c>
      <c r="I8" s="215" t="s">
        <v>286</v>
      </c>
      <c r="J8" s="233" t="s">
        <v>287</v>
      </c>
      <c r="K8" s="215"/>
      <c r="L8" s="234"/>
      <c r="M8" s="234"/>
      <c r="N8" s="234"/>
      <c r="O8" s="218">
        <v>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319">
        <v>811</v>
      </c>
      <c r="C9" s="230" t="s">
        <v>298</v>
      </c>
      <c r="D9" s="231" t="s">
        <v>361</v>
      </c>
      <c r="E9" s="215"/>
      <c r="F9" s="231" t="s">
        <v>302</v>
      </c>
      <c r="G9" s="232" t="s">
        <v>308</v>
      </c>
      <c r="H9" s="215" t="s">
        <v>285</v>
      </c>
      <c r="I9" s="215" t="s">
        <v>286</v>
      </c>
      <c r="J9" s="233" t="s">
        <v>287</v>
      </c>
      <c r="K9" s="215"/>
      <c r="L9" s="234"/>
      <c r="M9" s="234"/>
      <c r="N9" s="234"/>
      <c r="O9" s="219">
        <v>177450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319">
        <v>1214</v>
      </c>
      <c r="C10" s="230" t="s">
        <v>630</v>
      </c>
      <c r="D10" s="231" t="s">
        <v>632</v>
      </c>
      <c r="E10" s="305" t="s">
        <v>750</v>
      </c>
      <c r="F10" s="231" t="s">
        <v>159</v>
      </c>
      <c r="G10" s="232" t="s">
        <v>634</v>
      </c>
      <c r="H10" s="215" t="s">
        <v>164</v>
      </c>
      <c r="I10" s="215" t="s">
        <v>165</v>
      </c>
      <c r="J10" s="233" t="s">
        <v>189</v>
      </c>
      <c r="K10" s="215"/>
      <c r="L10" s="234"/>
      <c r="M10" s="234"/>
      <c r="N10" s="234"/>
      <c r="O10" s="218">
        <v>118300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80000</v>
      </c>
      <c r="AS10" s="627"/>
      <c r="AT10" s="625">
        <f>COUNTA($O$8:$O$67)</f>
        <v>23</v>
      </c>
      <c r="AU10" s="625"/>
      <c r="AV10" s="625">
        <f>SUM(O8:O67)</f>
        <v>1733117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24</v>
      </c>
      <c r="BC10" s="799"/>
      <c r="BD10" s="800">
        <f>SUM(AN10+AR10+AV10+AZ10)</f>
        <v>1813117</v>
      </c>
      <c r="BE10" s="801"/>
    </row>
    <row r="11" spans="1:58" ht="64.5" customHeight="1" x14ac:dyDescent="0.3">
      <c r="A11" s="228">
        <v>4</v>
      </c>
      <c r="B11" s="319">
        <v>615</v>
      </c>
      <c r="C11" s="318" t="s">
        <v>81</v>
      </c>
      <c r="D11" s="231" t="s">
        <v>791</v>
      </c>
      <c r="E11" s="305" t="s">
        <v>918</v>
      </c>
      <c r="F11" s="231" t="s">
        <v>696</v>
      </c>
      <c r="G11" s="232" t="s">
        <v>741</v>
      </c>
      <c r="H11" s="215" t="s">
        <v>164</v>
      </c>
      <c r="I11" s="215" t="s">
        <v>165</v>
      </c>
      <c r="J11" s="233" t="s">
        <v>713</v>
      </c>
      <c r="K11" s="215"/>
      <c r="L11" s="234"/>
      <c r="M11" s="234"/>
      <c r="N11" s="234"/>
      <c r="O11" s="220">
        <v>191085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809</v>
      </c>
      <c r="C12" s="230" t="s">
        <v>689</v>
      </c>
      <c r="D12" s="304" t="s">
        <v>803</v>
      </c>
      <c r="E12" s="305" t="s">
        <v>166</v>
      </c>
      <c r="F12" s="304" t="s">
        <v>692</v>
      </c>
      <c r="G12" s="381" t="s">
        <v>688</v>
      </c>
      <c r="H12" s="215" t="s">
        <v>164</v>
      </c>
      <c r="I12" s="215" t="s">
        <v>165</v>
      </c>
      <c r="J12" s="233" t="s">
        <v>189</v>
      </c>
      <c r="K12" s="397"/>
      <c r="L12" s="303"/>
      <c r="M12" s="303"/>
      <c r="N12" s="303"/>
      <c r="O12" s="220">
        <v>60000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319">
        <v>1215</v>
      </c>
      <c r="C13" s="318" t="s">
        <v>707</v>
      </c>
      <c r="D13" s="304" t="s">
        <v>816</v>
      </c>
      <c r="E13" s="305" t="s">
        <v>750</v>
      </c>
      <c r="F13" s="304" t="s">
        <v>696</v>
      </c>
      <c r="G13" s="381" t="s">
        <v>817</v>
      </c>
      <c r="H13" s="215" t="s">
        <v>164</v>
      </c>
      <c r="I13" s="215" t="s">
        <v>165</v>
      </c>
      <c r="J13" s="233" t="s">
        <v>189</v>
      </c>
      <c r="K13" s="397"/>
      <c r="L13" s="303"/>
      <c r="M13" s="303"/>
      <c r="N13" s="303"/>
      <c r="O13" s="220">
        <v>254782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19">
        <v>1115</v>
      </c>
      <c r="C14" s="230" t="s">
        <v>689</v>
      </c>
      <c r="D14" s="304" t="s">
        <v>825</v>
      </c>
      <c r="E14" s="305" t="s">
        <v>166</v>
      </c>
      <c r="F14" s="304" t="s">
        <v>696</v>
      </c>
      <c r="G14" s="232" t="s">
        <v>688</v>
      </c>
      <c r="H14" s="215" t="s">
        <v>164</v>
      </c>
      <c r="I14" s="215" t="s">
        <v>165</v>
      </c>
      <c r="J14" s="237" t="s">
        <v>733</v>
      </c>
      <c r="K14" s="215"/>
      <c r="L14" s="234"/>
      <c r="M14" s="234"/>
      <c r="N14" s="234"/>
      <c r="O14" s="218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80000</v>
      </c>
      <c r="AS14" s="653"/>
      <c r="AT14" s="653">
        <f t="shared" ref="AT14" si="1">SUM(AT10:AU11)</f>
        <v>23</v>
      </c>
      <c r="AU14" s="653"/>
      <c r="AV14" s="653">
        <f>SUM(AV10:AW13)</f>
        <v>1733117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24</v>
      </c>
      <c r="BC14" s="655"/>
      <c r="BD14" s="782">
        <f>SUM(BD10:BE13)</f>
        <v>1813117</v>
      </c>
      <c r="BE14" s="783"/>
    </row>
    <row r="15" spans="1:58" ht="64.5" customHeight="1" thickBot="1" x14ac:dyDescent="0.35">
      <c r="A15" s="228">
        <v>8</v>
      </c>
      <c r="B15" s="319">
        <v>409</v>
      </c>
      <c r="C15" s="380" t="s">
        <v>689</v>
      </c>
      <c r="D15" s="304" t="s">
        <v>851</v>
      </c>
      <c r="E15" s="305" t="s">
        <v>714</v>
      </c>
      <c r="F15" s="304" t="s">
        <v>692</v>
      </c>
      <c r="G15" s="381" t="s">
        <v>688</v>
      </c>
      <c r="H15" s="215" t="s">
        <v>164</v>
      </c>
      <c r="I15" s="215" t="s">
        <v>165</v>
      </c>
      <c r="J15" s="233" t="s">
        <v>189</v>
      </c>
      <c r="K15" s="397"/>
      <c r="L15" s="303"/>
      <c r="M15" s="303"/>
      <c r="N15" s="303"/>
      <c r="O15" s="220">
        <v>65000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2</v>
      </c>
      <c r="AM15" s="881"/>
      <c r="AN15" s="632">
        <f>AN24</f>
        <v>4000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4</v>
      </c>
      <c r="BC15" s="633"/>
      <c r="BD15" s="776">
        <f>SUM(AN15+AR15+AV15+AZ15)</f>
        <v>8000</v>
      </c>
      <c r="BE15" s="777"/>
    </row>
    <row r="16" spans="1:58" ht="64.5" customHeight="1" thickBot="1" x14ac:dyDescent="0.35">
      <c r="A16" s="228">
        <v>9</v>
      </c>
      <c r="B16" s="319">
        <v>609</v>
      </c>
      <c r="C16" s="230" t="s">
        <v>689</v>
      </c>
      <c r="D16" s="231" t="s">
        <v>852</v>
      </c>
      <c r="E16" s="305" t="s">
        <v>714</v>
      </c>
      <c r="F16" s="231" t="s">
        <v>692</v>
      </c>
      <c r="G16" s="232" t="s">
        <v>688</v>
      </c>
      <c r="H16" s="215" t="s">
        <v>164</v>
      </c>
      <c r="I16" s="215" t="s">
        <v>165</v>
      </c>
      <c r="J16" s="233" t="s">
        <v>189</v>
      </c>
      <c r="K16" s="397"/>
      <c r="L16" s="234"/>
      <c r="M16" s="234"/>
      <c r="N16" s="234"/>
      <c r="O16" s="218">
        <v>65000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1821117</v>
      </c>
      <c r="BE16" s="652"/>
      <c r="BF16" s="10"/>
    </row>
    <row r="17" spans="1:62" ht="64.5" customHeight="1" thickBot="1" x14ac:dyDescent="0.35">
      <c r="A17" s="228">
        <v>10</v>
      </c>
      <c r="B17" s="319">
        <v>713</v>
      </c>
      <c r="C17" s="230" t="s">
        <v>689</v>
      </c>
      <c r="D17" s="231" t="s">
        <v>880</v>
      </c>
      <c r="E17" s="215" t="s">
        <v>166</v>
      </c>
      <c r="F17" s="231" t="s">
        <v>696</v>
      </c>
      <c r="G17" s="232" t="s">
        <v>688</v>
      </c>
      <c r="H17" s="215" t="s">
        <v>164</v>
      </c>
      <c r="I17" s="215" t="s">
        <v>165</v>
      </c>
      <c r="J17" s="233" t="s">
        <v>713</v>
      </c>
      <c r="K17" s="238"/>
      <c r="L17" s="234"/>
      <c r="M17" s="234"/>
      <c r="N17" s="234"/>
      <c r="O17" s="218">
        <v>60000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19">
        <v>1112</v>
      </c>
      <c r="C18" s="230" t="s">
        <v>689</v>
      </c>
      <c r="D18" s="231" t="s">
        <v>883</v>
      </c>
      <c r="E18" s="215" t="s">
        <v>166</v>
      </c>
      <c r="F18" s="231" t="s">
        <v>696</v>
      </c>
      <c r="G18" s="232" t="s">
        <v>741</v>
      </c>
      <c r="H18" s="215" t="s">
        <v>164</v>
      </c>
      <c r="I18" s="215" t="s">
        <v>165</v>
      </c>
      <c r="J18" s="215" t="s">
        <v>733</v>
      </c>
      <c r="K18" s="215" t="s">
        <v>710</v>
      </c>
      <c r="L18" s="234"/>
      <c r="M18" s="234"/>
      <c r="N18" s="234"/>
      <c r="O18" s="218">
        <v>180000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19">
        <v>805</v>
      </c>
      <c r="C19" s="230" t="s">
        <v>693</v>
      </c>
      <c r="D19" s="231" t="s">
        <v>896</v>
      </c>
      <c r="E19" s="305" t="s">
        <v>714</v>
      </c>
      <c r="F19" s="231" t="s">
        <v>692</v>
      </c>
      <c r="G19" s="232" t="s">
        <v>688</v>
      </c>
      <c r="H19" s="215" t="s">
        <v>164</v>
      </c>
      <c r="I19" s="215" t="s">
        <v>165</v>
      </c>
      <c r="J19" s="233" t="s">
        <v>733</v>
      </c>
      <c r="K19" s="215"/>
      <c r="L19" s="234"/>
      <c r="M19" s="234"/>
      <c r="N19" s="234"/>
      <c r="O19" s="218">
        <v>68250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19">
        <v>702</v>
      </c>
      <c r="C20" s="230" t="s">
        <v>686</v>
      </c>
      <c r="D20" s="231" t="s">
        <v>888</v>
      </c>
      <c r="E20" s="215" t="s">
        <v>166</v>
      </c>
      <c r="F20" s="231" t="s">
        <v>751</v>
      </c>
      <c r="G20" s="232" t="s">
        <v>741</v>
      </c>
      <c r="H20" s="215" t="s">
        <v>164</v>
      </c>
      <c r="I20" s="215" t="s">
        <v>165</v>
      </c>
      <c r="J20" s="233" t="s">
        <v>886</v>
      </c>
      <c r="K20" s="215"/>
      <c r="L20" s="234"/>
      <c r="M20" s="234"/>
      <c r="N20" s="234"/>
      <c r="O20" s="218">
        <v>180000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2</v>
      </c>
      <c r="AM20" s="653"/>
      <c r="AN20" s="654">
        <f>AL20*2000</f>
        <v>4000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4</v>
      </c>
      <c r="AY20" s="647"/>
      <c r="AZ20" s="648">
        <f>SUM(AJ20+AN20+AR20+AV20)</f>
        <v>8000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19">
        <v>715</v>
      </c>
      <c r="C21" s="230" t="s">
        <v>689</v>
      </c>
      <c r="D21" s="231" t="s">
        <v>892</v>
      </c>
      <c r="E21" s="215" t="s">
        <v>166</v>
      </c>
      <c r="F21" s="231" t="s">
        <v>696</v>
      </c>
      <c r="G21" s="232" t="s">
        <v>688</v>
      </c>
      <c r="H21" s="215" t="s">
        <v>164</v>
      </c>
      <c r="I21" s="215" t="s">
        <v>165</v>
      </c>
      <c r="J21" s="233" t="s">
        <v>886</v>
      </c>
      <c r="K21" s="215"/>
      <c r="L21" s="234"/>
      <c r="M21" s="234"/>
      <c r="N21" s="234"/>
      <c r="O21" s="218">
        <v>60000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19">
        <v>308</v>
      </c>
      <c r="C22" s="230" t="s">
        <v>693</v>
      </c>
      <c r="D22" s="231" t="s">
        <v>897</v>
      </c>
      <c r="E22" s="305" t="s">
        <v>726</v>
      </c>
      <c r="F22" s="231" t="s">
        <v>700</v>
      </c>
      <c r="G22" s="232" t="s">
        <v>688</v>
      </c>
      <c r="H22" s="215" t="s">
        <v>164</v>
      </c>
      <c r="I22" s="215" t="s">
        <v>165</v>
      </c>
      <c r="J22" s="233" t="s">
        <v>886</v>
      </c>
      <c r="K22" s="238">
        <v>1</v>
      </c>
      <c r="L22" s="234"/>
      <c r="M22" s="234"/>
      <c r="N22" s="234"/>
      <c r="O22" s="218">
        <v>68250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19">
        <v>406</v>
      </c>
      <c r="C23" s="230" t="s">
        <v>689</v>
      </c>
      <c r="D23" s="304" t="s">
        <v>899</v>
      </c>
      <c r="E23" s="215" t="s">
        <v>166</v>
      </c>
      <c r="F23" s="304" t="s">
        <v>751</v>
      </c>
      <c r="G23" s="232" t="s">
        <v>688</v>
      </c>
      <c r="H23" s="215" t="s">
        <v>164</v>
      </c>
      <c r="I23" s="215" t="s">
        <v>165</v>
      </c>
      <c r="J23" s="233" t="s">
        <v>886</v>
      </c>
      <c r="K23" s="215" t="s">
        <v>688</v>
      </c>
      <c r="L23" s="234"/>
      <c r="M23" s="234"/>
      <c r="N23" s="234"/>
      <c r="O23" s="218">
        <v>60000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19">
        <v>401</v>
      </c>
      <c r="C24" s="230" t="s">
        <v>775</v>
      </c>
      <c r="D24" s="231" t="s">
        <v>900</v>
      </c>
      <c r="E24" s="215" t="s">
        <v>714</v>
      </c>
      <c r="F24" s="231" t="s">
        <v>692</v>
      </c>
      <c r="G24" s="232" t="s">
        <v>688</v>
      </c>
      <c r="H24" s="215" t="s">
        <v>164</v>
      </c>
      <c r="I24" s="215" t="s">
        <v>165</v>
      </c>
      <c r="J24" s="233" t="s">
        <v>713</v>
      </c>
      <c r="K24" s="238">
        <v>2</v>
      </c>
      <c r="L24" s="234"/>
      <c r="M24" s="234">
        <v>80000</v>
      </c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2</v>
      </c>
      <c r="AM24" s="653"/>
      <c r="AN24" s="654">
        <f>SUM(AN20:AO23)</f>
        <v>4000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4</v>
      </c>
      <c r="AY24" s="647"/>
      <c r="AZ24" s="648">
        <f>SUM(AZ20:BA23)</f>
        <v>8000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19">
        <v>404</v>
      </c>
      <c r="C25" s="230" t="s">
        <v>727</v>
      </c>
      <c r="D25" s="304" t="s">
        <v>901</v>
      </c>
      <c r="E25" s="215" t="s">
        <v>714</v>
      </c>
      <c r="F25" s="231" t="s">
        <v>692</v>
      </c>
      <c r="G25" s="232" t="s">
        <v>688</v>
      </c>
      <c r="H25" s="215" t="s">
        <v>164</v>
      </c>
      <c r="I25" s="215" t="s">
        <v>165</v>
      </c>
      <c r="J25" s="233" t="s">
        <v>713</v>
      </c>
      <c r="K25" s="215"/>
      <c r="L25" s="234"/>
      <c r="M25" s="234"/>
      <c r="N25" s="234"/>
      <c r="O25" s="218">
        <v>65000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19"/>
      <c r="C26" s="230"/>
      <c r="D26" s="231"/>
      <c r="E26" s="215"/>
      <c r="F26" s="231"/>
      <c r="G26" s="232"/>
      <c r="H26" s="215"/>
      <c r="I26" s="215"/>
      <c r="J26" s="215"/>
      <c r="K26" s="215"/>
      <c r="L26" s="234"/>
      <c r="M26" s="234"/>
      <c r="N26" s="23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319"/>
      <c r="C27" s="230"/>
      <c r="D27" s="231"/>
      <c r="E27" s="215"/>
      <c r="F27" s="231"/>
      <c r="G27" s="232"/>
      <c r="H27" s="215"/>
      <c r="I27" s="215"/>
      <c r="J27" s="215"/>
      <c r="K27" s="215"/>
      <c r="L27" s="234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215"/>
      <c r="F28" s="231"/>
      <c r="G28" s="232"/>
      <c r="H28" s="215"/>
      <c r="I28" s="215"/>
      <c r="J28" s="215"/>
      <c r="K28" s="215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31"/>
      <c r="E29" s="215"/>
      <c r="F29" s="231"/>
      <c r="G29" s="232"/>
      <c r="H29" s="215"/>
      <c r="I29" s="215"/>
      <c r="J29" s="215"/>
      <c r="K29" s="238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1"/>
      <c r="E30" s="215"/>
      <c r="F30" s="231"/>
      <c r="G30" s="232"/>
      <c r="H30" s="215"/>
      <c r="I30" s="215"/>
      <c r="J30" s="215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3</v>
      </c>
      <c r="AM30" s="828"/>
      <c r="AN30" s="829">
        <f>COUNTIF(F8:F67,"b")</f>
        <v>3</v>
      </c>
      <c r="AO30" s="829"/>
      <c r="AP30" s="830">
        <f>COUNTIF(F8:F67,"at")</f>
        <v>7</v>
      </c>
      <c r="AQ30" s="830"/>
      <c r="AR30" s="323">
        <f>COUNTIF(F8:F67,"aD")</f>
        <v>0</v>
      </c>
      <c r="AS30" s="830">
        <f>COUNTIF(F8:F67,"sd")</f>
        <v>8</v>
      </c>
      <c r="AT30" s="830"/>
      <c r="AU30" s="830">
        <f>COUNTIF(F8:F67,"st")</f>
        <v>3</v>
      </c>
      <c r="AV30" s="830"/>
      <c r="AW30" s="324">
        <f>COUNTIF(F8:F67,"v")</f>
        <v>0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5"/>
      <c r="F31" s="231"/>
      <c r="G31" s="232"/>
      <c r="H31" s="215"/>
      <c r="I31" s="215"/>
      <c r="J31" s="215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2</v>
      </c>
      <c r="AM31" s="815"/>
      <c r="AN31" s="816">
        <f>AN29-AN30</f>
        <v>1</v>
      </c>
      <c r="AO31" s="816"/>
      <c r="AP31" s="817">
        <f>AP29-AP30</f>
        <v>3</v>
      </c>
      <c r="AQ31" s="817"/>
      <c r="AR31" s="322">
        <f>AR29-AR30</f>
        <v>2</v>
      </c>
      <c r="AS31" s="817">
        <f>AS29-AS30</f>
        <v>3</v>
      </c>
      <c r="AT31" s="817"/>
      <c r="AU31" s="817">
        <f>AU29-AU30</f>
        <v>2</v>
      </c>
      <c r="AV31" s="817"/>
      <c r="AW31" s="322">
        <f>AW29-AW30</f>
        <v>5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232"/>
      <c r="H32" s="215"/>
      <c r="I32" s="215"/>
      <c r="J32" s="237"/>
      <c r="K32" s="238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232"/>
      <c r="H33" s="215"/>
      <c r="I33" s="215"/>
      <c r="J33" s="215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15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425"/>
      <c r="D35" s="426"/>
      <c r="E35" s="427"/>
      <c r="F35" s="426"/>
      <c r="G35" s="428"/>
      <c r="H35" s="215"/>
      <c r="I35" s="215"/>
      <c r="J35" s="233"/>
      <c r="K35" s="427"/>
      <c r="L35" s="430"/>
      <c r="M35" s="430"/>
      <c r="N35" s="430"/>
      <c r="O35" s="361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425"/>
      <c r="D36" s="426"/>
      <c r="E36" s="427"/>
      <c r="F36" s="426"/>
      <c r="G36" s="428"/>
      <c r="H36" s="215"/>
      <c r="I36" s="215"/>
      <c r="J36" s="233"/>
      <c r="K36" s="427"/>
      <c r="L36" s="430"/>
      <c r="M36" s="430"/>
      <c r="N36" s="430"/>
      <c r="O36" s="361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427"/>
      <c r="L37" s="430"/>
      <c r="M37" s="430"/>
      <c r="N37" s="430"/>
      <c r="O37" s="361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427"/>
      <c r="I38" s="427"/>
      <c r="J38" s="233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415"/>
      <c r="C39" s="255"/>
      <c r="D39" s="265"/>
      <c r="E39" s="266"/>
      <c r="F39" s="265"/>
      <c r="G39" s="267"/>
      <c r="H39" s="266"/>
      <c r="I39" s="266"/>
      <c r="J39" s="269"/>
      <c r="K39" s="266"/>
      <c r="L39" s="257"/>
      <c r="M39" s="257"/>
      <c r="N39" s="257"/>
      <c r="O39" s="223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15"/>
      <c r="K40" s="215"/>
      <c r="L40" s="234"/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232"/>
      <c r="H43" s="215"/>
      <c r="I43" s="215"/>
      <c r="J43" s="215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440">
        <v>305</v>
      </c>
      <c r="C44" s="446" t="s">
        <v>135</v>
      </c>
      <c r="D44" s="304" t="s">
        <v>426</v>
      </c>
      <c r="E44" s="305" t="s">
        <v>425</v>
      </c>
      <c r="F44" s="304" t="s">
        <v>55</v>
      </c>
      <c r="G44" s="381" t="s">
        <v>175</v>
      </c>
      <c r="H44" s="215" t="s">
        <v>164</v>
      </c>
      <c r="I44" s="215" t="s">
        <v>165</v>
      </c>
      <c r="J44" s="233" t="s">
        <v>189</v>
      </c>
      <c r="K44" s="305"/>
      <c r="L44" s="303"/>
      <c r="M44" s="234"/>
      <c r="N44" s="234"/>
      <c r="O44" s="219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440">
        <v>506</v>
      </c>
      <c r="C45" s="230" t="s">
        <v>775</v>
      </c>
      <c r="D45" s="231" t="s">
        <v>872</v>
      </c>
      <c r="E45" s="215" t="s">
        <v>714</v>
      </c>
      <c r="F45" s="231" t="s">
        <v>692</v>
      </c>
      <c r="G45" s="232" t="s">
        <v>742</v>
      </c>
      <c r="H45" s="215" t="s">
        <v>164</v>
      </c>
      <c r="I45" s="215" t="s">
        <v>165</v>
      </c>
      <c r="J45" s="215" t="s">
        <v>733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440">
        <v>1111</v>
      </c>
      <c r="C46" s="380" t="s">
        <v>686</v>
      </c>
      <c r="D46" s="304" t="s">
        <v>832</v>
      </c>
      <c r="E46" s="215" t="s">
        <v>166</v>
      </c>
      <c r="F46" s="304" t="s">
        <v>690</v>
      </c>
      <c r="G46" s="381" t="s">
        <v>742</v>
      </c>
      <c r="H46" s="215" t="s">
        <v>164</v>
      </c>
      <c r="I46" s="215" t="s">
        <v>165</v>
      </c>
      <c r="J46" s="382" t="s">
        <v>713</v>
      </c>
      <c r="K46" s="305"/>
      <c r="L46" s="303"/>
      <c r="M46" s="303"/>
      <c r="N46" s="303"/>
      <c r="O46" s="220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440">
        <v>911</v>
      </c>
      <c r="C47" s="380" t="s">
        <v>707</v>
      </c>
      <c r="D47" s="360" t="s">
        <v>776</v>
      </c>
      <c r="E47" s="371"/>
      <c r="F47" s="360" t="s">
        <v>690</v>
      </c>
      <c r="G47" s="395" t="s">
        <v>743</v>
      </c>
      <c r="H47" s="215" t="s">
        <v>164</v>
      </c>
      <c r="I47" s="215" t="s">
        <v>165</v>
      </c>
      <c r="J47" s="233" t="s">
        <v>713</v>
      </c>
      <c r="K47" s="371"/>
      <c r="L47" s="365"/>
      <c r="M47" s="365"/>
      <c r="N47" s="365"/>
      <c r="O47" s="317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440">
        <v>705</v>
      </c>
      <c r="C48" s="230" t="s">
        <v>686</v>
      </c>
      <c r="D48" s="231" t="s">
        <v>756</v>
      </c>
      <c r="E48" s="215" t="s">
        <v>166</v>
      </c>
      <c r="F48" s="231" t="s">
        <v>751</v>
      </c>
      <c r="G48" s="232" t="s">
        <v>760</v>
      </c>
      <c r="H48" s="215" t="s">
        <v>164</v>
      </c>
      <c r="I48" s="215" t="s">
        <v>165</v>
      </c>
      <c r="J48" s="233" t="s">
        <v>189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84">
        <v>307</v>
      </c>
      <c r="C49" s="479" t="s">
        <v>52</v>
      </c>
      <c r="D49" s="480" t="s">
        <v>594</v>
      </c>
      <c r="E49" s="443"/>
      <c r="F49" s="480" t="s">
        <v>55</v>
      </c>
      <c r="G49" s="481" t="s">
        <v>198</v>
      </c>
      <c r="H49" s="276" t="s">
        <v>164</v>
      </c>
      <c r="I49" s="276" t="s">
        <v>165</v>
      </c>
      <c r="J49" s="278" t="s">
        <v>193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42"/>
      <c r="C50" s="230"/>
      <c r="D50" s="231"/>
      <c r="E50" s="215"/>
      <c r="F50" s="231"/>
      <c r="G50" s="232"/>
      <c r="H50" s="215"/>
      <c r="I50" s="215"/>
      <c r="J50" s="215"/>
      <c r="K50" s="215"/>
      <c r="L50" s="234"/>
      <c r="M50" s="234"/>
      <c r="N50" s="234"/>
      <c r="O50" s="218"/>
      <c r="P50" s="268">
        <v>43</v>
      </c>
      <c r="Q50" s="242"/>
      <c r="R50" s="230"/>
      <c r="S50" s="231"/>
      <c r="T50" s="215"/>
      <c r="U50" s="231"/>
      <c r="V50" s="215"/>
      <c r="W50" s="215"/>
      <c r="X50" s="233"/>
      <c r="Y50" s="237"/>
      <c r="Z50" s="238"/>
      <c r="AA50" s="238"/>
      <c r="AB50" s="234"/>
      <c r="AC50" s="234"/>
      <c r="AD50" s="234"/>
      <c r="AE50" s="238"/>
      <c r="AF50" s="302"/>
      <c r="AG50" s="225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387"/>
      <c r="D51" s="388"/>
      <c r="E51" s="389"/>
      <c r="F51" s="388"/>
      <c r="G51" s="390"/>
      <c r="H51" s="389"/>
      <c r="I51" s="389"/>
      <c r="J51" s="389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2"/>
      <c r="H53" s="215"/>
      <c r="I53" s="215"/>
      <c r="J53" s="233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2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4</v>
      </c>
      <c r="BB54" s="681"/>
      <c r="BC54" s="679">
        <f>AZ24</f>
        <v>8000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4</v>
      </c>
      <c r="BB55" s="681"/>
      <c r="BC55" s="679">
        <f>SUM(BC53:BE54)</f>
        <v>8000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3</v>
      </c>
      <c r="AQ60" s="56">
        <f>SUMIF($C$8:$C$72, $AK60, $L$8:$L$72)+SUMIF($C$8:$C$72, $AK60, $M$8:$M$72)+SUMIF($C$8:$C$72, $AK60, $N$8:$N$72)+SUMIF($C$8:$C$72, $AK60, $O$8:$O$72)</f>
        <v>180000</v>
      </c>
      <c r="AR60" s="57">
        <f>AQ60*0.9</f>
        <v>162000</v>
      </c>
      <c r="AS60" s="58">
        <f t="shared" ref="AS60:AS70" si="4">SUM(AN60+AQ60)</f>
        <v>180000</v>
      </c>
      <c r="AT60" s="59">
        <f t="shared" ref="AT60:AT70" si="5">AO60+AR60</f>
        <v>162000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8</v>
      </c>
      <c r="AQ61" s="56">
        <f t="shared" ref="AQ61:AQ70" si="8">SUMIF($C$8:$C$72, $AK61, $L$8:$L$72)+SUMIF($C$8:$C$72, $AK61, $M$8:$M$72)+SUMIF($C$8:$C$72, $AK61, $N$8:$N$72)+SUMIF($C$8:$C$72, $AK61, $O$8:$O$72)</f>
        <v>610000</v>
      </c>
      <c r="AR61" s="57">
        <f t="shared" ref="AR61:AR70" si="9">AQ61*0.9</f>
        <v>549000</v>
      </c>
      <c r="AS61" s="58">
        <f t="shared" si="4"/>
        <v>610000</v>
      </c>
      <c r="AT61" s="59">
        <f t="shared" si="5"/>
        <v>549000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2</v>
      </c>
      <c r="AQ62" s="56">
        <f t="shared" si="8"/>
        <v>65000</v>
      </c>
      <c r="AR62" s="57">
        <f t="shared" si="9"/>
        <v>58500</v>
      </c>
      <c r="AS62" s="58">
        <f t="shared" si="4"/>
        <v>65000</v>
      </c>
      <c r="AT62" s="59">
        <f t="shared" si="5"/>
        <v>58500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2</v>
      </c>
      <c r="AQ66" s="56">
        <f t="shared" si="8"/>
        <v>136500</v>
      </c>
      <c r="AR66" s="57">
        <f t="shared" si="9"/>
        <v>122850</v>
      </c>
      <c r="AS66" s="58">
        <f t="shared" si="4"/>
        <v>136500</v>
      </c>
      <c r="AT66" s="59">
        <f t="shared" si="5"/>
        <v>122850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5</v>
      </c>
      <c r="AQ67" s="56">
        <f t="shared" si="8"/>
        <v>741617</v>
      </c>
      <c r="AR67" s="57">
        <f t="shared" si="9"/>
        <v>667455.30000000005</v>
      </c>
      <c r="AS67" s="58">
        <f t="shared" si="4"/>
        <v>741617</v>
      </c>
      <c r="AT67" s="59">
        <f t="shared" si="5"/>
        <v>667455.30000000005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1733117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8000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1821117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21</v>
      </c>
      <c r="AQ73" s="22">
        <f t="shared" si="10"/>
        <v>1733117</v>
      </c>
      <c r="AR73" s="23">
        <f t="shared" si="10"/>
        <v>1559805.3</v>
      </c>
      <c r="AS73" s="24">
        <f t="shared" si="10"/>
        <v>1733117</v>
      </c>
      <c r="AT73" s="25">
        <f t="shared" si="10"/>
        <v>1559805.3</v>
      </c>
      <c r="AU73" s="692" t="s">
        <v>58</v>
      </c>
      <c r="AV73" s="693"/>
      <c r="AW73" s="693"/>
      <c r="AX73" s="693"/>
      <c r="AY73" s="694"/>
      <c r="AZ73" s="695">
        <f>AS58+AT73</f>
        <v>1559805.3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0F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8">
    <cfRule type="cellIs" dxfId="379" priority="1" operator="equal">
      <formula>"여기어때"</formula>
    </cfRule>
    <cfRule type="cellIs" dxfId="378" priority="2" operator="equal">
      <formula>"야놀자"</formula>
    </cfRule>
  </conditionalFormatting>
  <conditionalFormatting sqref="R8:R66">
    <cfRule type="cellIs" dxfId="377" priority="213" operator="equal">
      <formula>"여기어때"</formula>
    </cfRule>
    <cfRule type="cellIs" dxfId="376" priority="214" operator="equal">
      <formula>"야놀자"</formula>
    </cfRule>
  </conditionalFormatting>
  <conditionalFormatting sqref="R73">
    <cfRule type="cellIs" dxfId="375" priority="613" operator="equal">
      <formula>"여기어때"</formula>
    </cfRule>
    <cfRule type="cellIs" dxfId="374" priority="614" operator="equal">
      <formula>"야놀자"</formula>
    </cfRule>
  </conditionalFormatting>
  <conditionalFormatting sqref="AL30:AM30">
    <cfRule type="cellIs" dxfId="373" priority="598" operator="greaterThan">
      <formula>$AL$29</formula>
    </cfRule>
    <cfRule type="cellIs" dxfId="372" priority="606" operator="equal">
      <formula>$AL$29</formula>
    </cfRule>
  </conditionalFormatting>
  <conditionalFormatting sqref="AN30:AO30">
    <cfRule type="cellIs" dxfId="371" priority="597" operator="greaterThan">
      <formula>$AN$29</formula>
    </cfRule>
    <cfRule type="cellIs" dxfId="370" priority="605" operator="equal">
      <formula>$AN$29</formula>
    </cfRule>
  </conditionalFormatting>
  <conditionalFormatting sqref="AP30:AQ30">
    <cfRule type="cellIs" dxfId="369" priority="596" operator="greaterThan">
      <formula>$AP$29</formula>
    </cfRule>
    <cfRule type="cellIs" dxfId="368" priority="604" operator="equal">
      <formula>$AP$29</formula>
    </cfRule>
  </conditionalFormatting>
  <conditionalFormatting sqref="AR30">
    <cfRule type="cellIs" dxfId="367" priority="595" operator="greaterThan">
      <formula>$AR$29</formula>
    </cfRule>
    <cfRule type="cellIs" dxfId="366" priority="603" operator="equal">
      <formula>$AR$29</formula>
    </cfRule>
  </conditionalFormatting>
  <conditionalFormatting sqref="AS30:AT30">
    <cfRule type="cellIs" dxfId="365" priority="594" operator="greaterThan">
      <formula>$AS$29</formula>
    </cfRule>
    <cfRule type="cellIs" dxfId="364" priority="602" operator="equal">
      <formula>$AS$29</formula>
    </cfRule>
  </conditionalFormatting>
  <conditionalFormatting sqref="AU30:AV30">
    <cfRule type="cellIs" dxfId="363" priority="593" operator="greaterThan">
      <formula>$AU$29</formula>
    </cfRule>
    <cfRule type="cellIs" dxfId="362" priority="601" operator="equal">
      <formula>$AU$29</formula>
    </cfRule>
  </conditionalFormatting>
  <conditionalFormatting sqref="AW30">
    <cfRule type="cellIs" dxfId="361" priority="592" operator="greaterThan">
      <formula>$AW$29</formula>
    </cfRule>
    <cfRule type="cellIs" dxfId="360" priority="600" operator="equal">
      <formula>$AW$29</formula>
    </cfRule>
  </conditionalFormatting>
  <conditionalFormatting sqref="AX30:AY30">
    <cfRule type="cellIs" dxfId="359" priority="591" operator="greaterThan">
      <formula>$AX$29</formula>
    </cfRule>
    <cfRule type="cellIs" dxfId="358" priority="599" operator="equal">
      <formula>$AX$29</formula>
    </cfRule>
  </conditionalFormatting>
  <dataValidations disablePrompts="1" count="1">
    <dataValidation type="list" allowBlank="1" showInputMessage="1" showErrorMessage="1" sqref="A8:A67 C69:C73 C75:C76 P8:P67" xr:uid="{BD738B69-1861-4136-9F04-7BC63507CEDF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8D07-5EDC-4A63-96B0-5B1BA3E46805}">
  <sheetPr codeName="Sheet17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62" activePane="bottomLeft" state="frozen"/>
      <selection activeCell="H40" sqref="H40:I40"/>
      <selection pane="bottomLeft" activeCell="R86" sqref="R86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359</v>
      </c>
      <c r="T1" s="834"/>
      <c r="U1" s="834"/>
      <c r="V1" s="834"/>
      <c r="W1" s="834"/>
      <c r="X1" s="834"/>
      <c r="Y1" s="835"/>
      <c r="Z1" s="1" t="s">
        <v>2</v>
      </c>
      <c r="AA1" s="873">
        <v>45917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5086852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COUNTA($O$8:$O$67)</f>
        <v>36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323500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'17'!AA1</f>
        <v>45917</v>
      </c>
      <c r="AM2" s="863"/>
      <c r="AN2" s="863"/>
      <c r="AO2" s="864"/>
      <c r="AP2" s="865" t="s">
        <v>10</v>
      </c>
      <c r="AQ2" s="866"/>
      <c r="AR2" s="866"/>
      <c r="AS2" s="863">
        <f>AA1+1</f>
        <v>45918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주간/양동건 대체/황경현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5086852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331500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8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0</v>
      </c>
      <c r="F6" s="356">
        <f>AR31</f>
        <v>1</v>
      </c>
      <c r="G6" s="356">
        <f>AS31</f>
        <v>1</v>
      </c>
      <c r="H6" s="356">
        <f>AU31</f>
        <v>1</v>
      </c>
      <c r="I6" s="356">
        <f>AW31</f>
        <v>3</v>
      </c>
      <c r="J6" s="356">
        <f>AX31</f>
        <v>0</v>
      </c>
      <c r="K6" s="606"/>
      <c r="L6" s="607"/>
      <c r="M6" s="356"/>
      <c r="N6" s="606">
        <f>C6+D6+E6+F6+G6+H6+I6+J6+K6</f>
        <v>6</v>
      </c>
      <c r="O6" s="602"/>
      <c r="P6" s="599">
        <f>C2</f>
        <v>5086852</v>
      </c>
      <c r="Q6" s="600"/>
      <c r="R6" s="300">
        <f>AN14+AN15</f>
        <v>8000</v>
      </c>
      <c r="S6" s="300">
        <f>AZ14+AZ15</f>
        <v>2750000</v>
      </c>
      <c r="T6" s="300">
        <f>AR14+AR15</f>
        <v>255000</v>
      </c>
      <c r="U6" s="609">
        <f>AS60</f>
        <v>310000</v>
      </c>
      <c r="V6" s="600"/>
      <c r="W6" s="609">
        <f>AS61</f>
        <v>560000</v>
      </c>
      <c r="X6" s="600"/>
      <c r="Y6" s="609">
        <f>AS62</f>
        <v>0</v>
      </c>
      <c r="Z6" s="600"/>
      <c r="AA6" s="300">
        <f>AS63</f>
        <v>0</v>
      </c>
      <c r="AB6" s="300">
        <f>AS66</f>
        <v>556650</v>
      </c>
      <c r="AC6" s="300">
        <f>AS67</f>
        <v>486777</v>
      </c>
      <c r="AD6" s="300">
        <f>SUMIFS(O7:O47,C7:C47,"트립")</f>
        <v>93925</v>
      </c>
      <c r="AE6" s="300">
        <f>AS65</f>
        <v>66500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372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1114</v>
      </c>
      <c r="C8" s="230" t="s">
        <v>298</v>
      </c>
      <c r="D8" s="444" t="s">
        <v>373</v>
      </c>
      <c r="E8" s="215"/>
      <c r="F8" s="231" t="s">
        <v>159</v>
      </c>
      <c r="G8" s="232" t="s">
        <v>374</v>
      </c>
      <c r="H8" s="215" t="s">
        <v>285</v>
      </c>
      <c r="I8" s="215" t="s">
        <v>286</v>
      </c>
      <c r="J8" s="233" t="s">
        <v>287</v>
      </c>
      <c r="K8" s="215"/>
      <c r="L8" s="234"/>
      <c r="M8" s="234"/>
      <c r="N8" s="234"/>
      <c r="O8" s="218">
        <v>486777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1208</v>
      </c>
      <c r="C9" s="230" t="s">
        <v>389</v>
      </c>
      <c r="D9" s="231" t="s">
        <v>390</v>
      </c>
      <c r="E9" s="215" t="s">
        <v>393</v>
      </c>
      <c r="F9" s="231" t="s">
        <v>289</v>
      </c>
      <c r="G9" s="232" t="s">
        <v>283</v>
      </c>
      <c r="H9" s="215" t="s">
        <v>285</v>
      </c>
      <c r="I9" s="215" t="s">
        <v>286</v>
      </c>
      <c r="J9" s="233" t="s">
        <v>287</v>
      </c>
      <c r="K9" s="215"/>
      <c r="L9" s="234"/>
      <c r="M9" s="234">
        <v>65000</v>
      </c>
      <c r="N9" s="234"/>
      <c r="O9" s="218">
        <v>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308</v>
      </c>
      <c r="C10" s="230" t="s">
        <v>389</v>
      </c>
      <c r="D10" s="231" t="s">
        <v>391</v>
      </c>
      <c r="E10" s="215" t="s">
        <v>393</v>
      </c>
      <c r="F10" s="231" t="s">
        <v>289</v>
      </c>
      <c r="G10" s="232" t="s">
        <v>283</v>
      </c>
      <c r="H10" s="215" t="s">
        <v>285</v>
      </c>
      <c r="I10" s="215" t="s">
        <v>286</v>
      </c>
      <c r="J10" s="233" t="s">
        <v>287</v>
      </c>
      <c r="K10" s="215"/>
      <c r="L10" s="234"/>
      <c r="M10" s="234">
        <v>65000</v>
      </c>
      <c r="N10" s="234"/>
      <c r="O10" s="218">
        <v>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4</v>
      </c>
      <c r="AQ10" s="627"/>
      <c r="AR10" s="626">
        <f>SUM(M8:M67)</f>
        <v>255000</v>
      </c>
      <c r="AS10" s="627"/>
      <c r="AT10" s="625">
        <f>COUNTA($O$8:$O$67)</f>
        <v>36</v>
      </c>
      <c r="AU10" s="625"/>
      <c r="AV10" s="625">
        <f>SUM(O8:O67)</f>
        <v>2073852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40</v>
      </c>
      <c r="BC10" s="799"/>
      <c r="BD10" s="800">
        <f>SUM(AN10+AR10+AV10+AZ10)</f>
        <v>2328852</v>
      </c>
      <c r="BE10" s="801"/>
    </row>
    <row r="11" spans="1:58" ht="64.5" customHeight="1" x14ac:dyDescent="0.3">
      <c r="A11" s="228">
        <v>4</v>
      </c>
      <c r="B11" s="229">
        <v>309</v>
      </c>
      <c r="C11" s="230" t="s">
        <v>389</v>
      </c>
      <c r="D11" s="231" t="s">
        <v>392</v>
      </c>
      <c r="E11" s="215" t="s">
        <v>393</v>
      </c>
      <c r="F11" s="231" t="s">
        <v>289</v>
      </c>
      <c r="G11" s="232" t="s">
        <v>283</v>
      </c>
      <c r="H11" s="215" t="s">
        <v>285</v>
      </c>
      <c r="I11" s="215" t="s">
        <v>286</v>
      </c>
      <c r="J11" s="233" t="s">
        <v>287</v>
      </c>
      <c r="K11" s="215"/>
      <c r="L11" s="234"/>
      <c r="M11" s="234">
        <v>65000</v>
      </c>
      <c r="N11" s="234"/>
      <c r="O11" s="218">
        <v>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1011</v>
      </c>
      <c r="C12" s="230" t="s">
        <v>281</v>
      </c>
      <c r="D12" s="251" t="s">
        <v>415</v>
      </c>
      <c r="E12" s="215" t="s">
        <v>296</v>
      </c>
      <c r="F12" s="231" t="s">
        <v>690</v>
      </c>
      <c r="G12" s="232" t="s">
        <v>290</v>
      </c>
      <c r="H12" s="215" t="s">
        <v>285</v>
      </c>
      <c r="I12" s="215" t="s">
        <v>286</v>
      </c>
      <c r="J12" s="233" t="s">
        <v>287</v>
      </c>
      <c r="K12" s="215" t="s">
        <v>951</v>
      </c>
      <c r="L12" s="234"/>
      <c r="M12" s="234"/>
      <c r="N12" s="234"/>
      <c r="O12" s="218">
        <v>120000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1</v>
      </c>
      <c r="AY12" s="780"/>
      <c r="AZ12" s="784">
        <f>SUM(N68:N76)</f>
        <v>2750000</v>
      </c>
      <c r="BA12" s="785"/>
      <c r="BB12" s="784">
        <f>SUM(AL12+AP12+AT12+AX12)</f>
        <v>1</v>
      </c>
      <c r="BC12" s="785"/>
      <c r="BD12" s="780">
        <f>SUM(AN12+AR12+AV12+AZ12)</f>
        <v>2750000</v>
      </c>
      <c r="BE12" s="781"/>
    </row>
    <row r="13" spans="1:58" ht="64.5" customHeight="1" x14ac:dyDescent="0.3">
      <c r="A13" s="228">
        <v>6</v>
      </c>
      <c r="B13" s="229">
        <v>404</v>
      </c>
      <c r="C13" s="230" t="s">
        <v>70</v>
      </c>
      <c r="D13" s="231" t="s">
        <v>602</v>
      </c>
      <c r="E13" s="215" t="s">
        <v>802</v>
      </c>
      <c r="F13" s="231" t="s">
        <v>167</v>
      </c>
      <c r="G13" s="232" t="s">
        <v>163</v>
      </c>
      <c r="H13" s="215" t="s">
        <v>164</v>
      </c>
      <c r="I13" s="215" t="s">
        <v>165</v>
      </c>
      <c r="J13" s="233" t="s">
        <v>193</v>
      </c>
      <c r="K13" s="215"/>
      <c r="L13" s="234"/>
      <c r="M13" s="234"/>
      <c r="N13" s="234"/>
      <c r="O13" s="218">
        <v>66300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906</v>
      </c>
      <c r="C14" s="230" t="s">
        <v>736</v>
      </c>
      <c r="D14" s="231" t="s">
        <v>752</v>
      </c>
      <c r="E14" s="215" t="s">
        <v>870</v>
      </c>
      <c r="F14" s="231" t="s">
        <v>751</v>
      </c>
      <c r="G14" s="232" t="s">
        <v>688</v>
      </c>
      <c r="H14" s="215" t="s">
        <v>164</v>
      </c>
      <c r="I14" s="215" t="s">
        <v>165</v>
      </c>
      <c r="J14" s="233" t="s">
        <v>691</v>
      </c>
      <c r="K14" s="215"/>
      <c r="L14" s="234"/>
      <c r="M14" s="234"/>
      <c r="N14" s="234"/>
      <c r="O14" s="218">
        <v>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4</v>
      </c>
      <c r="AQ14" s="653"/>
      <c r="AR14" s="653">
        <f>SUM(AR10:AS13)</f>
        <v>255000</v>
      </c>
      <c r="AS14" s="653"/>
      <c r="AT14" s="653">
        <f t="shared" ref="AT14" si="1">SUM(AT10:AU11)</f>
        <v>36</v>
      </c>
      <c r="AU14" s="653"/>
      <c r="AV14" s="653">
        <f>SUM(AV10:AW13)</f>
        <v>2073852</v>
      </c>
      <c r="AW14" s="653"/>
      <c r="AX14" s="653">
        <f>SUM(AX10:AY11)</f>
        <v>0</v>
      </c>
      <c r="AY14" s="653"/>
      <c r="AZ14" s="653">
        <f>SUM(AZ10:BA13)</f>
        <v>2750000</v>
      </c>
      <c r="BA14" s="653"/>
      <c r="BB14" s="654">
        <f>SUM(AL14+AP14+AT14+AX14)</f>
        <v>40</v>
      </c>
      <c r="BC14" s="655"/>
      <c r="BD14" s="782">
        <f>SUM(BD10:BE13)</f>
        <v>5078852</v>
      </c>
      <c r="BE14" s="783"/>
    </row>
    <row r="15" spans="1:58" ht="64.5" customHeight="1" thickBot="1" x14ac:dyDescent="0.35">
      <c r="A15" s="228">
        <v>8</v>
      </c>
      <c r="B15" s="229">
        <v>709</v>
      </c>
      <c r="C15" s="230" t="s">
        <v>693</v>
      </c>
      <c r="D15" s="231" t="s">
        <v>777</v>
      </c>
      <c r="E15" s="215"/>
      <c r="F15" s="231" t="s">
        <v>751</v>
      </c>
      <c r="G15" s="232" t="s">
        <v>720</v>
      </c>
      <c r="H15" s="215" t="s">
        <v>164</v>
      </c>
      <c r="I15" s="215" t="s">
        <v>165</v>
      </c>
      <c r="J15" s="233" t="s">
        <v>713</v>
      </c>
      <c r="K15" s="238"/>
      <c r="L15" s="234"/>
      <c r="M15" s="234"/>
      <c r="N15" s="234"/>
      <c r="O15" s="218">
        <v>153000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4</v>
      </c>
      <c r="AM15" s="881"/>
      <c r="AN15" s="632">
        <f>AN24</f>
        <v>8000</v>
      </c>
      <c r="AO15" s="633"/>
      <c r="AP15" s="632">
        <f>AP24</f>
        <v>0</v>
      </c>
      <c r="AQ15" s="633"/>
      <c r="AR15" s="632">
        <f>AR24</f>
        <v>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4</v>
      </c>
      <c r="BC15" s="633"/>
      <c r="BD15" s="776">
        <f>SUM(AN15+AR15+AV15+AZ15)</f>
        <v>8000</v>
      </c>
      <c r="BE15" s="777"/>
    </row>
    <row r="16" spans="1:58" ht="64.5" customHeight="1" thickBot="1" x14ac:dyDescent="0.35">
      <c r="A16" s="228">
        <v>9</v>
      </c>
      <c r="B16" s="229">
        <v>911</v>
      </c>
      <c r="C16" s="230" t="s">
        <v>689</v>
      </c>
      <c r="D16" s="304" t="s">
        <v>809</v>
      </c>
      <c r="E16" s="215"/>
      <c r="F16" s="304" t="s">
        <v>690</v>
      </c>
      <c r="G16" s="232" t="s">
        <v>720</v>
      </c>
      <c r="H16" s="215" t="s">
        <v>164</v>
      </c>
      <c r="I16" s="215" t="s">
        <v>165</v>
      </c>
      <c r="J16" s="233" t="s">
        <v>733</v>
      </c>
      <c r="K16" s="215"/>
      <c r="L16" s="234"/>
      <c r="M16" s="234"/>
      <c r="N16" s="234"/>
      <c r="O16" s="218">
        <v>130000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5086852</v>
      </c>
      <c r="BE16" s="652"/>
      <c r="BF16" s="10"/>
    </row>
    <row r="17" spans="1:62" ht="64.5" customHeight="1" thickBot="1" x14ac:dyDescent="0.35">
      <c r="A17" s="228">
        <v>10</v>
      </c>
      <c r="B17" s="229">
        <v>1116</v>
      </c>
      <c r="C17" s="230" t="s">
        <v>686</v>
      </c>
      <c r="D17" s="251" t="s">
        <v>828</v>
      </c>
      <c r="E17" s="215" t="s">
        <v>166</v>
      </c>
      <c r="F17" s="231" t="s">
        <v>696</v>
      </c>
      <c r="G17" s="232" t="s">
        <v>688</v>
      </c>
      <c r="H17" s="215" t="s">
        <v>164</v>
      </c>
      <c r="I17" s="215" t="s">
        <v>165</v>
      </c>
      <c r="J17" s="233" t="s">
        <v>691</v>
      </c>
      <c r="K17" s="215"/>
      <c r="L17" s="234"/>
      <c r="M17" s="234"/>
      <c r="N17" s="234"/>
      <c r="O17" s="218">
        <v>60000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409</v>
      </c>
      <c r="C18" s="230" t="s">
        <v>698</v>
      </c>
      <c r="D18" s="231" t="s">
        <v>845</v>
      </c>
      <c r="E18" s="215" t="s">
        <v>714</v>
      </c>
      <c r="F18" s="231" t="s">
        <v>692</v>
      </c>
      <c r="G18" s="232" t="s">
        <v>688</v>
      </c>
      <c r="H18" s="215" t="s">
        <v>164</v>
      </c>
      <c r="I18" s="215" t="s">
        <v>165</v>
      </c>
      <c r="J18" s="233" t="s">
        <v>691</v>
      </c>
      <c r="K18" s="215"/>
      <c r="L18" s="234"/>
      <c r="M18" s="234"/>
      <c r="N18" s="234"/>
      <c r="O18" s="218">
        <v>93925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609</v>
      </c>
      <c r="C19" s="230" t="s">
        <v>693</v>
      </c>
      <c r="D19" s="231" t="s">
        <v>847</v>
      </c>
      <c r="E19" s="215" t="s">
        <v>714</v>
      </c>
      <c r="F19" s="231" t="s">
        <v>692</v>
      </c>
      <c r="G19" s="232" t="s">
        <v>688</v>
      </c>
      <c r="H19" s="215" t="s">
        <v>164</v>
      </c>
      <c r="I19" s="215" t="s">
        <v>165</v>
      </c>
      <c r="J19" s="233" t="s">
        <v>691</v>
      </c>
      <c r="K19" s="215"/>
      <c r="L19" s="234"/>
      <c r="M19" s="234"/>
      <c r="N19" s="234"/>
      <c r="O19" s="218">
        <v>66300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805</v>
      </c>
      <c r="C20" s="230" t="s">
        <v>693</v>
      </c>
      <c r="D20" s="231" t="s">
        <v>848</v>
      </c>
      <c r="E20" s="215" t="s">
        <v>802</v>
      </c>
      <c r="F20" s="231" t="s">
        <v>692</v>
      </c>
      <c r="G20" s="232" t="s">
        <v>688</v>
      </c>
      <c r="H20" s="215" t="s">
        <v>164</v>
      </c>
      <c r="I20" s="215" t="s">
        <v>165</v>
      </c>
      <c r="J20" s="233" t="s">
        <v>691</v>
      </c>
      <c r="K20" s="215"/>
      <c r="L20" s="234"/>
      <c r="M20" s="234"/>
      <c r="N20" s="234"/>
      <c r="O20" s="218">
        <v>66300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4</v>
      </c>
      <c r="AM20" s="653"/>
      <c r="AN20" s="654">
        <f>AL20*2000</f>
        <v>8000</v>
      </c>
      <c r="AO20" s="655"/>
      <c r="AP20" s="656">
        <f>COUNTIF(K7:K67,2)</f>
        <v>0</v>
      </c>
      <c r="AQ20" s="655"/>
      <c r="AR20" s="654">
        <f>AP20*2000</f>
        <v>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4</v>
      </c>
      <c r="AY20" s="647"/>
      <c r="AZ20" s="648">
        <f>SUM(AJ20+AN20+AR20+AV20)</f>
        <v>8000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1115</v>
      </c>
      <c r="C21" s="230" t="s">
        <v>686</v>
      </c>
      <c r="D21" s="231" t="s">
        <v>877</v>
      </c>
      <c r="E21" s="215" t="s">
        <v>166</v>
      </c>
      <c r="F21" s="231" t="s">
        <v>696</v>
      </c>
      <c r="G21" s="232" t="s">
        <v>688</v>
      </c>
      <c r="H21" s="215" t="s">
        <v>164</v>
      </c>
      <c r="I21" s="215" t="s">
        <v>165</v>
      </c>
      <c r="J21" s="233" t="s">
        <v>713</v>
      </c>
      <c r="K21" s="215" t="s">
        <v>688</v>
      </c>
      <c r="L21" s="234"/>
      <c r="M21" s="234"/>
      <c r="N21" s="234"/>
      <c r="O21" s="218">
        <v>60000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>
        <v>809</v>
      </c>
      <c r="C22" s="230" t="s">
        <v>686</v>
      </c>
      <c r="D22" s="231" t="s">
        <v>878</v>
      </c>
      <c r="E22" s="215" t="s">
        <v>714</v>
      </c>
      <c r="F22" s="231" t="s">
        <v>692</v>
      </c>
      <c r="G22" s="232" t="s">
        <v>688</v>
      </c>
      <c r="H22" s="215" t="s">
        <v>164</v>
      </c>
      <c r="I22" s="215" t="s">
        <v>165</v>
      </c>
      <c r="J22" s="233" t="s">
        <v>713</v>
      </c>
      <c r="K22" s="215"/>
      <c r="L22" s="234"/>
      <c r="M22" s="234"/>
      <c r="N22" s="234"/>
      <c r="O22" s="218">
        <v>65000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>
        <v>305</v>
      </c>
      <c r="C23" s="446" t="s">
        <v>135</v>
      </c>
      <c r="D23" s="304" t="s">
        <v>426</v>
      </c>
      <c r="E23" s="305" t="s">
        <v>425</v>
      </c>
      <c r="F23" s="304" t="s">
        <v>55</v>
      </c>
      <c r="G23" s="381" t="s">
        <v>163</v>
      </c>
      <c r="H23" s="215" t="s">
        <v>164</v>
      </c>
      <c r="I23" s="215" t="s">
        <v>165</v>
      </c>
      <c r="J23" s="233" t="s">
        <v>247</v>
      </c>
      <c r="K23" s="305"/>
      <c r="L23" s="303"/>
      <c r="M23" s="234"/>
      <c r="N23" s="234"/>
      <c r="O23" s="219">
        <v>66500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>
        <v>1216</v>
      </c>
      <c r="C24" s="230" t="s">
        <v>73</v>
      </c>
      <c r="D24" s="231" t="s">
        <v>884</v>
      </c>
      <c r="E24" s="215" t="s">
        <v>166</v>
      </c>
      <c r="F24" s="231" t="s">
        <v>696</v>
      </c>
      <c r="G24" s="232" t="s">
        <v>720</v>
      </c>
      <c r="H24" s="215" t="s">
        <v>164</v>
      </c>
      <c r="I24" s="215" t="s">
        <v>165</v>
      </c>
      <c r="J24" s="233" t="s">
        <v>733</v>
      </c>
      <c r="K24" s="215"/>
      <c r="L24" s="424"/>
      <c r="M24" s="234"/>
      <c r="N24" s="234"/>
      <c r="O24" s="218">
        <v>120000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4</v>
      </c>
      <c r="AM24" s="653"/>
      <c r="AN24" s="654">
        <f>SUM(AN20:AO23)</f>
        <v>8000</v>
      </c>
      <c r="AO24" s="655"/>
      <c r="AP24" s="656">
        <f>SUM(AP20:AQ23)</f>
        <v>0</v>
      </c>
      <c r="AQ24" s="655"/>
      <c r="AR24" s="654">
        <f>SUM(AR20:AS23)</f>
        <v>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4</v>
      </c>
      <c r="AY24" s="647"/>
      <c r="AZ24" s="648">
        <f>SUM(AZ20:BA23)</f>
        <v>8000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>
        <v>902</v>
      </c>
      <c r="C25" s="230" t="s">
        <v>693</v>
      </c>
      <c r="D25" s="231" t="s">
        <v>923</v>
      </c>
      <c r="E25" s="215" t="s">
        <v>802</v>
      </c>
      <c r="F25" s="231" t="s">
        <v>692</v>
      </c>
      <c r="G25" s="232" t="s">
        <v>688</v>
      </c>
      <c r="H25" s="215" t="s">
        <v>164</v>
      </c>
      <c r="I25" s="215" t="s">
        <v>165</v>
      </c>
      <c r="J25" s="233" t="s">
        <v>733</v>
      </c>
      <c r="K25" s="238"/>
      <c r="L25" s="234"/>
      <c r="M25" s="234"/>
      <c r="N25" s="234"/>
      <c r="O25" s="218">
        <v>68250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32">
        <v>907</v>
      </c>
      <c r="C26" s="230" t="s">
        <v>686</v>
      </c>
      <c r="D26" s="304" t="s">
        <v>927</v>
      </c>
      <c r="E26" s="305" t="s">
        <v>802</v>
      </c>
      <c r="F26" s="304" t="s">
        <v>692</v>
      </c>
      <c r="G26" s="232" t="s">
        <v>688</v>
      </c>
      <c r="H26" s="215" t="s">
        <v>164</v>
      </c>
      <c r="I26" s="215" t="s">
        <v>165</v>
      </c>
      <c r="J26" s="233" t="s">
        <v>691</v>
      </c>
      <c r="K26" s="215"/>
      <c r="L26" s="234"/>
      <c r="M26" s="234"/>
      <c r="N26" s="234"/>
      <c r="O26" s="218">
        <v>65000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>
        <v>1004</v>
      </c>
      <c r="C27" s="230" t="s">
        <v>693</v>
      </c>
      <c r="D27" s="231" t="s">
        <v>929</v>
      </c>
      <c r="E27" s="305" t="s">
        <v>802</v>
      </c>
      <c r="F27" s="231" t="s">
        <v>692</v>
      </c>
      <c r="G27" s="232" t="s">
        <v>688</v>
      </c>
      <c r="H27" s="215" t="s">
        <v>164</v>
      </c>
      <c r="I27" s="215" t="s">
        <v>165</v>
      </c>
      <c r="J27" s="233" t="s">
        <v>691</v>
      </c>
      <c r="K27" s="215"/>
      <c r="L27" s="234"/>
      <c r="M27" s="234"/>
      <c r="N27" s="234"/>
      <c r="O27" s="218">
        <v>68250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>
        <v>1006</v>
      </c>
      <c r="C28" s="230" t="s">
        <v>689</v>
      </c>
      <c r="D28" s="231" t="s">
        <v>935</v>
      </c>
      <c r="E28" s="215" t="s">
        <v>802</v>
      </c>
      <c r="F28" s="231" t="s">
        <v>692</v>
      </c>
      <c r="G28" s="232" t="s">
        <v>688</v>
      </c>
      <c r="H28" s="215" t="s">
        <v>164</v>
      </c>
      <c r="I28" s="215" t="s">
        <v>165</v>
      </c>
      <c r="J28" s="233" t="s">
        <v>691</v>
      </c>
      <c r="K28" s="215" t="s">
        <v>688</v>
      </c>
      <c r="L28" s="234"/>
      <c r="M28" s="234"/>
      <c r="N28" s="234"/>
      <c r="O28" s="218">
        <v>65000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319">
        <v>713</v>
      </c>
      <c r="C29" s="230" t="s">
        <v>693</v>
      </c>
      <c r="D29" s="231" t="s">
        <v>938</v>
      </c>
      <c r="E29" s="215" t="s">
        <v>750</v>
      </c>
      <c r="F29" s="231" t="s">
        <v>696</v>
      </c>
      <c r="G29" s="232" t="s">
        <v>688</v>
      </c>
      <c r="H29" s="215" t="s">
        <v>164</v>
      </c>
      <c r="I29" s="215" t="s">
        <v>165</v>
      </c>
      <c r="J29" s="233" t="s">
        <v>691</v>
      </c>
      <c r="K29" s="215"/>
      <c r="L29" s="411"/>
      <c r="M29" s="234"/>
      <c r="N29" s="234"/>
      <c r="O29" s="218">
        <v>68250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>
        <v>715</v>
      </c>
      <c r="C30" s="230" t="s">
        <v>775</v>
      </c>
      <c r="D30" s="251" t="s">
        <v>945</v>
      </c>
      <c r="E30" s="215" t="s">
        <v>166</v>
      </c>
      <c r="F30" s="231" t="s">
        <v>696</v>
      </c>
      <c r="G30" s="232" t="s">
        <v>688</v>
      </c>
      <c r="H30" s="215" t="s">
        <v>164</v>
      </c>
      <c r="I30" s="215" t="s">
        <v>165</v>
      </c>
      <c r="J30" s="233" t="s">
        <v>691</v>
      </c>
      <c r="K30" s="215" t="s">
        <v>688</v>
      </c>
      <c r="L30" s="254"/>
      <c r="M30" s="254">
        <v>60000</v>
      </c>
      <c r="N30" s="234"/>
      <c r="O30" s="218">
        <v>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10</v>
      </c>
      <c r="AQ30" s="830"/>
      <c r="AR30" s="323">
        <f>COUNTIF(F8:F67,"aD")</f>
        <v>1</v>
      </c>
      <c r="AS30" s="830">
        <f>COUNTIF(F8:F67,"sd")</f>
        <v>10</v>
      </c>
      <c r="AT30" s="830"/>
      <c r="AU30" s="830">
        <f>COUNTIF(F8:F67,"st")</f>
        <v>4</v>
      </c>
      <c r="AV30" s="830"/>
      <c r="AW30" s="324">
        <f>COUNTIF(F8:F67,"v")</f>
        <v>2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>
        <v>1105</v>
      </c>
      <c r="C31" s="230" t="s">
        <v>73</v>
      </c>
      <c r="D31" s="251" t="s">
        <v>711</v>
      </c>
      <c r="E31" s="215" t="s">
        <v>166</v>
      </c>
      <c r="F31" s="231" t="s">
        <v>716</v>
      </c>
      <c r="G31" s="232" t="s">
        <v>688</v>
      </c>
      <c r="H31" s="215" t="s">
        <v>164</v>
      </c>
      <c r="I31" s="215" t="s">
        <v>165</v>
      </c>
      <c r="J31" s="215" t="s">
        <v>886</v>
      </c>
      <c r="K31" s="215"/>
      <c r="L31" s="234"/>
      <c r="M31" s="234"/>
      <c r="N31" s="234"/>
      <c r="O31" s="218">
        <v>60000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0</v>
      </c>
      <c r="AQ31" s="817"/>
      <c r="AR31" s="322">
        <f>AR29-AR30</f>
        <v>1</v>
      </c>
      <c r="AS31" s="817">
        <f>AS29-AS30</f>
        <v>1</v>
      </c>
      <c r="AT31" s="817"/>
      <c r="AU31" s="817">
        <f>AU29-AU30</f>
        <v>1</v>
      </c>
      <c r="AV31" s="817"/>
      <c r="AW31" s="322">
        <f>AW29-AW30</f>
        <v>3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>
        <v>401</v>
      </c>
      <c r="C32" s="230" t="s">
        <v>73</v>
      </c>
      <c r="D32" s="231" t="s">
        <v>946</v>
      </c>
      <c r="E32" s="215" t="s">
        <v>802</v>
      </c>
      <c r="F32" s="231" t="s">
        <v>704</v>
      </c>
      <c r="G32" s="232" t="s">
        <v>688</v>
      </c>
      <c r="H32" s="215" t="s">
        <v>164</v>
      </c>
      <c r="I32" s="215" t="s">
        <v>165</v>
      </c>
      <c r="J32" s="215" t="s">
        <v>886</v>
      </c>
      <c r="K32" s="238"/>
      <c r="L32" s="234"/>
      <c r="M32" s="234"/>
      <c r="N32" s="234"/>
      <c r="O32" s="218">
        <v>65000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>
        <v>501</v>
      </c>
      <c r="C33" s="230" t="s">
        <v>686</v>
      </c>
      <c r="D33" s="231" t="s">
        <v>948</v>
      </c>
      <c r="E33" s="215" t="s">
        <v>166</v>
      </c>
      <c r="F33" s="231" t="s">
        <v>704</v>
      </c>
      <c r="G33" s="232" t="s">
        <v>688</v>
      </c>
      <c r="H33" s="215" t="s">
        <v>164</v>
      </c>
      <c r="I33" s="215" t="s">
        <v>165</v>
      </c>
      <c r="J33" s="215" t="s">
        <v>886</v>
      </c>
      <c r="K33" s="215"/>
      <c r="L33" s="234"/>
      <c r="M33" s="234"/>
      <c r="N33" s="234"/>
      <c r="O33" s="218">
        <v>60000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33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318"/>
      <c r="D35" s="251"/>
      <c r="E35" s="217"/>
      <c r="F35" s="251"/>
      <c r="G35" s="331"/>
      <c r="H35" s="217"/>
      <c r="I35" s="217"/>
      <c r="J35" s="369"/>
      <c r="K35" s="367"/>
      <c r="L35" s="254"/>
      <c r="M35" s="254"/>
      <c r="N35" s="254"/>
      <c r="O35" s="224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331"/>
      <c r="H36" s="217"/>
      <c r="I36" s="217"/>
      <c r="J36" s="217"/>
      <c r="K36" s="217"/>
      <c r="L36" s="254"/>
      <c r="M36" s="254"/>
      <c r="N36" s="25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331"/>
      <c r="H37" s="217"/>
      <c r="I37" s="217"/>
      <c r="J37" s="368"/>
      <c r="K37" s="217"/>
      <c r="L37" s="254"/>
      <c r="M37" s="254"/>
      <c r="N37" s="25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331"/>
      <c r="H38" s="217"/>
      <c r="I38" s="217"/>
      <c r="J38" s="217"/>
      <c r="K38" s="217"/>
      <c r="L38" s="254"/>
      <c r="M38" s="254"/>
      <c r="N38" s="25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331"/>
      <c r="H39" s="217"/>
      <c r="I39" s="217"/>
      <c r="J39" s="368"/>
      <c r="K39" s="217"/>
      <c r="L39" s="254"/>
      <c r="M39" s="254"/>
      <c r="N39" s="25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19">
        <v>702</v>
      </c>
      <c r="C40" s="230" t="s">
        <v>686</v>
      </c>
      <c r="D40" s="231" t="s">
        <v>888</v>
      </c>
      <c r="E40" s="215" t="s">
        <v>166</v>
      </c>
      <c r="F40" s="231" t="s">
        <v>751</v>
      </c>
      <c r="G40" s="232" t="s">
        <v>742</v>
      </c>
      <c r="H40" s="215" t="s">
        <v>164</v>
      </c>
      <c r="I40" s="215" t="s">
        <v>165</v>
      </c>
      <c r="J40" s="233" t="s">
        <v>886</v>
      </c>
      <c r="K40" s="217"/>
      <c r="L40" s="254"/>
      <c r="M40" s="254"/>
      <c r="N40" s="254"/>
      <c r="O40" s="218">
        <v>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19">
        <v>1112</v>
      </c>
      <c r="C41" s="230" t="s">
        <v>689</v>
      </c>
      <c r="D41" s="231" t="s">
        <v>883</v>
      </c>
      <c r="E41" s="215" t="s">
        <v>166</v>
      </c>
      <c r="F41" s="231" t="s">
        <v>696</v>
      </c>
      <c r="G41" s="232" t="s">
        <v>742</v>
      </c>
      <c r="H41" s="215" t="s">
        <v>164</v>
      </c>
      <c r="I41" s="215" t="s">
        <v>165</v>
      </c>
      <c r="J41" s="215" t="s">
        <v>733</v>
      </c>
      <c r="K41" s="305"/>
      <c r="L41" s="303"/>
      <c r="M41" s="234"/>
      <c r="N41" s="234"/>
      <c r="O41" s="219">
        <v>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>
        <v>506</v>
      </c>
      <c r="C42" s="230" t="s">
        <v>775</v>
      </c>
      <c r="D42" s="231" t="s">
        <v>872</v>
      </c>
      <c r="E42" s="215" t="s">
        <v>714</v>
      </c>
      <c r="F42" s="231" t="s">
        <v>692</v>
      </c>
      <c r="G42" s="232" t="s">
        <v>743</v>
      </c>
      <c r="H42" s="215" t="s">
        <v>164</v>
      </c>
      <c r="I42" s="215" t="s">
        <v>165</v>
      </c>
      <c r="J42" s="215" t="s">
        <v>733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1111</v>
      </c>
      <c r="C43" s="380" t="s">
        <v>686</v>
      </c>
      <c r="D43" s="304" t="s">
        <v>832</v>
      </c>
      <c r="E43" s="215" t="s">
        <v>166</v>
      </c>
      <c r="F43" s="304" t="s">
        <v>690</v>
      </c>
      <c r="G43" s="381" t="s">
        <v>743</v>
      </c>
      <c r="H43" s="215" t="s">
        <v>164</v>
      </c>
      <c r="I43" s="215" t="s">
        <v>165</v>
      </c>
      <c r="J43" s="382" t="s">
        <v>713</v>
      </c>
      <c r="K43" s="305"/>
      <c r="L43" s="303"/>
      <c r="M43" s="303"/>
      <c r="N43" s="303"/>
      <c r="O43" s="220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319">
        <v>1215</v>
      </c>
      <c r="C44" s="318" t="s">
        <v>707</v>
      </c>
      <c r="D44" s="304" t="s">
        <v>816</v>
      </c>
      <c r="E44" s="305" t="s">
        <v>750</v>
      </c>
      <c r="F44" s="304" t="s">
        <v>696</v>
      </c>
      <c r="G44" s="381" t="s">
        <v>818</v>
      </c>
      <c r="H44" s="215" t="s">
        <v>164</v>
      </c>
      <c r="I44" s="215" t="s">
        <v>165</v>
      </c>
      <c r="J44" s="233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319">
        <v>1214</v>
      </c>
      <c r="C45" s="230" t="s">
        <v>81</v>
      </c>
      <c r="D45" s="231" t="s">
        <v>632</v>
      </c>
      <c r="E45" s="215"/>
      <c r="F45" s="231" t="s">
        <v>159</v>
      </c>
      <c r="G45" s="232" t="s">
        <v>172</v>
      </c>
      <c r="H45" s="215" t="s">
        <v>164</v>
      </c>
      <c r="I45" s="215" t="s">
        <v>165</v>
      </c>
      <c r="J45" s="233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319">
        <v>615</v>
      </c>
      <c r="C46" s="318" t="s">
        <v>81</v>
      </c>
      <c r="D46" s="231" t="s">
        <v>791</v>
      </c>
      <c r="E46" s="305"/>
      <c r="F46" s="231" t="s">
        <v>696</v>
      </c>
      <c r="G46" s="232" t="s">
        <v>742</v>
      </c>
      <c r="H46" s="215" t="s">
        <v>164</v>
      </c>
      <c r="I46" s="215" t="s">
        <v>165</v>
      </c>
      <c r="J46" s="233" t="s">
        <v>713</v>
      </c>
      <c r="K46" s="215"/>
      <c r="L46" s="234"/>
      <c r="M46" s="234"/>
      <c r="N46" s="234"/>
      <c r="O46" s="220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319">
        <v>705</v>
      </c>
      <c r="C47" s="230" t="s">
        <v>686</v>
      </c>
      <c r="D47" s="231" t="s">
        <v>756</v>
      </c>
      <c r="E47" s="215" t="s">
        <v>166</v>
      </c>
      <c r="F47" s="231" t="s">
        <v>751</v>
      </c>
      <c r="G47" s="232" t="s">
        <v>761</v>
      </c>
      <c r="H47" s="215" t="s">
        <v>164</v>
      </c>
      <c r="I47" s="215" t="s">
        <v>165</v>
      </c>
      <c r="J47" s="233" t="s">
        <v>189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319">
        <v>307</v>
      </c>
      <c r="C48" s="380" t="s">
        <v>52</v>
      </c>
      <c r="D48" s="360" t="s">
        <v>594</v>
      </c>
      <c r="E48" s="371"/>
      <c r="F48" s="360" t="s">
        <v>55</v>
      </c>
      <c r="G48" s="395" t="s">
        <v>199</v>
      </c>
      <c r="H48" s="215" t="s">
        <v>164</v>
      </c>
      <c r="I48" s="215" t="s">
        <v>165</v>
      </c>
      <c r="J48" s="233" t="s">
        <v>193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91">
        <v>811</v>
      </c>
      <c r="C49" s="230" t="s">
        <v>81</v>
      </c>
      <c r="D49" s="231" t="s">
        <v>361</v>
      </c>
      <c r="E49" s="215"/>
      <c r="F49" s="231" t="s">
        <v>158</v>
      </c>
      <c r="G49" s="232" t="s">
        <v>174</v>
      </c>
      <c r="H49" s="215" t="s">
        <v>164</v>
      </c>
      <c r="I49" s="215" t="s">
        <v>165</v>
      </c>
      <c r="J49" s="278" t="s">
        <v>189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333"/>
      <c r="C50" s="334"/>
      <c r="D50" s="335"/>
      <c r="E50" s="336"/>
      <c r="F50" s="335"/>
      <c r="G50" s="337"/>
      <c r="H50" s="336"/>
      <c r="I50" s="33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4</v>
      </c>
      <c r="BB54" s="681"/>
      <c r="BC54" s="679">
        <f>AZ24</f>
        <v>8000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4</v>
      </c>
      <c r="BB55" s="681"/>
      <c r="BC55" s="679">
        <f>SUM(BC53:BE54)</f>
        <v>8000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8</v>
      </c>
      <c r="AQ60" s="56">
        <f>SUMIF($C$8:$C$72, $AK60, $L$8:$L$72)+SUMIF($C$8:$C$72, $AK60, $M$8:$M$72)+SUMIF($C$8:$C$72, $AK60, $N$8:$N$72)+SUMIF($C$8:$C$72, $AK60, $O$8:$O$72)</f>
        <v>310000</v>
      </c>
      <c r="AR60" s="57">
        <f>AQ60*0.9</f>
        <v>279000</v>
      </c>
      <c r="AS60" s="58">
        <f t="shared" ref="AS60:AS70" si="4">SUM(AN60+AQ60)</f>
        <v>310000</v>
      </c>
      <c r="AT60" s="59">
        <f t="shared" ref="AT60:AT70" si="5">AO60+AR60</f>
        <v>279000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7</v>
      </c>
      <c r="AQ61" s="56">
        <f t="shared" ref="AQ61:AQ70" si="8">SUMIF($C$8:$C$72, $AK61, $L$8:$L$72)+SUMIF($C$8:$C$72, $AK61, $M$8:$M$72)+SUMIF($C$8:$C$72, $AK61, $N$8:$N$72)+SUMIF($C$8:$C$72, $AK61, $O$8:$O$72)</f>
        <v>560000</v>
      </c>
      <c r="AR61" s="57">
        <f t="shared" ref="AR61:AR70" si="9">AQ61*0.9</f>
        <v>504000</v>
      </c>
      <c r="AS61" s="58">
        <f t="shared" si="4"/>
        <v>560000</v>
      </c>
      <c r="AT61" s="59">
        <f t="shared" si="5"/>
        <v>504000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66500</v>
      </c>
      <c r="AR65" s="57">
        <f t="shared" si="9"/>
        <v>59850</v>
      </c>
      <c r="AS65" s="58">
        <f t="shared" si="4"/>
        <v>66500</v>
      </c>
      <c r="AT65" s="59">
        <f t="shared" si="5"/>
        <v>59850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7</v>
      </c>
      <c r="AQ66" s="56">
        <f t="shared" si="8"/>
        <v>556650</v>
      </c>
      <c r="AR66" s="57">
        <f t="shared" si="9"/>
        <v>500985</v>
      </c>
      <c r="AS66" s="58">
        <f t="shared" si="4"/>
        <v>556650</v>
      </c>
      <c r="AT66" s="59">
        <f t="shared" si="5"/>
        <v>500985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5</v>
      </c>
      <c r="AQ67" s="56">
        <f t="shared" si="8"/>
        <v>486777</v>
      </c>
      <c r="AR67" s="57">
        <f t="shared" si="9"/>
        <v>438099.3</v>
      </c>
      <c r="AS67" s="58">
        <f t="shared" si="4"/>
        <v>486777</v>
      </c>
      <c r="AT67" s="59">
        <f t="shared" si="5"/>
        <v>438099.3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17" t="s">
        <v>775</v>
      </c>
      <c r="D68" s="251" t="s">
        <v>934</v>
      </c>
      <c r="E68" s="215" t="s">
        <v>937</v>
      </c>
      <c r="F68" s="231"/>
      <c r="G68" s="331"/>
      <c r="H68" s="217"/>
      <c r="I68" s="217"/>
      <c r="J68" s="217"/>
      <c r="K68" s="217"/>
      <c r="L68" s="252"/>
      <c r="M68" s="252"/>
      <c r="N68" s="252">
        <v>2750000</v>
      </c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93925</v>
      </c>
      <c r="AR68" s="57">
        <f t="shared" si="9"/>
        <v>84532.5</v>
      </c>
      <c r="AS68" s="58">
        <f t="shared" si="4"/>
        <v>93925</v>
      </c>
      <c r="AT68" s="59">
        <f t="shared" si="5"/>
        <v>84532.5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2073852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8000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5086852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30</v>
      </c>
      <c r="AQ73" s="22">
        <f t="shared" si="10"/>
        <v>2073852</v>
      </c>
      <c r="AR73" s="23">
        <f t="shared" si="10"/>
        <v>1866466.8</v>
      </c>
      <c r="AS73" s="24">
        <f t="shared" si="10"/>
        <v>2073852</v>
      </c>
      <c r="AT73" s="25">
        <f t="shared" si="10"/>
        <v>1866466.8</v>
      </c>
      <c r="AU73" s="692" t="s">
        <v>58</v>
      </c>
      <c r="AV73" s="693"/>
      <c r="AW73" s="693"/>
      <c r="AX73" s="693"/>
      <c r="AY73" s="694"/>
      <c r="AZ73" s="695">
        <f>AS58+AT73</f>
        <v>1866466.8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0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7">
    <cfRule type="cellIs" dxfId="357" priority="1" operator="equal">
      <formula>"여기어때"</formula>
    </cfRule>
    <cfRule type="cellIs" dxfId="356" priority="2" operator="equal">
      <formula>"야놀자"</formula>
    </cfRule>
  </conditionalFormatting>
  <conditionalFormatting sqref="R8:R66">
    <cfRule type="cellIs" dxfId="355" priority="315" operator="equal">
      <formula>"여기어때"</formula>
    </cfRule>
    <cfRule type="cellIs" dxfId="354" priority="316" operator="equal">
      <formula>"야놀자"</formula>
    </cfRule>
  </conditionalFormatting>
  <conditionalFormatting sqref="R73">
    <cfRule type="cellIs" dxfId="353" priority="317" operator="equal">
      <formula>"여기어때"</formula>
    </cfRule>
    <cfRule type="cellIs" dxfId="352" priority="318" operator="equal">
      <formula>"야놀자"</formula>
    </cfRule>
  </conditionalFormatting>
  <conditionalFormatting sqref="AL30:AM30">
    <cfRule type="cellIs" dxfId="351" priority="302" operator="greaterThan">
      <formula>$AL$29</formula>
    </cfRule>
    <cfRule type="cellIs" dxfId="350" priority="310" operator="equal">
      <formula>$AL$29</formula>
    </cfRule>
  </conditionalFormatting>
  <conditionalFormatting sqref="AN30:AO30">
    <cfRule type="cellIs" dxfId="349" priority="301" operator="greaterThan">
      <formula>$AN$29</formula>
    </cfRule>
    <cfRule type="cellIs" dxfId="348" priority="309" operator="equal">
      <formula>$AN$29</formula>
    </cfRule>
  </conditionalFormatting>
  <conditionalFormatting sqref="AP30:AQ30">
    <cfRule type="cellIs" dxfId="347" priority="300" operator="greaterThan">
      <formula>$AP$29</formula>
    </cfRule>
    <cfRule type="cellIs" dxfId="346" priority="308" operator="equal">
      <formula>$AP$29</formula>
    </cfRule>
  </conditionalFormatting>
  <conditionalFormatting sqref="AR30">
    <cfRule type="cellIs" dxfId="345" priority="299" operator="greaterThan">
      <formula>$AR$29</formula>
    </cfRule>
    <cfRule type="cellIs" dxfId="344" priority="307" operator="equal">
      <formula>$AR$29</formula>
    </cfRule>
  </conditionalFormatting>
  <conditionalFormatting sqref="AS30:AT30">
    <cfRule type="cellIs" dxfId="343" priority="298" operator="greaterThan">
      <formula>$AS$29</formula>
    </cfRule>
    <cfRule type="cellIs" dxfId="342" priority="306" operator="equal">
      <formula>$AS$29</formula>
    </cfRule>
  </conditionalFormatting>
  <conditionalFormatting sqref="AU30:AV30">
    <cfRule type="cellIs" dxfId="341" priority="297" operator="greaterThan">
      <formula>$AU$29</formula>
    </cfRule>
    <cfRule type="cellIs" dxfId="340" priority="305" operator="equal">
      <formula>$AU$29</formula>
    </cfRule>
  </conditionalFormatting>
  <conditionalFormatting sqref="AW30">
    <cfRule type="cellIs" dxfId="339" priority="296" operator="greaterThan">
      <formula>$AW$29</formula>
    </cfRule>
    <cfRule type="cellIs" dxfId="338" priority="304" operator="equal">
      <formula>$AW$29</formula>
    </cfRule>
  </conditionalFormatting>
  <conditionalFormatting sqref="AX30:AY30">
    <cfRule type="cellIs" dxfId="337" priority="295" operator="greaterThan">
      <formula>$AX$29</formula>
    </cfRule>
    <cfRule type="cellIs" dxfId="336" priority="303" operator="equal">
      <formula>$AX$29</formula>
    </cfRule>
  </conditionalFormatting>
  <dataValidations count="1">
    <dataValidation type="list" allowBlank="1" showInputMessage="1" showErrorMessage="1" sqref="A8:A67 C69:C73 C75:C76 P8:P67" xr:uid="{DA6E056E-457A-4D41-841F-3A47ED11D837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F561-159A-442B-BF1B-529D6421DB75}">
  <sheetPr codeName="Sheet18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C8" sqref="C8"/>
      <selection pane="bottomLeft" activeCell="L40" sqref="L40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360</v>
      </c>
      <c r="T1" s="834"/>
      <c r="U1" s="834"/>
      <c r="V1" s="834"/>
      <c r="W1" s="834"/>
      <c r="X1" s="834"/>
      <c r="Y1" s="835"/>
      <c r="Z1" s="1" t="s">
        <v>2</v>
      </c>
      <c r="AA1" s="873">
        <v>45918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1923338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41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331500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'18'!AA1</f>
        <v>45918</v>
      </c>
      <c r="AM2" s="863"/>
      <c r="AN2" s="863"/>
      <c r="AO2" s="864"/>
      <c r="AP2" s="865" t="s">
        <v>10</v>
      </c>
      <c r="AQ2" s="866"/>
      <c r="AR2" s="866"/>
      <c r="AS2" s="863">
        <f>AA1+1</f>
        <v>45919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주간/양동건 대체/김선우 야간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1923338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401500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8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0</v>
      </c>
      <c r="F6" s="356">
        <f>AR31</f>
        <v>0</v>
      </c>
      <c r="G6" s="356">
        <f>AS31</f>
        <v>0</v>
      </c>
      <c r="H6" s="356">
        <f>AU31</f>
        <v>1</v>
      </c>
      <c r="I6" s="356">
        <f>AW31</f>
        <v>1</v>
      </c>
      <c r="J6" s="356">
        <f>AX31</f>
        <v>0</v>
      </c>
      <c r="K6" s="606"/>
      <c r="L6" s="607"/>
      <c r="M6" s="356"/>
      <c r="N6" s="606">
        <f>C6+D6+E6+F6+G6+H6+I6+J6+K6</f>
        <v>2</v>
      </c>
      <c r="O6" s="602"/>
      <c r="P6" s="599">
        <f>C2</f>
        <v>1923338</v>
      </c>
      <c r="Q6" s="600"/>
      <c r="R6" s="300">
        <f>AN14+AN15</f>
        <v>70000</v>
      </c>
      <c r="S6" s="300">
        <f>AZ14+AZ15</f>
        <v>0</v>
      </c>
      <c r="T6" s="300">
        <f>AR14+AR15</f>
        <v>272000</v>
      </c>
      <c r="U6" s="609">
        <f>AS60</f>
        <v>615000</v>
      </c>
      <c r="V6" s="600"/>
      <c r="W6" s="609">
        <f>AS61</f>
        <v>185000</v>
      </c>
      <c r="X6" s="600"/>
      <c r="Y6" s="609">
        <f>AS62</f>
        <v>0</v>
      </c>
      <c r="Z6" s="600"/>
      <c r="AA6" s="300">
        <f>AS63</f>
        <v>0</v>
      </c>
      <c r="AB6" s="300">
        <f>AS66</f>
        <v>497550</v>
      </c>
      <c r="AC6" s="300">
        <f>AS67</f>
        <v>0</v>
      </c>
      <c r="AD6" s="300">
        <f>SUMIFS(O7:O47,C7:C47,"트립")</f>
        <v>212288</v>
      </c>
      <c r="AE6" s="300">
        <f>AS65</f>
        <v>0</v>
      </c>
      <c r="AF6" s="300">
        <f>AS69</f>
        <v>71500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493">
        <v>1208</v>
      </c>
      <c r="C8" s="230" t="s">
        <v>248</v>
      </c>
      <c r="D8" s="231" t="s">
        <v>390</v>
      </c>
      <c r="E8" s="215" t="s">
        <v>393</v>
      </c>
      <c r="F8" s="231" t="s">
        <v>55</v>
      </c>
      <c r="G8" s="232" t="s">
        <v>163</v>
      </c>
      <c r="H8" s="215" t="s">
        <v>164</v>
      </c>
      <c r="I8" s="215" t="s">
        <v>165</v>
      </c>
      <c r="J8" s="233" t="s">
        <v>189</v>
      </c>
      <c r="K8" s="215"/>
      <c r="L8" s="234"/>
      <c r="M8" s="254">
        <v>65000</v>
      </c>
      <c r="N8" s="234"/>
      <c r="O8" s="218"/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493">
        <v>308</v>
      </c>
      <c r="C9" s="230" t="s">
        <v>248</v>
      </c>
      <c r="D9" s="231" t="s">
        <v>391</v>
      </c>
      <c r="E9" s="215" t="s">
        <v>393</v>
      </c>
      <c r="F9" s="231" t="s">
        <v>55</v>
      </c>
      <c r="G9" s="232" t="s">
        <v>163</v>
      </c>
      <c r="H9" s="215" t="s">
        <v>164</v>
      </c>
      <c r="I9" s="215" t="s">
        <v>165</v>
      </c>
      <c r="J9" s="233" t="s">
        <v>189</v>
      </c>
      <c r="K9" s="215"/>
      <c r="L9" s="234"/>
      <c r="M9" s="254">
        <v>65000</v>
      </c>
      <c r="N9" s="234"/>
      <c r="O9" s="218"/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493">
        <v>309</v>
      </c>
      <c r="C10" s="230" t="s">
        <v>248</v>
      </c>
      <c r="D10" s="231" t="s">
        <v>392</v>
      </c>
      <c r="E10" s="215" t="s">
        <v>393</v>
      </c>
      <c r="F10" s="231" t="s">
        <v>55</v>
      </c>
      <c r="G10" s="232" t="s">
        <v>163</v>
      </c>
      <c r="H10" s="215" t="s">
        <v>164</v>
      </c>
      <c r="I10" s="215" t="s">
        <v>165</v>
      </c>
      <c r="J10" s="233" t="s">
        <v>189</v>
      </c>
      <c r="K10" s="215"/>
      <c r="L10" s="234"/>
      <c r="M10" s="254">
        <v>65000</v>
      </c>
      <c r="N10" s="234"/>
      <c r="O10" s="218"/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1</v>
      </c>
      <c r="AM10" s="625"/>
      <c r="AN10" s="626">
        <f>SUM(L8:L67)</f>
        <v>70000</v>
      </c>
      <c r="AO10" s="627"/>
      <c r="AP10" s="628">
        <f>COUNT(M8:M67)</f>
        <v>4</v>
      </c>
      <c r="AQ10" s="627"/>
      <c r="AR10" s="626">
        <f>SUM(M8:M67)</f>
        <v>260000</v>
      </c>
      <c r="AS10" s="627"/>
      <c r="AT10" s="625">
        <f>COUNTA($O$8:$O$67)</f>
        <v>36</v>
      </c>
      <c r="AU10" s="625"/>
      <c r="AV10" s="625">
        <f>SUM(O8:O67)</f>
        <v>1581338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41</v>
      </c>
      <c r="BC10" s="799"/>
      <c r="BD10" s="800">
        <f>SUM(AN10+AR10+AV10+AZ10)</f>
        <v>1911338</v>
      </c>
      <c r="BE10" s="801"/>
    </row>
    <row r="11" spans="1:58" ht="64.5" customHeight="1" x14ac:dyDescent="0.3">
      <c r="A11" s="228">
        <v>4</v>
      </c>
      <c r="B11" s="229">
        <v>907</v>
      </c>
      <c r="C11" s="230" t="s">
        <v>736</v>
      </c>
      <c r="D11" s="231" t="s">
        <v>864</v>
      </c>
      <c r="E11" s="215" t="s">
        <v>865</v>
      </c>
      <c r="F11" s="231" t="s">
        <v>692</v>
      </c>
      <c r="G11" s="232" t="s">
        <v>688</v>
      </c>
      <c r="H11" s="215" t="s">
        <v>164</v>
      </c>
      <c r="I11" s="215" t="s">
        <v>165</v>
      </c>
      <c r="J11" s="215" t="s">
        <v>189</v>
      </c>
      <c r="K11" s="215"/>
      <c r="L11" s="234"/>
      <c r="M11" s="254"/>
      <c r="N11" s="234"/>
      <c r="O11" s="218">
        <v>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906</v>
      </c>
      <c r="C12" s="318" t="s">
        <v>736</v>
      </c>
      <c r="D12" s="231" t="s">
        <v>874</v>
      </c>
      <c r="E12" s="215" t="s">
        <v>875</v>
      </c>
      <c r="F12" s="231" t="s">
        <v>168</v>
      </c>
      <c r="G12" s="232" t="s">
        <v>688</v>
      </c>
      <c r="H12" s="215" t="s">
        <v>164</v>
      </c>
      <c r="I12" s="215" t="s">
        <v>165</v>
      </c>
      <c r="J12" s="215" t="s">
        <v>713</v>
      </c>
      <c r="K12" s="215"/>
      <c r="L12" s="234"/>
      <c r="M12" s="234"/>
      <c r="N12" s="234"/>
      <c r="O12" s="220">
        <v>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494" t="s">
        <v>988</v>
      </c>
      <c r="C13" s="495" t="s">
        <v>736</v>
      </c>
      <c r="D13" s="496" t="s">
        <v>933</v>
      </c>
      <c r="E13" s="497" t="s">
        <v>932</v>
      </c>
      <c r="F13" s="496"/>
      <c r="G13" s="498" t="s">
        <v>688</v>
      </c>
      <c r="H13" s="497" t="s">
        <v>164</v>
      </c>
      <c r="I13" s="497" t="s">
        <v>165</v>
      </c>
      <c r="J13" s="497" t="s">
        <v>189</v>
      </c>
      <c r="K13" s="497"/>
      <c r="L13" s="499"/>
      <c r="M13" s="499"/>
      <c r="N13" s="499"/>
      <c r="O13" s="500">
        <v>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1210</v>
      </c>
      <c r="C14" s="230" t="s">
        <v>686</v>
      </c>
      <c r="D14" s="231" t="s">
        <v>871</v>
      </c>
      <c r="E14" s="215"/>
      <c r="F14" s="231" t="s">
        <v>704</v>
      </c>
      <c r="G14" s="232" t="s">
        <v>688</v>
      </c>
      <c r="H14" s="215" t="s">
        <v>164</v>
      </c>
      <c r="I14" s="215" t="s">
        <v>165</v>
      </c>
      <c r="J14" s="215" t="s">
        <v>189</v>
      </c>
      <c r="K14" s="215" t="s">
        <v>973</v>
      </c>
      <c r="L14" s="234"/>
      <c r="M14" s="234"/>
      <c r="N14" s="234"/>
      <c r="O14" s="218">
        <v>80000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1</v>
      </c>
      <c r="AM14" s="653"/>
      <c r="AN14" s="654">
        <f>SUM(AN10:AO13)</f>
        <v>70000</v>
      </c>
      <c r="AO14" s="655"/>
      <c r="AP14" s="653">
        <f t="shared" ref="AP14" si="0">SUM(AP10:AQ11)</f>
        <v>4</v>
      </c>
      <c r="AQ14" s="653"/>
      <c r="AR14" s="653">
        <f>SUM(AR10:AS13)</f>
        <v>260000</v>
      </c>
      <c r="AS14" s="653"/>
      <c r="AT14" s="653">
        <f t="shared" ref="AT14" si="1">SUM(AT10:AU11)</f>
        <v>36</v>
      </c>
      <c r="AU14" s="653"/>
      <c r="AV14" s="653">
        <f>SUM(AV10:AW13)</f>
        <v>1581338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41</v>
      </c>
      <c r="BC14" s="655"/>
      <c r="BD14" s="782">
        <f>SUM(BD10:BE13)</f>
        <v>1911338</v>
      </c>
      <c r="BE14" s="783"/>
    </row>
    <row r="15" spans="1:58" ht="64.5" customHeight="1" thickBot="1" x14ac:dyDescent="0.35">
      <c r="A15" s="228">
        <v>8</v>
      </c>
      <c r="B15" s="319">
        <v>1111</v>
      </c>
      <c r="C15" s="230" t="s">
        <v>686</v>
      </c>
      <c r="D15" s="231" t="s">
        <v>833</v>
      </c>
      <c r="E15" s="215" t="s">
        <v>166</v>
      </c>
      <c r="F15" s="231" t="s">
        <v>158</v>
      </c>
      <c r="G15" s="232" t="s">
        <v>688</v>
      </c>
      <c r="H15" s="215" t="s">
        <v>164</v>
      </c>
      <c r="I15" s="215" t="s">
        <v>165</v>
      </c>
      <c r="J15" s="215" t="s">
        <v>713</v>
      </c>
      <c r="K15" s="215"/>
      <c r="L15" s="234"/>
      <c r="M15" s="234"/>
      <c r="N15" s="234"/>
      <c r="O15" s="220">
        <v>60000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6</v>
      </c>
      <c r="AQ15" s="633"/>
      <c r="AR15" s="632">
        <f>AR24</f>
        <v>12000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6</v>
      </c>
      <c r="BC15" s="633"/>
      <c r="BD15" s="776">
        <f>SUM(AN15+AR15+AV15+AZ15)</f>
        <v>12000</v>
      </c>
      <c r="BE15" s="777"/>
    </row>
    <row r="16" spans="1:58" ht="64.5" customHeight="1" thickBot="1" x14ac:dyDescent="0.35">
      <c r="A16" s="228">
        <v>9</v>
      </c>
      <c r="B16" s="229">
        <v>1116</v>
      </c>
      <c r="C16" s="230" t="s">
        <v>689</v>
      </c>
      <c r="D16" s="231" t="s">
        <v>922</v>
      </c>
      <c r="E16" s="215" t="s">
        <v>166</v>
      </c>
      <c r="F16" s="231" t="s">
        <v>968</v>
      </c>
      <c r="G16" s="232" t="s">
        <v>688</v>
      </c>
      <c r="H16" s="215" t="s">
        <v>164</v>
      </c>
      <c r="I16" s="215" t="s">
        <v>165</v>
      </c>
      <c r="J16" s="215" t="s">
        <v>713</v>
      </c>
      <c r="K16" s="215"/>
      <c r="L16" s="234"/>
      <c r="M16" s="234"/>
      <c r="N16" s="234"/>
      <c r="O16" s="220">
        <v>60000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1923338</v>
      </c>
      <c r="BE16" s="652"/>
      <c r="BF16" s="10"/>
    </row>
    <row r="17" spans="1:62" ht="64.5" customHeight="1" thickBot="1" x14ac:dyDescent="0.35">
      <c r="A17" s="228">
        <v>10</v>
      </c>
      <c r="B17" s="229">
        <v>1110</v>
      </c>
      <c r="C17" s="230" t="s">
        <v>74</v>
      </c>
      <c r="D17" s="231" t="s">
        <v>330</v>
      </c>
      <c r="E17" s="231"/>
      <c r="F17" s="231" t="s">
        <v>161</v>
      </c>
      <c r="G17" s="232" t="s">
        <v>163</v>
      </c>
      <c r="H17" s="215" t="s">
        <v>164</v>
      </c>
      <c r="I17" s="215" t="s">
        <v>165</v>
      </c>
      <c r="J17" s="233" t="s">
        <v>247</v>
      </c>
      <c r="K17" s="215" t="s">
        <v>973</v>
      </c>
      <c r="L17" s="234"/>
      <c r="M17" s="234"/>
      <c r="N17" s="234"/>
      <c r="O17" s="218">
        <v>80000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1206</v>
      </c>
      <c r="C18" s="230" t="s">
        <v>70</v>
      </c>
      <c r="D18" s="231" t="s">
        <v>378</v>
      </c>
      <c r="E18" s="215" t="s">
        <v>714</v>
      </c>
      <c r="F18" s="231" t="s">
        <v>160</v>
      </c>
      <c r="G18" s="232" t="s">
        <v>163</v>
      </c>
      <c r="H18" s="215" t="s">
        <v>164</v>
      </c>
      <c r="I18" s="215" t="s">
        <v>165</v>
      </c>
      <c r="J18" s="215" t="s">
        <v>193</v>
      </c>
      <c r="K18" s="215"/>
      <c r="L18" s="234"/>
      <c r="M18" s="234"/>
      <c r="N18" s="234"/>
      <c r="O18" s="218">
        <v>66300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401</v>
      </c>
      <c r="C19" s="230" t="s">
        <v>170</v>
      </c>
      <c r="D19" s="231" t="s">
        <v>551</v>
      </c>
      <c r="E19" s="215"/>
      <c r="F19" s="231" t="s">
        <v>161</v>
      </c>
      <c r="G19" s="232" t="s">
        <v>163</v>
      </c>
      <c r="H19" s="215" t="s">
        <v>164</v>
      </c>
      <c r="I19" s="215" t="s">
        <v>165</v>
      </c>
      <c r="J19" s="215" t="s">
        <v>189</v>
      </c>
      <c r="K19" s="215"/>
      <c r="L19" s="234"/>
      <c r="M19" s="234"/>
      <c r="N19" s="234"/>
      <c r="O19" s="218">
        <v>115600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506</v>
      </c>
      <c r="C20" s="230" t="s">
        <v>693</v>
      </c>
      <c r="D20" s="231" t="s">
        <v>793</v>
      </c>
      <c r="E20" s="215" t="s">
        <v>714</v>
      </c>
      <c r="F20" s="231" t="s">
        <v>167</v>
      </c>
      <c r="G20" s="232" t="s">
        <v>720</v>
      </c>
      <c r="H20" s="215" t="s">
        <v>164</v>
      </c>
      <c r="I20" s="215" t="s">
        <v>165</v>
      </c>
      <c r="J20" s="215" t="s">
        <v>713</v>
      </c>
      <c r="K20" s="215"/>
      <c r="L20" s="234"/>
      <c r="M20" s="234"/>
      <c r="N20" s="234"/>
      <c r="O20" s="218">
        <v>153000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6</v>
      </c>
      <c r="AQ20" s="655"/>
      <c r="AR20" s="654">
        <f>AP20*2000</f>
        <v>12000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6</v>
      </c>
      <c r="AY20" s="647"/>
      <c r="AZ20" s="648">
        <f>SUM(AJ20+AN20+AR20+AV20)</f>
        <v>12000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809</v>
      </c>
      <c r="C21" s="230" t="s">
        <v>702</v>
      </c>
      <c r="D21" s="231" t="s">
        <v>947</v>
      </c>
      <c r="E21" s="215" t="s">
        <v>714</v>
      </c>
      <c r="F21" s="231" t="s">
        <v>692</v>
      </c>
      <c r="G21" s="232" t="s">
        <v>688</v>
      </c>
      <c r="H21" s="215" t="s">
        <v>164</v>
      </c>
      <c r="I21" s="215" t="s">
        <v>165</v>
      </c>
      <c r="J21" s="215" t="s">
        <v>886</v>
      </c>
      <c r="K21" s="215"/>
      <c r="L21" s="234"/>
      <c r="M21" s="234"/>
      <c r="N21" s="234"/>
      <c r="O21" s="218">
        <v>71500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>
        <v>404</v>
      </c>
      <c r="C22" s="230" t="s">
        <v>698</v>
      </c>
      <c r="D22" s="231" t="s">
        <v>949</v>
      </c>
      <c r="E22" s="231" t="s">
        <v>714</v>
      </c>
      <c r="F22" s="231" t="s">
        <v>692</v>
      </c>
      <c r="G22" s="232" t="s">
        <v>688</v>
      </c>
      <c r="H22" s="215" t="s">
        <v>164</v>
      </c>
      <c r="I22" s="215" t="s">
        <v>165</v>
      </c>
      <c r="J22" s="215" t="s">
        <v>886</v>
      </c>
      <c r="K22" s="215"/>
      <c r="L22" s="234"/>
      <c r="M22" s="234"/>
      <c r="N22" s="234"/>
      <c r="O22" s="218">
        <v>96688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>
        <v>305</v>
      </c>
      <c r="C23" s="230" t="s">
        <v>963</v>
      </c>
      <c r="D23" s="231" t="s">
        <v>960</v>
      </c>
      <c r="E23" s="215" t="s">
        <v>962</v>
      </c>
      <c r="F23" s="231" t="s">
        <v>958</v>
      </c>
      <c r="G23" s="232" t="s">
        <v>951</v>
      </c>
      <c r="H23" s="215" t="s">
        <v>164</v>
      </c>
      <c r="I23" s="215" t="s">
        <v>165</v>
      </c>
      <c r="J23" s="215" t="s">
        <v>961</v>
      </c>
      <c r="K23" s="215"/>
      <c r="L23" s="234"/>
      <c r="M23" s="234">
        <v>65000</v>
      </c>
      <c r="N23" s="23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>
        <v>1115</v>
      </c>
      <c r="C24" s="230" t="s">
        <v>952</v>
      </c>
      <c r="D24" s="231" t="s">
        <v>964</v>
      </c>
      <c r="E24" s="215" t="s">
        <v>363</v>
      </c>
      <c r="F24" s="231" t="s">
        <v>968</v>
      </c>
      <c r="G24" s="232" t="s">
        <v>951</v>
      </c>
      <c r="H24" s="215" t="s">
        <v>164</v>
      </c>
      <c r="I24" s="215" t="s">
        <v>165</v>
      </c>
      <c r="J24" s="215" t="s">
        <v>961</v>
      </c>
      <c r="K24" s="215"/>
      <c r="L24" s="234"/>
      <c r="M24" s="234"/>
      <c r="N24" s="234"/>
      <c r="O24" s="220">
        <v>65000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6</v>
      </c>
      <c r="AQ24" s="655"/>
      <c r="AR24" s="654">
        <f>SUM(AR20:AS23)</f>
        <v>12000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6</v>
      </c>
      <c r="AY24" s="647"/>
      <c r="AZ24" s="648">
        <f>SUM(AZ20:BA23)</f>
        <v>12000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19">
        <v>1214</v>
      </c>
      <c r="C25" s="230" t="s">
        <v>966</v>
      </c>
      <c r="D25" s="231" t="s">
        <v>967</v>
      </c>
      <c r="E25" s="215" t="s">
        <v>363</v>
      </c>
      <c r="F25" s="231" t="s">
        <v>968</v>
      </c>
      <c r="G25" s="232" t="s">
        <v>951</v>
      </c>
      <c r="H25" s="215" t="s">
        <v>164</v>
      </c>
      <c r="I25" s="215" t="s">
        <v>165</v>
      </c>
      <c r="J25" s="215" t="s">
        <v>961</v>
      </c>
      <c r="K25" s="215" t="s">
        <v>973</v>
      </c>
      <c r="L25" s="234"/>
      <c r="M25" s="234"/>
      <c r="N25" s="234"/>
      <c r="O25" s="220">
        <v>68250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>
        <v>1105</v>
      </c>
      <c r="C26" s="230" t="s">
        <v>966</v>
      </c>
      <c r="D26" s="231" t="s">
        <v>969</v>
      </c>
      <c r="E26" s="215" t="s">
        <v>318</v>
      </c>
      <c r="F26" s="231" t="s">
        <v>970</v>
      </c>
      <c r="G26" s="232" t="s">
        <v>951</v>
      </c>
      <c r="H26" s="215" t="s">
        <v>164</v>
      </c>
      <c r="I26" s="215" t="s">
        <v>165</v>
      </c>
      <c r="J26" s="215" t="s">
        <v>961</v>
      </c>
      <c r="K26" s="215"/>
      <c r="L26" s="234"/>
      <c r="M26" s="234"/>
      <c r="N26" s="234"/>
      <c r="O26" s="220">
        <v>68250</v>
      </c>
      <c r="P26" s="402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>
        <v>902</v>
      </c>
      <c r="C27" s="230" t="s">
        <v>978</v>
      </c>
      <c r="D27" s="231" t="s">
        <v>976</v>
      </c>
      <c r="E27" s="215"/>
      <c r="F27" s="231" t="s">
        <v>977</v>
      </c>
      <c r="G27" s="232" t="s">
        <v>951</v>
      </c>
      <c r="H27" s="215" t="s">
        <v>164</v>
      </c>
      <c r="I27" s="215" t="s">
        <v>165</v>
      </c>
      <c r="J27" s="215" t="s">
        <v>961</v>
      </c>
      <c r="K27" s="215"/>
      <c r="L27" s="234">
        <v>70000</v>
      </c>
      <c r="M27" s="234"/>
      <c r="N27" s="234"/>
      <c r="O27" s="218"/>
      <c r="P27" s="402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>
        <v>713</v>
      </c>
      <c r="C28" s="230" t="s">
        <v>966</v>
      </c>
      <c r="D28" s="231" t="s">
        <v>982</v>
      </c>
      <c r="E28" s="215" t="s">
        <v>363</v>
      </c>
      <c r="F28" s="231" t="s">
        <v>968</v>
      </c>
      <c r="G28" s="232" t="s">
        <v>951</v>
      </c>
      <c r="H28" s="215" t="s">
        <v>164</v>
      </c>
      <c r="I28" s="215" t="s">
        <v>165</v>
      </c>
      <c r="J28" s="215" t="s">
        <v>961</v>
      </c>
      <c r="K28" s="215"/>
      <c r="L28" s="234"/>
      <c r="M28" s="234"/>
      <c r="N28" s="234"/>
      <c r="O28" s="218">
        <v>68250</v>
      </c>
      <c r="P28" s="402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>
        <v>715</v>
      </c>
      <c r="C29" s="230" t="s">
        <v>971</v>
      </c>
      <c r="D29" s="231" t="s">
        <v>992</v>
      </c>
      <c r="E29" s="215" t="s">
        <v>166</v>
      </c>
      <c r="F29" s="231" t="s">
        <v>968</v>
      </c>
      <c r="G29" s="232" t="s">
        <v>951</v>
      </c>
      <c r="H29" s="215" t="s">
        <v>164</v>
      </c>
      <c r="I29" s="215" t="s">
        <v>165</v>
      </c>
      <c r="J29" s="215" t="s">
        <v>961</v>
      </c>
      <c r="K29" s="215" t="s">
        <v>973</v>
      </c>
      <c r="L29" s="234"/>
      <c r="M29" s="234"/>
      <c r="N29" s="234"/>
      <c r="O29" s="218">
        <v>60000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>
        <v>1107</v>
      </c>
      <c r="C30" s="230" t="s">
        <v>966</v>
      </c>
      <c r="D30" s="231" t="s">
        <v>998</v>
      </c>
      <c r="E30" s="215" t="s">
        <v>997</v>
      </c>
      <c r="F30" s="231" t="s">
        <v>977</v>
      </c>
      <c r="G30" s="232" t="s">
        <v>951</v>
      </c>
      <c r="H30" s="215" t="s">
        <v>164</v>
      </c>
      <c r="I30" s="215" t="s">
        <v>165</v>
      </c>
      <c r="J30" s="215" t="s">
        <v>961</v>
      </c>
      <c r="K30" s="215"/>
      <c r="L30" s="234"/>
      <c r="M30" s="234"/>
      <c r="N30" s="234"/>
      <c r="O30" s="218">
        <v>73500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4</v>
      </c>
      <c r="AV30" s="830"/>
      <c r="AW30" s="324">
        <f>COUNTIF(F8:F67,"v")</f>
        <v>4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>
        <v>409</v>
      </c>
      <c r="C31" s="230" t="s">
        <v>971</v>
      </c>
      <c r="D31" s="231" t="s">
        <v>1000</v>
      </c>
      <c r="E31" s="215" t="s">
        <v>166</v>
      </c>
      <c r="F31" s="231" t="s">
        <v>977</v>
      </c>
      <c r="G31" s="232" t="s">
        <v>951</v>
      </c>
      <c r="H31" s="215" t="s">
        <v>164</v>
      </c>
      <c r="I31" s="215" t="s">
        <v>165</v>
      </c>
      <c r="J31" s="237" t="s">
        <v>1001</v>
      </c>
      <c r="K31" s="215" t="s">
        <v>973</v>
      </c>
      <c r="L31" s="234"/>
      <c r="M31" s="234"/>
      <c r="N31" s="234"/>
      <c r="O31" s="218">
        <v>60000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1</v>
      </c>
      <c r="AV31" s="817"/>
      <c r="AW31" s="322">
        <f>AW29-AW30</f>
        <v>1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19">
        <v>609</v>
      </c>
      <c r="C32" s="230" t="s">
        <v>971</v>
      </c>
      <c r="D32" s="231" t="s">
        <v>1004</v>
      </c>
      <c r="E32" s="215" t="s">
        <v>166</v>
      </c>
      <c r="F32" s="231" t="s">
        <v>977</v>
      </c>
      <c r="G32" s="232" t="s">
        <v>951</v>
      </c>
      <c r="H32" s="215" t="s">
        <v>164</v>
      </c>
      <c r="I32" s="215" t="s">
        <v>165</v>
      </c>
      <c r="J32" s="237" t="s">
        <v>1001</v>
      </c>
      <c r="K32" s="238"/>
      <c r="L32" s="234"/>
      <c r="M32" s="234"/>
      <c r="N32" s="234"/>
      <c r="O32" s="218">
        <v>60000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>
        <v>501</v>
      </c>
      <c r="C33" s="230" t="s">
        <v>971</v>
      </c>
      <c r="D33" s="231" t="s">
        <v>1007</v>
      </c>
      <c r="E33" s="215"/>
      <c r="F33" s="231" t="s">
        <v>991</v>
      </c>
      <c r="G33" s="232" t="s">
        <v>951</v>
      </c>
      <c r="H33" s="215" t="s">
        <v>164</v>
      </c>
      <c r="I33" s="215" t="s">
        <v>165</v>
      </c>
      <c r="J33" s="237" t="s">
        <v>1001</v>
      </c>
      <c r="K33" s="215" t="s">
        <v>973</v>
      </c>
      <c r="L33" s="234"/>
      <c r="M33" s="234"/>
      <c r="N33" s="234"/>
      <c r="O33" s="218">
        <v>80000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>
        <v>805</v>
      </c>
      <c r="C34" s="230" t="s">
        <v>971</v>
      </c>
      <c r="D34" s="231" t="s">
        <v>1008</v>
      </c>
      <c r="E34" s="215" t="s">
        <v>166</v>
      </c>
      <c r="F34" s="231" t="s">
        <v>977</v>
      </c>
      <c r="G34" s="232" t="s">
        <v>951</v>
      </c>
      <c r="H34" s="215" t="s">
        <v>164</v>
      </c>
      <c r="I34" s="215" t="s">
        <v>165</v>
      </c>
      <c r="J34" s="237" t="s">
        <v>1001</v>
      </c>
      <c r="K34" s="215"/>
      <c r="L34" s="234"/>
      <c r="M34" s="234"/>
      <c r="N34" s="234"/>
      <c r="O34" s="218">
        <v>60000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19">
        <v>1004</v>
      </c>
      <c r="C35" s="230" t="s">
        <v>952</v>
      </c>
      <c r="D35" s="231" t="s">
        <v>1009</v>
      </c>
      <c r="E35" s="215" t="s">
        <v>166</v>
      </c>
      <c r="F35" s="231" t="s">
        <v>977</v>
      </c>
      <c r="G35" s="232" t="s">
        <v>951</v>
      </c>
      <c r="H35" s="215" t="s">
        <v>164</v>
      </c>
      <c r="I35" s="215" t="s">
        <v>165</v>
      </c>
      <c r="J35" s="237" t="s">
        <v>1001</v>
      </c>
      <c r="K35" s="238"/>
      <c r="L35" s="234"/>
      <c r="M35" s="234"/>
      <c r="N35" s="234"/>
      <c r="O35" s="218">
        <v>60000</v>
      </c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>
        <v>1006</v>
      </c>
      <c r="C36" s="230" t="s">
        <v>971</v>
      </c>
      <c r="D36" s="231" t="s">
        <v>1011</v>
      </c>
      <c r="E36" s="215" t="s">
        <v>956</v>
      </c>
      <c r="F36" s="231" t="s">
        <v>977</v>
      </c>
      <c r="G36" s="232" t="s">
        <v>951</v>
      </c>
      <c r="H36" s="215" t="s">
        <v>164</v>
      </c>
      <c r="I36" s="215" t="s">
        <v>165</v>
      </c>
      <c r="J36" s="237" t="s">
        <v>1001</v>
      </c>
      <c r="K36" s="215"/>
      <c r="L36" s="234"/>
      <c r="M36" s="234"/>
      <c r="N36" s="234"/>
      <c r="O36" s="218">
        <v>75000</v>
      </c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15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319">
        <v>709</v>
      </c>
      <c r="C38" s="230" t="s">
        <v>693</v>
      </c>
      <c r="D38" s="231" t="s">
        <v>777</v>
      </c>
      <c r="E38" s="215"/>
      <c r="F38" s="231" t="s">
        <v>751</v>
      </c>
      <c r="G38" s="232" t="s">
        <v>721</v>
      </c>
      <c r="H38" s="215" t="s">
        <v>164</v>
      </c>
      <c r="I38" s="215" t="s">
        <v>165</v>
      </c>
      <c r="J38" s="233" t="s">
        <v>713</v>
      </c>
      <c r="K38" s="215"/>
      <c r="L38" s="234"/>
      <c r="M38" s="234"/>
      <c r="N38" s="234"/>
      <c r="O38" s="218">
        <v>0</v>
      </c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319">
        <v>702</v>
      </c>
      <c r="C39" s="230" t="s">
        <v>686</v>
      </c>
      <c r="D39" s="231" t="s">
        <v>888</v>
      </c>
      <c r="E39" s="215" t="s">
        <v>166</v>
      </c>
      <c r="F39" s="231" t="s">
        <v>751</v>
      </c>
      <c r="G39" s="232" t="s">
        <v>743</v>
      </c>
      <c r="H39" s="215" t="s">
        <v>164</v>
      </c>
      <c r="I39" s="215" t="s">
        <v>165</v>
      </c>
      <c r="J39" s="233" t="s">
        <v>886</v>
      </c>
      <c r="K39" s="215"/>
      <c r="L39" s="234"/>
      <c r="M39" s="234"/>
      <c r="N39" s="234"/>
      <c r="O39" s="218">
        <v>0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19">
        <v>1216</v>
      </c>
      <c r="C40" s="230" t="s">
        <v>73</v>
      </c>
      <c r="D40" s="231" t="s">
        <v>884</v>
      </c>
      <c r="E40" s="215" t="s">
        <v>166</v>
      </c>
      <c r="F40" s="231" t="s">
        <v>696</v>
      </c>
      <c r="G40" s="232" t="s">
        <v>721</v>
      </c>
      <c r="H40" s="215" t="s">
        <v>164</v>
      </c>
      <c r="I40" s="215" t="s">
        <v>165</v>
      </c>
      <c r="J40" s="233" t="s">
        <v>733</v>
      </c>
      <c r="K40" s="215"/>
      <c r="L40" s="234"/>
      <c r="M40" s="234"/>
      <c r="N40" s="234"/>
      <c r="O40" s="218">
        <v>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19">
        <v>1112</v>
      </c>
      <c r="C41" s="230" t="s">
        <v>689</v>
      </c>
      <c r="D41" s="231" t="s">
        <v>883</v>
      </c>
      <c r="E41" s="215" t="s">
        <v>166</v>
      </c>
      <c r="F41" s="231" t="s">
        <v>696</v>
      </c>
      <c r="G41" s="232" t="s">
        <v>743</v>
      </c>
      <c r="H41" s="215" t="s">
        <v>164</v>
      </c>
      <c r="I41" s="215" t="s">
        <v>165</v>
      </c>
      <c r="J41" s="215" t="s">
        <v>733</v>
      </c>
      <c r="K41" s="215"/>
      <c r="L41" s="234"/>
      <c r="M41" s="234"/>
      <c r="N41" s="234"/>
      <c r="O41" s="218">
        <v>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319">
        <v>1215</v>
      </c>
      <c r="C42" s="318" t="s">
        <v>707</v>
      </c>
      <c r="D42" s="304" t="s">
        <v>816</v>
      </c>
      <c r="E42" s="305" t="s">
        <v>750</v>
      </c>
      <c r="F42" s="304" t="s">
        <v>696</v>
      </c>
      <c r="G42" s="381" t="s">
        <v>819</v>
      </c>
      <c r="H42" s="215" t="s">
        <v>164</v>
      </c>
      <c r="I42" s="215" t="s">
        <v>165</v>
      </c>
      <c r="J42" s="233" t="s">
        <v>189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319">
        <v>911</v>
      </c>
      <c r="C43" s="230" t="s">
        <v>689</v>
      </c>
      <c r="D43" s="304" t="s">
        <v>809</v>
      </c>
      <c r="E43" s="215"/>
      <c r="F43" s="304" t="s">
        <v>690</v>
      </c>
      <c r="G43" s="232" t="s">
        <v>721</v>
      </c>
      <c r="H43" s="215" t="s">
        <v>164</v>
      </c>
      <c r="I43" s="215" t="s">
        <v>165</v>
      </c>
      <c r="J43" s="233" t="s">
        <v>733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319">
        <v>615</v>
      </c>
      <c r="C44" s="318" t="s">
        <v>81</v>
      </c>
      <c r="D44" s="231" t="s">
        <v>791</v>
      </c>
      <c r="E44" s="305"/>
      <c r="F44" s="231" t="s">
        <v>696</v>
      </c>
      <c r="G44" s="232" t="s">
        <v>743</v>
      </c>
      <c r="H44" s="215" t="s">
        <v>164</v>
      </c>
      <c r="I44" s="215" t="s">
        <v>165</v>
      </c>
      <c r="J44" s="233" t="s">
        <v>713</v>
      </c>
      <c r="K44" s="215"/>
      <c r="L44" s="234"/>
      <c r="M44" s="234"/>
      <c r="N44" s="234"/>
      <c r="O44" s="220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319">
        <v>307</v>
      </c>
      <c r="C45" s="380" t="s">
        <v>52</v>
      </c>
      <c r="D45" s="304" t="s">
        <v>594</v>
      </c>
      <c r="E45" s="371"/>
      <c r="F45" s="360" t="s">
        <v>55</v>
      </c>
      <c r="G45" s="395" t="s">
        <v>200</v>
      </c>
      <c r="H45" s="215" t="s">
        <v>164</v>
      </c>
      <c r="I45" s="215" t="s">
        <v>165</v>
      </c>
      <c r="J45" s="233" t="s">
        <v>193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319">
        <v>1011</v>
      </c>
      <c r="C46" s="230" t="s">
        <v>414</v>
      </c>
      <c r="D46" s="231" t="s">
        <v>415</v>
      </c>
      <c r="E46" s="215" t="s">
        <v>166</v>
      </c>
      <c r="F46" s="231" t="s">
        <v>158</v>
      </c>
      <c r="G46" s="232" t="s">
        <v>172</v>
      </c>
      <c r="H46" s="215" t="s">
        <v>164</v>
      </c>
      <c r="I46" s="215" t="s">
        <v>165</v>
      </c>
      <c r="J46" s="233" t="s">
        <v>189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319">
        <v>811</v>
      </c>
      <c r="C47" s="230" t="s">
        <v>81</v>
      </c>
      <c r="D47" s="231" t="s">
        <v>361</v>
      </c>
      <c r="E47" s="215"/>
      <c r="F47" s="231" t="s">
        <v>158</v>
      </c>
      <c r="G47" s="232" t="s">
        <v>175</v>
      </c>
      <c r="H47" s="215" t="s">
        <v>164</v>
      </c>
      <c r="I47" s="215" t="s">
        <v>165</v>
      </c>
      <c r="J47" s="233" t="s">
        <v>189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319">
        <v>1114</v>
      </c>
      <c r="C48" s="230" t="s">
        <v>81</v>
      </c>
      <c r="D48" s="444" t="s">
        <v>373</v>
      </c>
      <c r="E48" s="215"/>
      <c r="F48" s="231" t="s">
        <v>159</v>
      </c>
      <c r="G48" s="232" t="s">
        <v>375</v>
      </c>
      <c r="H48" s="215" t="s">
        <v>164</v>
      </c>
      <c r="I48" s="215" t="s">
        <v>165</v>
      </c>
      <c r="J48" s="233" t="s">
        <v>189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91">
        <v>705</v>
      </c>
      <c r="C49" s="230" t="s">
        <v>686</v>
      </c>
      <c r="D49" s="231" t="s">
        <v>756</v>
      </c>
      <c r="E49" s="215" t="s">
        <v>166</v>
      </c>
      <c r="F49" s="231" t="s">
        <v>751</v>
      </c>
      <c r="G49" s="232" t="s">
        <v>762</v>
      </c>
      <c r="H49" s="215" t="s">
        <v>738</v>
      </c>
      <c r="I49" s="215" t="s">
        <v>749</v>
      </c>
      <c r="J49" s="278" t="s">
        <v>691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6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501"/>
      <c r="C50" s="334"/>
      <c r="D50" s="335"/>
      <c r="E50" s="336"/>
      <c r="F50" s="335"/>
      <c r="G50" s="337"/>
      <c r="H50" s="336"/>
      <c r="I50" s="33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363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363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1</v>
      </c>
      <c r="AQ53" s="742">
        <f>SUMIF($C$8:$C$72, "워크인", $L$8:$L$72)+SUMIF($C$8:$C$72, "워크인", $M$8:$M$72)+SUMIF($C$8:$C$72, "워크인", $N$8:$N$72)+SUMIF($C$8:$C$72, "워크인", $O$8:$O$72)</f>
        <v>70000</v>
      </c>
      <c r="AR53" s="743"/>
      <c r="AS53" s="744">
        <f>SUM(AN53+AQ53)</f>
        <v>70000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6</v>
      </c>
      <c r="BB54" s="681"/>
      <c r="BC54" s="679">
        <f>AZ24</f>
        <v>12000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6</v>
      </c>
      <c r="BB55" s="681"/>
      <c r="BC55" s="679">
        <f>SUM(BC53:BE54)</f>
        <v>12000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1</v>
      </c>
      <c r="AQ58" s="714">
        <f>SUM(AQ53:AR57)</f>
        <v>70000</v>
      </c>
      <c r="AR58" s="714"/>
      <c r="AS58" s="715">
        <f>SUM(AS53:AT57)</f>
        <v>70000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11</v>
      </c>
      <c r="AQ60" s="56">
        <f>SUMIF($C$8:$C$72, $AK60, $L$8:$L$72)+SUMIF($C$8:$C$72, $AK60, $M$8:$M$72)+SUMIF($C$8:$C$72, $AK60, $N$8:$N$72)+SUMIF($C$8:$C$72, $AK60, $O$8:$O$72)</f>
        <v>615000</v>
      </c>
      <c r="AR60" s="57">
        <f>AQ60*0.9</f>
        <v>553500</v>
      </c>
      <c r="AS60" s="58">
        <f t="shared" ref="AS60:AS70" si="4">SUM(AN60+AQ60)</f>
        <v>615000</v>
      </c>
      <c r="AT60" s="59">
        <f t="shared" ref="AT60:AT70" si="5">AO60+AR60</f>
        <v>553500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6</v>
      </c>
      <c r="AQ61" s="56">
        <f t="shared" ref="AQ61:AQ70" si="8">SUMIF($C$8:$C$72, $AK61, $L$8:$L$72)+SUMIF($C$8:$C$72, $AK61, $M$8:$M$72)+SUMIF($C$8:$C$72, $AK61, $N$8:$N$72)+SUMIF($C$8:$C$72, $AK61, $O$8:$O$72)</f>
        <v>185000</v>
      </c>
      <c r="AR61" s="57">
        <f t="shared" ref="AR61:AR70" si="9">AQ61*0.9</f>
        <v>166500</v>
      </c>
      <c r="AS61" s="58">
        <f t="shared" si="4"/>
        <v>185000</v>
      </c>
      <c r="AT61" s="59">
        <f t="shared" si="5"/>
        <v>166500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0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7</v>
      </c>
      <c r="AQ66" s="56">
        <f t="shared" si="8"/>
        <v>497550</v>
      </c>
      <c r="AR66" s="57">
        <f t="shared" si="9"/>
        <v>447795</v>
      </c>
      <c r="AS66" s="58">
        <f t="shared" si="4"/>
        <v>497550</v>
      </c>
      <c r="AT66" s="59">
        <f t="shared" si="5"/>
        <v>447795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4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/>
      <c r="D68" s="230"/>
      <c r="E68" s="412"/>
      <c r="F68" s="215"/>
      <c r="G68" s="215"/>
      <c r="H68" s="215"/>
      <c r="I68" s="215"/>
      <c r="J68" s="215"/>
      <c r="K68" s="215"/>
      <c r="L68" s="234"/>
      <c r="M68" s="234"/>
      <c r="N68" s="234"/>
      <c r="O68" s="218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2</v>
      </c>
      <c r="AQ68" s="56">
        <f t="shared" si="8"/>
        <v>212288</v>
      </c>
      <c r="AR68" s="57">
        <f t="shared" si="9"/>
        <v>191059.20000000001</v>
      </c>
      <c r="AS68" s="58">
        <f t="shared" si="4"/>
        <v>212288</v>
      </c>
      <c r="AT68" s="59">
        <f t="shared" si="5"/>
        <v>191059.20000000001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1651338</v>
      </c>
      <c r="BD68" s="656"/>
      <c r="BE68" s="655"/>
    </row>
    <row r="69" spans="1:57" ht="64.5" customHeight="1" x14ac:dyDescent="0.3">
      <c r="A69" s="659"/>
      <c r="B69" s="660"/>
      <c r="C69" s="230"/>
      <c r="D69" s="231"/>
      <c r="E69" s="215"/>
      <c r="F69" s="231"/>
      <c r="G69" s="232"/>
      <c r="H69" s="215"/>
      <c r="I69" s="215"/>
      <c r="J69" s="233"/>
      <c r="K69" s="215"/>
      <c r="L69" s="234"/>
      <c r="M69" s="234"/>
      <c r="N69" s="234"/>
      <c r="O69" s="218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1</v>
      </c>
      <c r="AQ69" s="56">
        <f t="shared" si="8"/>
        <v>71500</v>
      </c>
      <c r="AR69" s="57">
        <f t="shared" si="9"/>
        <v>64350</v>
      </c>
      <c r="AS69" s="58">
        <f t="shared" si="4"/>
        <v>71500</v>
      </c>
      <c r="AT69" s="59">
        <f t="shared" si="5"/>
        <v>64350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30"/>
      <c r="D70" s="231"/>
      <c r="E70" s="231"/>
      <c r="F70" s="215"/>
      <c r="G70" s="231"/>
      <c r="H70" s="232"/>
      <c r="I70" s="215"/>
      <c r="J70" s="215"/>
      <c r="K70" s="215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12000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1923338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32</v>
      </c>
      <c r="AQ73" s="22">
        <f t="shared" si="10"/>
        <v>1581338</v>
      </c>
      <c r="AR73" s="23">
        <f t="shared" si="10"/>
        <v>1423204.2</v>
      </c>
      <c r="AS73" s="24">
        <f t="shared" si="10"/>
        <v>1581338</v>
      </c>
      <c r="AT73" s="25">
        <f t="shared" si="10"/>
        <v>1423204.2</v>
      </c>
      <c r="AU73" s="692" t="s">
        <v>58</v>
      </c>
      <c r="AV73" s="693"/>
      <c r="AW73" s="693"/>
      <c r="AX73" s="693"/>
      <c r="AY73" s="694"/>
      <c r="AZ73" s="695">
        <f>AS58+AT73</f>
        <v>1493204.2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1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70">
    <cfRule type="cellIs" dxfId="335" priority="1" operator="equal">
      <formula>"여기어때"</formula>
    </cfRule>
    <cfRule type="cellIs" dxfId="334" priority="2" operator="equal">
      <formula>"야놀자"</formula>
    </cfRule>
  </conditionalFormatting>
  <conditionalFormatting sqref="D68">
    <cfRule type="cellIs" dxfId="333" priority="259" operator="equal">
      <formula>"여기어때"</formula>
    </cfRule>
    <cfRule type="cellIs" dxfId="332" priority="260" operator="equal">
      <formula>"야놀자"</formula>
    </cfRule>
  </conditionalFormatting>
  <conditionalFormatting sqref="R8:R66">
    <cfRule type="cellIs" dxfId="331" priority="313" operator="equal">
      <formula>"여기어때"</formula>
    </cfRule>
    <cfRule type="cellIs" dxfId="330" priority="314" operator="equal">
      <formula>"야놀자"</formula>
    </cfRule>
  </conditionalFormatting>
  <conditionalFormatting sqref="R73">
    <cfRule type="cellIs" dxfId="329" priority="315" operator="equal">
      <formula>"여기어때"</formula>
    </cfRule>
    <cfRule type="cellIs" dxfId="328" priority="316" operator="equal">
      <formula>"야놀자"</formula>
    </cfRule>
  </conditionalFormatting>
  <conditionalFormatting sqref="AL30:AM30">
    <cfRule type="cellIs" dxfId="327" priority="300" operator="greaterThan">
      <formula>$AL$29</formula>
    </cfRule>
    <cfRule type="cellIs" dxfId="326" priority="308" operator="equal">
      <formula>$AL$29</formula>
    </cfRule>
  </conditionalFormatting>
  <conditionalFormatting sqref="AN30:AO30">
    <cfRule type="cellIs" dxfId="325" priority="299" operator="greaterThan">
      <formula>$AN$29</formula>
    </cfRule>
    <cfRule type="cellIs" dxfId="324" priority="307" operator="equal">
      <formula>$AN$29</formula>
    </cfRule>
  </conditionalFormatting>
  <conditionalFormatting sqref="AP30:AQ30">
    <cfRule type="cellIs" dxfId="323" priority="298" operator="greaterThan">
      <formula>$AP$29</formula>
    </cfRule>
    <cfRule type="cellIs" dxfId="322" priority="306" operator="equal">
      <formula>$AP$29</formula>
    </cfRule>
  </conditionalFormatting>
  <conditionalFormatting sqref="AR30">
    <cfRule type="cellIs" dxfId="321" priority="297" operator="greaterThan">
      <formula>$AR$29</formula>
    </cfRule>
    <cfRule type="cellIs" dxfId="320" priority="305" operator="equal">
      <formula>$AR$29</formula>
    </cfRule>
  </conditionalFormatting>
  <conditionalFormatting sqref="AS30:AT30">
    <cfRule type="cellIs" dxfId="319" priority="296" operator="greaterThan">
      <formula>$AS$29</formula>
    </cfRule>
    <cfRule type="cellIs" dxfId="318" priority="304" operator="equal">
      <formula>$AS$29</formula>
    </cfRule>
  </conditionalFormatting>
  <conditionalFormatting sqref="AU30:AV30">
    <cfRule type="cellIs" dxfId="317" priority="295" operator="greaterThan">
      <formula>$AU$29</formula>
    </cfRule>
    <cfRule type="cellIs" dxfId="316" priority="303" operator="equal">
      <formula>$AU$29</formula>
    </cfRule>
  </conditionalFormatting>
  <conditionalFormatting sqref="AW30">
    <cfRule type="cellIs" dxfId="315" priority="294" operator="greaterThan">
      <formula>$AW$29</formula>
    </cfRule>
    <cfRule type="cellIs" dxfId="314" priority="302" operator="equal">
      <formula>$AW$29</formula>
    </cfRule>
  </conditionalFormatting>
  <conditionalFormatting sqref="AX30:AY30">
    <cfRule type="cellIs" dxfId="313" priority="293" operator="greaterThan">
      <formula>$AX$29</formula>
    </cfRule>
    <cfRule type="cellIs" dxfId="312" priority="301" operator="equal">
      <formula>$AX$29</formula>
    </cfRule>
  </conditionalFormatting>
  <dataValidations count="1">
    <dataValidation type="list" allowBlank="1" showInputMessage="1" showErrorMessage="1" sqref="A8:A67 C71:C73 C75:C76 P8:P67" xr:uid="{92F6466D-BEBD-43F9-A625-80A2B1E544E3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rowBreaks count="1" manualBreakCount="1">
    <brk id="46" max="16383" man="1"/>
  </rowBreaks>
  <colBreaks count="1" manualBreakCount="1">
    <brk id="9" max="1048575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83FF-A030-422A-B11A-2453A444DE12}">
  <sheetPr codeName="Sheet19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56" activePane="bottomLeft" state="frozen"/>
      <selection activeCell="C8" sqref="C8"/>
      <selection pane="bottomLeft" activeCell="O52" sqref="O52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45919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5355610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38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401500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'19'!AA1</f>
        <v>45919</v>
      </c>
      <c r="AM2" s="863"/>
      <c r="AN2" s="863"/>
      <c r="AO2" s="864"/>
      <c r="AP2" s="865" t="s">
        <v>10</v>
      </c>
      <c r="AQ2" s="866"/>
      <c r="AR2" s="866"/>
      <c r="AS2" s="863">
        <f>AA1+1</f>
        <v>45920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5355610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403500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8</v>
      </c>
      <c r="O4" s="299">
        <f>SUM(COUNTIF(B8:B67,{201,202,203,205,206,207,208,209,506,507,508,509,601,602,603,605,606,607,608,609}))</f>
        <v>1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1</v>
      </c>
      <c r="F6" s="356">
        <f>AR31</f>
        <v>0</v>
      </c>
      <c r="G6" s="356">
        <f>AS31</f>
        <v>1</v>
      </c>
      <c r="H6" s="356">
        <f>AU31</f>
        <v>1</v>
      </c>
      <c r="I6" s="356">
        <f>AW31</f>
        <v>1</v>
      </c>
      <c r="J6" s="356">
        <f>AX31</f>
        <v>0</v>
      </c>
      <c r="K6" s="606"/>
      <c r="L6" s="607"/>
      <c r="M6" s="356"/>
      <c r="N6" s="606">
        <f>C6+D6+E6+F6+G6+H6+I6+J6+K6</f>
        <v>4</v>
      </c>
      <c r="O6" s="602"/>
      <c r="P6" s="599">
        <f>C2</f>
        <v>5355610</v>
      </c>
      <c r="Q6" s="600"/>
      <c r="R6" s="300">
        <f>AN14+AN15</f>
        <v>2000</v>
      </c>
      <c r="S6" s="300">
        <f>AZ14+AZ15</f>
        <v>0</v>
      </c>
      <c r="T6" s="300">
        <f>AR14+AR15</f>
        <v>101000</v>
      </c>
      <c r="U6" s="609">
        <f>AS60</f>
        <v>1865000</v>
      </c>
      <c r="V6" s="600"/>
      <c r="W6" s="609">
        <f>AS61</f>
        <v>960000</v>
      </c>
      <c r="X6" s="600"/>
      <c r="Y6" s="609">
        <f>AS62</f>
        <v>0</v>
      </c>
      <c r="Z6" s="600"/>
      <c r="AA6" s="300">
        <f>AS63</f>
        <v>0</v>
      </c>
      <c r="AB6" s="300">
        <f>AS66</f>
        <v>924750</v>
      </c>
      <c r="AC6" s="300">
        <f>AS67</f>
        <v>1155195</v>
      </c>
      <c r="AD6" s="300">
        <f>SUMIFS(O7:O47,C7:C47,"트립")</f>
        <v>0</v>
      </c>
      <c r="AE6" s="300">
        <f>AS65</f>
        <v>254165</v>
      </c>
      <c r="AF6" s="300">
        <f>AS69</f>
        <v>0</v>
      </c>
      <c r="AG6" s="300">
        <f>AS70</f>
        <v>93500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1214</v>
      </c>
      <c r="C8" s="230" t="s">
        <v>207</v>
      </c>
      <c r="D8" s="231" t="s">
        <v>218</v>
      </c>
      <c r="E8" s="215" t="s">
        <v>363</v>
      </c>
      <c r="F8" s="231" t="s">
        <v>159</v>
      </c>
      <c r="G8" s="232" t="s">
        <v>212</v>
      </c>
      <c r="H8" s="215" t="s">
        <v>219</v>
      </c>
      <c r="I8" s="215" t="s">
        <v>220</v>
      </c>
      <c r="J8" s="233" t="s">
        <v>221</v>
      </c>
      <c r="K8" s="215"/>
      <c r="L8" s="234"/>
      <c r="M8" s="234"/>
      <c r="N8" s="234"/>
      <c r="O8" s="218">
        <v>85000</v>
      </c>
      <c r="P8" s="228">
        <v>1</v>
      </c>
      <c r="Q8" s="229"/>
      <c r="R8" s="230"/>
      <c r="S8" s="231"/>
      <c r="T8" s="215"/>
      <c r="U8" s="231"/>
      <c r="V8" s="215"/>
      <c r="W8" s="215"/>
      <c r="X8" s="233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319">
        <v>809</v>
      </c>
      <c r="C9" s="230" t="s">
        <v>74</v>
      </c>
      <c r="D9" s="251" t="s">
        <v>329</v>
      </c>
      <c r="E9" s="215" t="s">
        <v>802</v>
      </c>
      <c r="F9" s="231" t="s">
        <v>167</v>
      </c>
      <c r="G9" s="232" t="s">
        <v>163</v>
      </c>
      <c r="H9" s="215" t="s">
        <v>164</v>
      </c>
      <c r="I9" s="215" t="s">
        <v>165</v>
      </c>
      <c r="J9" s="233" t="s">
        <v>247</v>
      </c>
      <c r="K9" s="215"/>
      <c r="L9" s="234"/>
      <c r="M9" s="234"/>
      <c r="N9" s="234"/>
      <c r="O9" s="218">
        <v>85000</v>
      </c>
      <c r="P9" s="228">
        <v>2</v>
      </c>
      <c r="Q9" s="229"/>
      <c r="R9" s="230"/>
      <c r="S9" s="231"/>
      <c r="T9" s="215"/>
      <c r="U9" s="231"/>
      <c r="V9" s="215"/>
      <c r="W9" s="215"/>
      <c r="X9" s="233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319">
        <v>305</v>
      </c>
      <c r="C10" s="230" t="s">
        <v>70</v>
      </c>
      <c r="D10" s="231" t="s">
        <v>348</v>
      </c>
      <c r="E10" s="215"/>
      <c r="F10" s="231" t="s">
        <v>55</v>
      </c>
      <c r="G10" s="232" t="s">
        <v>163</v>
      </c>
      <c r="H10" s="215" t="s">
        <v>164</v>
      </c>
      <c r="I10" s="215" t="s">
        <v>165</v>
      </c>
      <c r="J10" s="233" t="s">
        <v>247</v>
      </c>
      <c r="K10" s="238"/>
      <c r="L10" s="234"/>
      <c r="M10" s="234"/>
      <c r="N10" s="234"/>
      <c r="O10" s="218">
        <v>86700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3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38</v>
      </c>
      <c r="AU10" s="625"/>
      <c r="AV10" s="625">
        <f>SUM(O8:O67)</f>
        <v>5252610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38</v>
      </c>
      <c r="BC10" s="799"/>
      <c r="BD10" s="800">
        <f>SUM(AN10+AR10+AV10+AZ10)</f>
        <v>5252610</v>
      </c>
      <c r="BE10" s="801"/>
    </row>
    <row r="11" spans="1:58" ht="64.5" customHeight="1" x14ac:dyDescent="0.3">
      <c r="A11" s="228">
        <v>4</v>
      </c>
      <c r="B11" s="319">
        <v>1216</v>
      </c>
      <c r="C11" s="230" t="s">
        <v>73</v>
      </c>
      <c r="D11" s="251" t="s">
        <v>351</v>
      </c>
      <c r="E11" s="215" t="s">
        <v>166</v>
      </c>
      <c r="F11" s="231" t="s">
        <v>696</v>
      </c>
      <c r="G11" s="232" t="s">
        <v>163</v>
      </c>
      <c r="H11" s="215" t="s">
        <v>164</v>
      </c>
      <c r="I11" s="215" t="s">
        <v>165</v>
      </c>
      <c r="J11" s="233" t="s">
        <v>247</v>
      </c>
      <c r="K11" s="215"/>
      <c r="L11" s="234"/>
      <c r="M11" s="234"/>
      <c r="N11" s="234"/>
      <c r="O11" s="218">
        <v>80000</v>
      </c>
      <c r="P11" s="228">
        <v>4</v>
      </c>
      <c r="Q11" s="229"/>
      <c r="R11" s="230"/>
      <c r="S11" s="231"/>
      <c r="T11" s="215"/>
      <c r="U11" s="231"/>
      <c r="V11" s="215"/>
      <c r="W11" s="215"/>
      <c r="X11" s="233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911</v>
      </c>
      <c r="C12" s="230" t="s">
        <v>70</v>
      </c>
      <c r="D12" s="502" t="s">
        <v>442</v>
      </c>
      <c r="E12" s="215"/>
      <c r="F12" s="231" t="s">
        <v>158</v>
      </c>
      <c r="G12" s="232" t="s">
        <v>163</v>
      </c>
      <c r="H12" s="215" t="s">
        <v>164</v>
      </c>
      <c r="I12" s="215" t="s">
        <v>165</v>
      </c>
      <c r="J12" s="233" t="s">
        <v>247</v>
      </c>
      <c r="K12" s="215"/>
      <c r="L12" s="234"/>
      <c r="M12" s="234"/>
      <c r="N12" s="234"/>
      <c r="O12" s="218">
        <v>173400</v>
      </c>
      <c r="P12" s="228">
        <v>5</v>
      </c>
      <c r="Q12" s="229"/>
      <c r="R12" s="230"/>
      <c r="S12" s="231"/>
      <c r="T12" s="215"/>
      <c r="U12" s="231"/>
      <c r="V12" s="215"/>
      <c r="W12" s="215"/>
      <c r="X12" s="233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3</v>
      </c>
      <c r="AQ12" s="785"/>
      <c r="AR12" s="784">
        <f>SUM(M68:M76)</f>
        <v>95000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3</v>
      </c>
      <c r="BC12" s="785"/>
      <c r="BD12" s="780">
        <f>SUM(AN12+AR12+AV12+AZ12)</f>
        <v>95000</v>
      </c>
      <c r="BE12" s="781"/>
    </row>
    <row r="13" spans="1:58" ht="64.5" customHeight="1" x14ac:dyDescent="0.3">
      <c r="A13" s="228">
        <v>6</v>
      </c>
      <c r="B13" s="319">
        <v>811</v>
      </c>
      <c r="C13" s="230" t="s">
        <v>70</v>
      </c>
      <c r="D13" s="502" t="s">
        <v>1039</v>
      </c>
      <c r="E13" s="215"/>
      <c r="F13" s="231" t="s">
        <v>158</v>
      </c>
      <c r="G13" s="232" t="s">
        <v>163</v>
      </c>
      <c r="H13" s="215" t="s">
        <v>164</v>
      </c>
      <c r="I13" s="215" t="s">
        <v>165</v>
      </c>
      <c r="J13" s="233" t="s">
        <v>247</v>
      </c>
      <c r="K13" s="215"/>
      <c r="L13" s="234"/>
      <c r="M13" s="234"/>
      <c r="N13" s="234"/>
      <c r="O13" s="218">
        <v>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3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19">
        <v>805</v>
      </c>
      <c r="C14" s="230" t="s">
        <v>73</v>
      </c>
      <c r="D14" s="251" t="s">
        <v>449</v>
      </c>
      <c r="E14" s="215" t="s">
        <v>714</v>
      </c>
      <c r="F14" s="231" t="s">
        <v>167</v>
      </c>
      <c r="G14" s="232" t="s">
        <v>163</v>
      </c>
      <c r="H14" s="215" t="s">
        <v>164</v>
      </c>
      <c r="I14" s="215" t="s">
        <v>165</v>
      </c>
      <c r="J14" s="215" t="s">
        <v>190</v>
      </c>
      <c r="K14" s="215"/>
      <c r="L14" s="234"/>
      <c r="M14" s="234"/>
      <c r="N14" s="234"/>
      <c r="O14" s="218">
        <v>85000</v>
      </c>
      <c r="P14" s="228">
        <v>7</v>
      </c>
      <c r="Q14" s="229"/>
      <c r="R14" s="230"/>
      <c r="S14" s="231"/>
      <c r="T14" s="231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95000</v>
      </c>
      <c r="AS14" s="653"/>
      <c r="AT14" s="653">
        <f t="shared" ref="AT14" si="1">SUM(AT10:AU11)</f>
        <v>38</v>
      </c>
      <c r="AU14" s="653"/>
      <c r="AV14" s="653">
        <f>SUM(AV10:AW13)</f>
        <v>5252610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38</v>
      </c>
      <c r="BC14" s="655"/>
      <c r="BD14" s="782">
        <f>SUM(BD10:BE13)</f>
        <v>5347610</v>
      </c>
      <c r="BE14" s="783"/>
    </row>
    <row r="15" spans="1:58" ht="64.5" customHeight="1" thickBot="1" x14ac:dyDescent="0.35">
      <c r="A15" s="228">
        <v>8</v>
      </c>
      <c r="B15" s="319">
        <v>309</v>
      </c>
      <c r="C15" s="230" t="s">
        <v>73</v>
      </c>
      <c r="D15" s="251" t="s">
        <v>465</v>
      </c>
      <c r="E15" s="215"/>
      <c r="F15" s="231" t="s">
        <v>55</v>
      </c>
      <c r="G15" s="232" t="s">
        <v>171</v>
      </c>
      <c r="H15" s="215" t="s">
        <v>164</v>
      </c>
      <c r="I15" s="215" t="s">
        <v>165</v>
      </c>
      <c r="J15" s="215" t="s">
        <v>190</v>
      </c>
      <c r="K15" s="215"/>
      <c r="L15" s="234"/>
      <c r="M15" s="234"/>
      <c r="N15" s="234"/>
      <c r="O15" s="218">
        <v>210000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3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3</v>
      </c>
      <c r="AQ15" s="633"/>
      <c r="AR15" s="632">
        <f>AR24</f>
        <v>6000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4</v>
      </c>
      <c r="BC15" s="633"/>
      <c r="BD15" s="776">
        <f>SUM(AN15+AR15+AV15+AZ15)</f>
        <v>8000</v>
      </c>
      <c r="BE15" s="777"/>
    </row>
    <row r="16" spans="1:58" ht="64.5" customHeight="1" thickBot="1" x14ac:dyDescent="0.35">
      <c r="A16" s="228">
        <v>9</v>
      </c>
      <c r="B16" s="319">
        <v>609</v>
      </c>
      <c r="C16" s="230" t="s">
        <v>70</v>
      </c>
      <c r="D16" s="502" t="s">
        <v>517</v>
      </c>
      <c r="E16" s="215" t="s">
        <v>714</v>
      </c>
      <c r="F16" s="231" t="s">
        <v>167</v>
      </c>
      <c r="G16" s="232" t="s">
        <v>171</v>
      </c>
      <c r="H16" s="215" t="s">
        <v>164</v>
      </c>
      <c r="I16" s="215" t="s">
        <v>165</v>
      </c>
      <c r="J16" s="233" t="s">
        <v>189</v>
      </c>
      <c r="K16" s="215" t="s">
        <v>1049</v>
      </c>
      <c r="L16" s="509"/>
      <c r="M16" s="234"/>
      <c r="N16" s="234"/>
      <c r="O16" s="218">
        <v>214200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3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5355610</v>
      </c>
      <c r="BE16" s="652"/>
      <c r="BF16" s="10"/>
    </row>
    <row r="17" spans="1:62" ht="64.5" customHeight="1" thickBot="1" x14ac:dyDescent="0.35">
      <c r="A17" s="228">
        <v>10</v>
      </c>
      <c r="B17" s="319">
        <v>409</v>
      </c>
      <c r="C17" s="230" t="s">
        <v>70</v>
      </c>
      <c r="D17" s="231" t="s">
        <v>538</v>
      </c>
      <c r="E17" s="215" t="s">
        <v>714</v>
      </c>
      <c r="F17" s="231" t="s">
        <v>167</v>
      </c>
      <c r="G17" s="232" t="s">
        <v>171</v>
      </c>
      <c r="H17" s="215" t="s">
        <v>164</v>
      </c>
      <c r="I17" s="215" t="s">
        <v>165</v>
      </c>
      <c r="J17" s="233" t="s">
        <v>247</v>
      </c>
      <c r="K17" s="215" t="s">
        <v>1049</v>
      </c>
      <c r="L17" s="234"/>
      <c r="M17" s="234"/>
      <c r="N17" s="234"/>
      <c r="O17" s="218">
        <v>214200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19">
        <v>713</v>
      </c>
      <c r="C18" s="230" t="s">
        <v>73</v>
      </c>
      <c r="D18" s="231" t="s">
        <v>572</v>
      </c>
      <c r="E18" s="215" t="s">
        <v>166</v>
      </c>
      <c r="F18" s="231" t="s">
        <v>696</v>
      </c>
      <c r="G18" s="232" t="s">
        <v>171</v>
      </c>
      <c r="H18" s="215" t="s">
        <v>164</v>
      </c>
      <c r="I18" s="215" t="s">
        <v>165</v>
      </c>
      <c r="J18" s="233" t="s">
        <v>247</v>
      </c>
      <c r="K18" s="215"/>
      <c r="L18" s="234"/>
      <c r="M18" s="234"/>
      <c r="N18" s="234"/>
      <c r="O18" s="218">
        <v>200000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3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19">
        <v>1210</v>
      </c>
      <c r="C19" s="230" t="s">
        <v>81</v>
      </c>
      <c r="D19" s="456" t="s">
        <v>1020</v>
      </c>
      <c r="E19" s="215"/>
      <c r="F19" s="215" t="s">
        <v>161</v>
      </c>
      <c r="G19" s="232" t="s">
        <v>173</v>
      </c>
      <c r="H19" s="215" t="s">
        <v>164</v>
      </c>
      <c r="I19" s="215" t="s">
        <v>165</v>
      </c>
      <c r="J19" s="233" t="s">
        <v>247</v>
      </c>
      <c r="K19" s="215"/>
      <c r="L19" s="234"/>
      <c r="M19" s="234"/>
      <c r="N19" s="234"/>
      <c r="O19" s="218">
        <v>291086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3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76">
        <v>702</v>
      </c>
      <c r="C20" s="230" t="s">
        <v>81</v>
      </c>
      <c r="D20" s="231" t="s">
        <v>576</v>
      </c>
      <c r="E20" s="215" t="s">
        <v>955</v>
      </c>
      <c r="F20" s="231" t="s">
        <v>956</v>
      </c>
      <c r="G20" s="232" t="s">
        <v>171</v>
      </c>
      <c r="H20" s="215" t="s">
        <v>164</v>
      </c>
      <c r="I20" s="215" t="s">
        <v>165</v>
      </c>
      <c r="J20" s="215" t="s">
        <v>190</v>
      </c>
      <c r="K20" s="215"/>
      <c r="L20" s="411"/>
      <c r="M20" s="234"/>
      <c r="N20" s="234"/>
      <c r="O20" s="218">
        <v>209209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3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3</v>
      </c>
      <c r="AQ20" s="655"/>
      <c r="AR20" s="654">
        <f>AP20*2000</f>
        <v>6000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4</v>
      </c>
      <c r="AY20" s="647"/>
      <c r="AZ20" s="648">
        <f>SUM(AJ20+AN20+AR20+AV20)</f>
        <v>8000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19">
        <v>1110</v>
      </c>
      <c r="C21" s="230" t="s">
        <v>81</v>
      </c>
      <c r="D21" s="231" t="s">
        <v>613</v>
      </c>
      <c r="E21" s="215" t="s">
        <v>1033</v>
      </c>
      <c r="F21" s="215" t="s">
        <v>161</v>
      </c>
      <c r="G21" s="232" t="s">
        <v>171</v>
      </c>
      <c r="H21" s="215" t="s">
        <v>164</v>
      </c>
      <c r="I21" s="215" t="s">
        <v>165</v>
      </c>
      <c r="J21" s="233" t="s">
        <v>247</v>
      </c>
      <c r="K21" s="238"/>
      <c r="L21" s="234"/>
      <c r="M21" s="234"/>
      <c r="N21" s="234"/>
      <c r="O21" s="218">
        <v>218300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3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19">
        <v>401</v>
      </c>
      <c r="C22" s="230" t="s">
        <v>74</v>
      </c>
      <c r="D22" s="231" t="s">
        <v>913</v>
      </c>
      <c r="E22" s="215"/>
      <c r="F22" s="231" t="s">
        <v>161</v>
      </c>
      <c r="G22" s="232" t="s">
        <v>171</v>
      </c>
      <c r="H22" s="215" t="s">
        <v>164</v>
      </c>
      <c r="I22" s="215" t="s">
        <v>165</v>
      </c>
      <c r="J22" s="233" t="s">
        <v>189</v>
      </c>
      <c r="K22" s="215"/>
      <c r="L22" s="234"/>
      <c r="M22" s="234"/>
      <c r="N22" s="234"/>
      <c r="O22" s="218">
        <v>290000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19">
        <v>307</v>
      </c>
      <c r="C23" s="230" t="s">
        <v>74</v>
      </c>
      <c r="D23" s="251" t="s">
        <v>662</v>
      </c>
      <c r="E23" s="215"/>
      <c r="F23" s="231" t="s">
        <v>55</v>
      </c>
      <c r="G23" s="232" t="s">
        <v>171</v>
      </c>
      <c r="H23" s="215" t="s">
        <v>164</v>
      </c>
      <c r="I23" s="215" t="s">
        <v>165</v>
      </c>
      <c r="J23" s="233" t="s">
        <v>193</v>
      </c>
      <c r="K23" s="215"/>
      <c r="L23" s="234"/>
      <c r="M23" s="234"/>
      <c r="N23" s="234"/>
      <c r="O23" s="218">
        <v>210000</v>
      </c>
      <c r="P23" s="228">
        <v>16</v>
      </c>
      <c r="Q23" s="229"/>
      <c r="R23" s="230"/>
      <c r="S23" s="231"/>
      <c r="T23" s="215"/>
      <c r="U23" s="231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19">
        <v>308</v>
      </c>
      <c r="C24" s="230" t="s">
        <v>135</v>
      </c>
      <c r="D24" s="251" t="s">
        <v>674</v>
      </c>
      <c r="E24" s="215"/>
      <c r="F24" s="231" t="s">
        <v>55</v>
      </c>
      <c r="G24" s="232" t="s">
        <v>171</v>
      </c>
      <c r="H24" s="215" t="s">
        <v>164</v>
      </c>
      <c r="I24" s="215" t="s">
        <v>165</v>
      </c>
      <c r="J24" s="233" t="s">
        <v>189</v>
      </c>
      <c r="K24" s="215"/>
      <c r="L24" s="234"/>
      <c r="M24" s="234"/>
      <c r="N24" s="234"/>
      <c r="O24" s="218">
        <v>254165</v>
      </c>
      <c r="P24" s="228">
        <v>17</v>
      </c>
      <c r="Q24" s="229"/>
      <c r="R24" s="230"/>
      <c r="S24" s="231"/>
      <c r="T24" s="215"/>
      <c r="U24" s="231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3</v>
      </c>
      <c r="AQ24" s="655"/>
      <c r="AR24" s="654">
        <f>SUM(AR20:AS23)</f>
        <v>6000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4</v>
      </c>
      <c r="AY24" s="647"/>
      <c r="AZ24" s="648">
        <f>SUM(AZ20:BA23)</f>
        <v>8000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19">
        <v>1112</v>
      </c>
      <c r="C25" s="230" t="s">
        <v>689</v>
      </c>
      <c r="D25" s="251" t="s">
        <v>697</v>
      </c>
      <c r="E25" s="215" t="s">
        <v>166</v>
      </c>
      <c r="F25" s="231" t="s">
        <v>696</v>
      </c>
      <c r="G25" s="232" t="s">
        <v>688</v>
      </c>
      <c r="H25" s="215" t="s">
        <v>164</v>
      </c>
      <c r="I25" s="215" t="s">
        <v>165</v>
      </c>
      <c r="J25" s="233" t="s">
        <v>189</v>
      </c>
      <c r="K25" s="215"/>
      <c r="L25" s="234"/>
      <c r="M25" s="234"/>
      <c r="N25" s="234"/>
      <c r="O25" s="218">
        <v>80000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19">
        <v>1116</v>
      </c>
      <c r="C26" s="230" t="s">
        <v>686</v>
      </c>
      <c r="D26" s="251" t="s">
        <v>735</v>
      </c>
      <c r="E26" s="215" t="s">
        <v>166</v>
      </c>
      <c r="F26" s="231" t="s">
        <v>696</v>
      </c>
      <c r="G26" s="232" t="s">
        <v>720</v>
      </c>
      <c r="H26" s="215" t="s">
        <v>164</v>
      </c>
      <c r="I26" s="215" t="s">
        <v>165</v>
      </c>
      <c r="J26" s="233" t="s">
        <v>189</v>
      </c>
      <c r="K26" s="215"/>
      <c r="L26" s="234"/>
      <c r="M26" s="234"/>
      <c r="N26" s="234"/>
      <c r="O26" s="218">
        <v>200000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319">
        <v>1115</v>
      </c>
      <c r="C27" s="230" t="s">
        <v>707</v>
      </c>
      <c r="D27" s="251" t="s">
        <v>766</v>
      </c>
      <c r="E27" s="215" t="s">
        <v>363</v>
      </c>
      <c r="F27" s="231" t="s">
        <v>696</v>
      </c>
      <c r="G27" s="232" t="s">
        <v>720</v>
      </c>
      <c r="H27" s="215" t="s">
        <v>164</v>
      </c>
      <c r="I27" s="215" t="s">
        <v>165</v>
      </c>
      <c r="J27" s="233" t="s">
        <v>189</v>
      </c>
      <c r="K27" s="215"/>
      <c r="L27" s="234"/>
      <c r="M27" s="234"/>
      <c r="N27" s="234"/>
      <c r="O27" s="218">
        <v>191027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319">
        <v>1004</v>
      </c>
      <c r="C28" s="230" t="s">
        <v>730</v>
      </c>
      <c r="D28" s="251" t="s">
        <v>794</v>
      </c>
      <c r="E28" s="215" t="s">
        <v>318</v>
      </c>
      <c r="F28" s="231" t="s">
        <v>692</v>
      </c>
      <c r="G28" s="232" t="s">
        <v>688</v>
      </c>
      <c r="H28" s="215" t="s">
        <v>164</v>
      </c>
      <c r="I28" s="215" t="s">
        <v>165</v>
      </c>
      <c r="J28" s="233" t="s">
        <v>189</v>
      </c>
      <c r="K28" s="215"/>
      <c r="L28" s="234"/>
      <c r="M28" s="234"/>
      <c r="N28" s="234"/>
      <c r="O28" s="218">
        <v>93500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319">
        <v>1107</v>
      </c>
      <c r="C29" s="230" t="s">
        <v>707</v>
      </c>
      <c r="D29" s="511" t="s">
        <v>1012</v>
      </c>
      <c r="E29" s="215"/>
      <c r="F29" s="231" t="s">
        <v>716</v>
      </c>
      <c r="G29" s="232" t="s">
        <v>720</v>
      </c>
      <c r="H29" s="215" t="s">
        <v>164</v>
      </c>
      <c r="I29" s="215" t="s">
        <v>165</v>
      </c>
      <c r="J29" s="233" t="s">
        <v>713</v>
      </c>
      <c r="K29" s="215"/>
      <c r="L29" s="234"/>
      <c r="M29" s="234"/>
      <c r="N29" s="234"/>
      <c r="O29" s="218">
        <v>245573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>
        <v>615</v>
      </c>
      <c r="C30" s="230" t="s">
        <v>74</v>
      </c>
      <c r="D30" s="251" t="s">
        <v>889</v>
      </c>
      <c r="E30" s="215" t="s">
        <v>166</v>
      </c>
      <c r="F30" s="231" t="s">
        <v>696</v>
      </c>
      <c r="G30" s="232" t="s">
        <v>720</v>
      </c>
      <c r="H30" s="215" t="s">
        <v>164</v>
      </c>
      <c r="I30" s="215" t="s">
        <v>165</v>
      </c>
      <c r="J30" s="233" t="s">
        <v>886</v>
      </c>
      <c r="K30" s="215"/>
      <c r="L30" s="234"/>
      <c r="M30" s="234"/>
      <c r="N30" s="234"/>
      <c r="O30" s="218">
        <v>250000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9</v>
      </c>
      <c r="AQ30" s="830"/>
      <c r="AR30" s="323">
        <f>COUNTIF(F8:F67,"aD")</f>
        <v>2</v>
      </c>
      <c r="AS30" s="830">
        <f>COUNTIF(F8:F67,"sd")</f>
        <v>10</v>
      </c>
      <c r="AT30" s="830"/>
      <c r="AU30" s="830">
        <f>COUNTIF(F8:F67,"st")</f>
        <v>4</v>
      </c>
      <c r="AV30" s="830"/>
      <c r="AW30" s="324">
        <f>COUNTIF(F8:F67,"v")</f>
        <v>4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>
        <v>715</v>
      </c>
      <c r="C31" s="230" t="s">
        <v>686</v>
      </c>
      <c r="D31" s="251" t="s">
        <v>912</v>
      </c>
      <c r="E31" s="215"/>
      <c r="F31" s="231" t="s">
        <v>751</v>
      </c>
      <c r="G31" s="232" t="s">
        <v>688</v>
      </c>
      <c r="H31" s="215" t="s">
        <v>164</v>
      </c>
      <c r="I31" s="215" t="s">
        <v>165</v>
      </c>
      <c r="J31" s="233" t="s">
        <v>713</v>
      </c>
      <c r="K31" s="215"/>
      <c r="L31" s="234"/>
      <c r="M31" s="234"/>
      <c r="N31" s="234"/>
      <c r="O31" s="218">
        <v>95000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1</v>
      </c>
      <c r="AQ31" s="817"/>
      <c r="AR31" s="322">
        <f>AR29-AR30</f>
        <v>0</v>
      </c>
      <c r="AS31" s="817">
        <f>AS29-AS30</f>
        <v>1</v>
      </c>
      <c r="AT31" s="817"/>
      <c r="AU31" s="817">
        <f>AU29-AU30</f>
        <v>1</v>
      </c>
      <c r="AV31" s="817"/>
      <c r="AW31" s="322">
        <f>AW29-AW30</f>
        <v>1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493">
        <v>406</v>
      </c>
      <c r="C32" s="230" t="s">
        <v>686</v>
      </c>
      <c r="D32" s="251" t="s">
        <v>914</v>
      </c>
      <c r="E32" s="215" t="s">
        <v>916</v>
      </c>
      <c r="F32" s="231" t="s">
        <v>168</v>
      </c>
      <c r="G32" s="232" t="s">
        <v>688</v>
      </c>
      <c r="H32" s="215" t="s">
        <v>164</v>
      </c>
      <c r="I32" s="215" t="s">
        <v>165</v>
      </c>
      <c r="J32" s="233" t="s">
        <v>713</v>
      </c>
      <c r="K32" s="215"/>
      <c r="L32" s="234"/>
      <c r="M32" s="234"/>
      <c r="N32" s="234"/>
      <c r="O32" s="218">
        <v>110000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>
        <v>1208</v>
      </c>
      <c r="C33" s="230" t="s">
        <v>693</v>
      </c>
      <c r="D33" s="251" t="s">
        <v>939</v>
      </c>
      <c r="E33" s="215"/>
      <c r="F33" s="231" t="s">
        <v>55</v>
      </c>
      <c r="G33" s="232" t="s">
        <v>688</v>
      </c>
      <c r="H33" s="215" t="s">
        <v>164</v>
      </c>
      <c r="I33" s="215" t="s">
        <v>165</v>
      </c>
      <c r="J33" s="233" t="s">
        <v>189</v>
      </c>
      <c r="K33" s="215"/>
      <c r="L33" s="234"/>
      <c r="M33" s="234"/>
      <c r="N33" s="234"/>
      <c r="O33" s="218">
        <v>120750</v>
      </c>
      <c r="P33" s="228">
        <v>26</v>
      </c>
      <c r="Q33" s="229"/>
      <c r="R33" s="230"/>
      <c r="S33" s="231"/>
      <c r="T33" s="215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>
        <v>1006</v>
      </c>
      <c r="C34" s="230" t="s">
        <v>971</v>
      </c>
      <c r="D34" s="251" t="s">
        <v>972</v>
      </c>
      <c r="E34" s="215" t="s">
        <v>166</v>
      </c>
      <c r="F34" s="231" t="s">
        <v>167</v>
      </c>
      <c r="G34" s="232" t="s">
        <v>163</v>
      </c>
      <c r="H34" s="215" t="s">
        <v>164</v>
      </c>
      <c r="I34" s="215" t="s">
        <v>165</v>
      </c>
      <c r="J34" s="233" t="s">
        <v>189</v>
      </c>
      <c r="K34" s="215"/>
      <c r="L34" s="234"/>
      <c r="M34" s="234"/>
      <c r="N34" s="234"/>
      <c r="O34" s="218">
        <v>110000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19">
        <v>404</v>
      </c>
      <c r="C35" s="230" t="s">
        <v>971</v>
      </c>
      <c r="D35" s="251" t="s">
        <v>979</v>
      </c>
      <c r="E35" s="215" t="s">
        <v>318</v>
      </c>
      <c r="F35" s="231" t="s">
        <v>977</v>
      </c>
      <c r="G35" s="232" t="s">
        <v>951</v>
      </c>
      <c r="H35" s="215" t="s">
        <v>980</v>
      </c>
      <c r="I35" s="215" t="s">
        <v>981</v>
      </c>
      <c r="J35" s="215" t="s">
        <v>961</v>
      </c>
      <c r="K35" s="215"/>
      <c r="L35" s="234"/>
      <c r="M35" s="234"/>
      <c r="N35" s="234"/>
      <c r="O35" s="218">
        <v>115000</v>
      </c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319">
        <v>501</v>
      </c>
      <c r="C36" s="230" t="s">
        <v>971</v>
      </c>
      <c r="D36" s="251" t="s">
        <v>990</v>
      </c>
      <c r="E36" s="215"/>
      <c r="F36" s="231" t="s">
        <v>991</v>
      </c>
      <c r="G36" s="232" t="s">
        <v>951</v>
      </c>
      <c r="H36" s="215" t="s">
        <v>980</v>
      </c>
      <c r="I36" s="215" t="s">
        <v>981</v>
      </c>
      <c r="J36" s="215" t="s">
        <v>961</v>
      </c>
      <c r="K36" s="215" t="s">
        <v>1049</v>
      </c>
      <c r="L36" s="234"/>
      <c r="M36" s="234"/>
      <c r="N36" s="234"/>
      <c r="O36" s="218">
        <v>140000</v>
      </c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319">
        <v>709</v>
      </c>
      <c r="C37" s="230" t="s">
        <v>1016</v>
      </c>
      <c r="D37" s="251" t="s">
        <v>1054</v>
      </c>
      <c r="E37" s="215" t="s">
        <v>1017</v>
      </c>
      <c r="F37" s="231" t="s">
        <v>956</v>
      </c>
      <c r="G37" s="232" t="s">
        <v>951</v>
      </c>
      <c r="H37" s="215" t="s">
        <v>980</v>
      </c>
      <c r="I37" s="215" t="s">
        <v>981</v>
      </c>
      <c r="J37" s="233" t="s">
        <v>1015</v>
      </c>
      <c r="K37" s="215"/>
      <c r="L37" s="234"/>
      <c r="M37" s="234"/>
      <c r="N37" s="234"/>
      <c r="O37" s="218">
        <v>0</v>
      </c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319">
        <v>1011</v>
      </c>
      <c r="C38" s="230" t="s">
        <v>966</v>
      </c>
      <c r="D38" s="231" t="s">
        <v>1025</v>
      </c>
      <c r="E38" s="215"/>
      <c r="F38" s="231" t="s">
        <v>965</v>
      </c>
      <c r="G38" s="232" t="s">
        <v>951</v>
      </c>
      <c r="H38" s="215" t="s">
        <v>980</v>
      </c>
      <c r="I38" s="215" t="s">
        <v>981</v>
      </c>
      <c r="J38" s="215" t="s">
        <v>961</v>
      </c>
      <c r="K38" s="215"/>
      <c r="L38" s="234"/>
      <c r="M38" s="234"/>
      <c r="N38" s="234"/>
      <c r="O38" s="218">
        <v>115500</v>
      </c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319">
        <v>705</v>
      </c>
      <c r="C39" s="230" t="s">
        <v>1026</v>
      </c>
      <c r="D39" s="231" t="s">
        <v>1027</v>
      </c>
      <c r="E39" s="215"/>
      <c r="F39" s="231" t="s">
        <v>167</v>
      </c>
      <c r="G39" s="232" t="s">
        <v>1028</v>
      </c>
      <c r="H39" s="215" t="s">
        <v>164</v>
      </c>
      <c r="I39" s="215" t="s">
        <v>165</v>
      </c>
      <c r="J39" s="233" t="s">
        <v>1029</v>
      </c>
      <c r="K39" s="215" t="s">
        <v>1046</v>
      </c>
      <c r="L39" s="234"/>
      <c r="M39" s="234"/>
      <c r="N39" s="234"/>
      <c r="O39" s="218">
        <v>130000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19">
        <v>1206</v>
      </c>
      <c r="C40" s="230" t="s">
        <v>1030</v>
      </c>
      <c r="D40" s="231" t="s">
        <v>1031</v>
      </c>
      <c r="E40" s="215"/>
      <c r="F40" s="231" t="s">
        <v>1032</v>
      </c>
      <c r="G40" s="232" t="s">
        <v>1028</v>
      </c>
      <c r="H40" s="215" t="s">
        <v>164</v>
      </c>
      <c r="I40" s="215" t="s">
        <v>165</v>
      </c>
      <c r="J40" s="215" t="s">
        <v>189</v>
      </c>
      <c r="K40" s="215"/>
      <c r="L40" s="234"/>
      <c r="M40" s="234"/>
      <c r="N40" s="234"/>
      <c r="O40" s="218">
        <v>120000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319">
        <v>1111</v>
      </c>
      <c r="C41" s="230" t="s">
        <v>1030</v>
      </c>
      <c r="D41" s="231" t="s">
        <v>1034</v>
      </c>
      <c r="E41" s="215" t="s">
        <v>166</v>
      </c>
      <c r="F41" s="231" t="s">
        <v>1035</v>
      </c>
      <c r="G41" s="232" t="s">
        <v>1028</v>
      </c>
      <c r="H41" s="215" t="s">
        <v>164</v>
      </c>
      <c r="I41" s="215" t="s">
        <v>165</v>
      </c>
      <c r="J41" s="215" t="s">
        <v>189</v>
      </c>
      <c r="K41" s="215"/>
      <c r="L41" s="234"/>
      <c r="M41" s="234"/>
      <c r="N41" s="234"/>
      <c r="O41" s="218">
        <v>100000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319">
        <v>902</v>
      </c>
      <c r="C42" s="230" t="s">
        <v>1026</v>
      </c>
      <c r="D42" s="231" t="s">
        <v>1036</v>
      </c>
      <c r="E42" s="215"/>
      <c r="F42" s="231" t="s">
        <v>1037</v>
      </c>
      <c r="G42" s="331" t="s">
        <v>1028</v>
      </c>
      <c r="H42" s="215" t="s">
        <v>164</v>
      </c>
      <c r="I42" s="215" t="s">
        <v>165</v>
      </c>
      <c r="J42" s="215" t="s">
        <v>189</v>
      </c>
      <c r="K42" s="215"/>
      <c r="L42" s="234"/>
      <c r="M42" s="234"/>
      <c r="N42" s="234"/>
      <c r="O42" s="218">
        <v>130000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331"/>
      <c r="H43" s="215"/>
      <c r="I43" s="215"/>
      <c r="J43" s="217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/>
      <c r="C44" s="230"/>
      <c r="D44" s="231"/>
      <c r="E44" s="215"/>
      <c r="F44" s="231"/>
      <c r="G44" s="331"/>
      <c r="H44" s="215"/>
      <c r="I44" s="215"/>
      <c r="J44" s="217"/>
      <c r="K44" s="215"/>
      <c r="L44" s="234"/>
      <c r="M44" s="234"/>
      <c r="N44" s="234"/>
      <c r="O44" s="218"/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/>
      <c r="C45" s="230"/>
      <c r="D45" s="231"/>
      <c r="E45" s="215"/>
      <c r="F45" s="231"/>
      <c r="G45" s="331"/>
      <c r="H45" s="215"/>
      <c r="I45" s="215"/>
      <c r="J45" s="233"/>
      <c r="K45" s="215"/>
      <c r="L45" s="234"/>
      <c r="M45" s="234"/>
      <c r="N45" s="234"/>
      <c r="O45" s="218"/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/>
      <c r="C46" s="230"/>
      <c r="D46" s="231"/>
      <c r="E46" s="215"/>
      <c r="F46" s="231"/>
      <c r="G46" s="331"/>
      <c r="H46" s="215"/>
      <c r="I46" s="215"/>
      <c r="J46" s="217"/>
      <c r="K46" s="215"/>
      <c r="L46" s="234"/>
      <c r="M46" s="234"/>
      <c r="N46" s="234"/>
      <c r="O46" s="218"/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1215</v>
      </c>
      <c r="C47" s="230" t="s">
        <v>707</v>
      </c>
      <c r="D47" s="304" t="s">
        <v>816</v>
      </c>
      <c r="E47" s="305"/>
      <c r="F47" s="304" t="s">
        <v>159</v>
      </c>
      <c r="G47" s="381" t="s">
        <v>820</v>
      </c>
      <c r="H47" s="215" t="s">
        <v>164</v>
      </c>
      <c r="I47" s="215" t="s">
        <v>165</v>
      </c>
      <c r="J47" s="233" t="s">
        <v>189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906</v>
      </c>
      <c r="C48" s="230" t="s">
        <v>693</v>
      </c>
      <c r="D48" s="231" t="s">
        <v>793</v>
      </c>
      <c r="E48" s="215" t="s">
        <v>802</v>
      </c>
      <c r="F48" s="231" t="s">
        <v>167</v>
      </c>
      <c r="G48" s="232" t="s">
        <v>721</v>
      </c>
      <c r="H48" s="215" t="s">
        <v>164</v>
      </c>
      <c r="I48" s="215" t="s">
        <v>165</v>
      </c>
      <c r="J48" s="215" t="s">
        <v>713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1114</v>
      </c>
      <c r="C49" s="285" t="s">
        <v>707</v>
      </c>
      <c r="D49" s="275" t="s">
        <v>780</v>
      </c>
      <c r="E49" s="276"/>
      <c r="F49" s="275" t="s">
        <v>696</v>
      </c>
      <c r="G49" s="277" t="s">
        <v>758</v>
      </c>
      <c r="H49" s="276" t="s">
        <v>738</v>
      </c>
      <c r="I49" s="276" t="s">
        <v>749</v>
      </c>
      <c r="J49" s="278" t="s">
        <v>691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9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2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4</v>
      </c>
      <c r="BB54" s="681"/>
      <c r="BC54" s="679">
        <f>AZ24</f>
        <v>8000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4</v>
      </c>
      <c r="BB55" s="681"/>
      <c r="BC55" s="679">
        <f>SUM(BC53:BE54)</f>
        <v>8000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12</v>
      </c>
      <c r="AQ60" s="56">
        <f>SUMIF($C$8:$C$72, $AK60, $L$8:$L$72)+SUMIF($C$8:$C$72, $AK60, $M$8:$M$72)+SUMIF($C$8:$C$72, $AK60, $N$8:$N$72)+SUMIF($C$8:$C$72, $AK60, $O$8:$O$72)</f>
        <v>1865000</v>
      </c>
      <c r="AR60" s="57">
        <f>AQ60*0.9</f>
        <v>1678500</v>
      </c>
      <c r="AS60" s="58">
        <f t="shared" ref="AS60:AS70" si="4">SUM(AN60+AQ60)</f>
        <v>1865000</v>
      </c>
      <c r="AT60" s="59">
        <f t="shared" ref="AT60:AT70" si="5">AO60+AR60</f>
        <v>1678500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8</v>
      </c>
      <c r="AQ61" s="56">
        <f t="shared" ref="AQ61:AQ70" si="8">SUMIF($C$8:$C$72, $AK61, $L$8:$L$72)+SUMIF($C$8:$C$72, $AK61, $M$8:$M$72)+SUMIF($C$8:$C$72, $AK61, $N$8:$N$72)+SUMIF($C$8:$C$72, $AK61, $O$8:$O$72)</f>
        <v>960000</v>
      </c>
      <c r="AR61" s="57">
        <f t="shared" ref="AR61:AR70" si="9">AQ61*0.9</f>
        <v>864000</v>
      </c>
      <c r="AS61" s="58">
        <f t="shared" si="4"/>
        <v>960000</v>
      </c>
      <c r="AT61" s="59">
        <f t="shared" si="5"/>
        <v>864000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254165</v>
      </c>
      <c r="AR65" s="57">
        <f t="shared" si="9"/>
        <v>228748.5</v>
      </c>
      <c r="AS65" s="58">
        <f t="shared" si="4"/>
        <v>254165</v>
      </c>
      <c r="AT65" s="59">
        <f t="shared" si="5"/>
        <v>228748.5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8</v>
      </c>
      <c r="AQ66" s="56">
        <f t="shared" si="8"/>
        <v>924750</v>
      </c>
      <c r="AR66" s="57">
        <f t="shared" si="9"/>
        <v>832275</v>
      </c>
      <c r="AS66" s="58">
        <f t="shared" si="4"/>
        <v>924750</v>
      </c>
      <c r="AT66" s="59">
        <f t="shared" si="5"/>
        <v>832275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7</v>
      </c>
      <c r="AQ67" s="56">
        <f t="shared" si="8"/>
        <v>1155195</v>
      </c>
      <c r="AR67" s="57">
        <f t="shared" si="9"/>
        <v>1039675.5</v>
      </c>
      <c r="AS67" s="58">
        <f t="shared" si="4"/>
        <v>1155195</v>
      </c>
      <c r="AT67" s="59">
        <f t="shared" si="5"/>
        <v>1039675.5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50" t="s">
        <v>1021</v>
      </c>
      <c r="D68" s="251" t="s">
        <v>1019</v>
      </c>
      <c r="E68" s="217" t="s">
        <v>1038</v>
      </c>
      <c r="F68" s="250"/>
      <c r="G68" s="251"/>
      <c r="H68" s="217" t="s">
        <v>1022</v>
      </c>
      <c r="I68" s="217"/>
      <c r="J68" s="217"/>
      <c r="K68" s="217"/>
      <c r="L68" s="252"/>
      <c r="M68" s="252">
        <v>40000</v>
      </c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5252610</v>
      </c>
      <c r="BD68" s="656"/>
      <c r="BE68" s="655"/>
    </row>
    <row r="69" spans="1:57" ht="64.5" customHeight="1" x14ac:dyDescent="0.3">
      <c r="A69" s="659"/>
      <c r="B69" s="660"/>
      <c r="C69" s="250" t="s">
        <v>1040</v>
      </c>
      <c r="D69" s="251" t="s">
        <v>1041</v>
      </c>
      <c r="E69" s="217" t="s">
        <v>1042</v>
      </c>
      <c r="F69" s="250"/>
      <c r="G69" s="251"/>
      <c r="H69" s="217"/>
      <c r="I69" s="217"/>
      <c r="J69" s="217"/>
      <c r="K69" s="217"/>
      <c r="L69" s="253"/>
      <c r="M69" s="253">
        <v>15000</v>
      </c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50" t="s">
        <v>1052</v>
      </c>
      <c r="D70" s="251" t="s">
        <v>1050</v>
      </c>
      <c r="E70" s="217" t="s">
        <v>1053</v>
      </c>
      <c r="F70" s="250"/>
      <c r="G70" s="251"/>
      <c r="H70" s="217" t="s">
        <v>1051</v>
      </c>
      <c r="I70" s="217"/>
      <c r="J70" s="217"/>
      <c r="K70" s="217"/>
      <c r="L70" s="254"/>
      <c r="M70" s="254">
        <v>40000</v>
      </c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1</v>
      </c>
      <c r="AQ70" s="56">
        <f t="shared" si="8"/>
        <v>93500</v>
      </c>
      <c r="AR70" s="57">
        <f t="shared" si="9"/>
        <v>84150</v>
      </c>
      <c r="AS70" s="58">
        <f t="shared" si="4"/>
        <v>93500</v>
      </c>
      <c r="AT70" s="59">
        <f t="shared" si="5"/>
        <v>84150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50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8000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50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5355610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0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37</v>
      </c>
      <c r="AQ73" s="22">
        <f t="shared" si="10"/>
        <v>5252610</v>
      </c>
      <c r="AR73" s="23">
        <f t="shared" si="10"/>
        <v>4727349</v>
      </c>
      <c r="AS73" s="24">
        <f t="shared" si="10"/>
        <v>5252610</v>
      </c>
      <c r="AT73" s="25">
        <f t="shared" si="10"/>
        <v>4727349</v>
      </c>
      <c r="AU73" s="692" t="s">
        <v>58</v>
      </c>
      <c r="AV73" s="693"/>
      <c r="AW73" s="693"/>
      <c r="AX73" s="693"/>
      <c r="AY73" s="694"/>
      <c r="AZ73" s="695">
        <f>AS58+AT73</f>
        <v>4727349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0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5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0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7">
    <cfRule type="cellIs" dxfId="311" priority="55" operator="equal">
      <formula>"여기어때"</formula>
    </cfRule>
    <cfRule type="cellIs" dxfId="310" priority="56" operator="equal">
      <formula>"야놀자"</formula>
    </cfRule>
  </conditionalFormatting>
  <conditionalFormatting sqref="R8:R66">
    <cfRule type="cellIs" dxfId="309" priority="1" operator="equal">
      <formula>"여기어때"</formula>
    </cfRule>
    <cfRule type="cellIs" dxfId="308" priority="2" operator="equal">
      <formula>"야놀자"</formula>
    </cfRule>
  </conditionalFormatting>
  <conditionalFormatting sqref="R73">
    <cfRule type="cellIs" dxfId="307" priority="225" operator="equal">
      <formula>"여기어때"</formula>
    </cfRule>
    <cfRule type="cellIs" dxfId="306" priority="226" operator="equal">
      <formula>"야놀자"</formula>
    </cfRule>
  </conditionalFormatting>
  <conditionalFormatting sqref="AL30:AM30">
    <cfRule type="cellIs" dxfId="305" priority="210" operator="greaterThan">
      <formula>$AL$29</formula>
    </cfRule>
    <cfRule type="cellIs" dxfId="304" priority="218" operator="equal">
      <formula>$AL$29</formula>
    </cfRule>
  </conditionalFormatting>
  <conditionalFormatting sqref="AN30:AO30">
    <cfRule type="cellIs" dxfId="303" priority="209" operator="greaterThan">
      <formula>$AN$29</formula>
    </cfRule>
    <cfRule type="cellIs" dxfId="302" priority="217" operator="equal">
      <formula>$AN$29</formula>
    </cfRule>
  </conditionalFormatting>
  <conditionalFormatting sqref="AP30:AQ30">
    <cfRule type="cellIs" dxfId="301" priority="208" operator="greaterThan">
      <formula>$AP$29</formula>
    </cfRule>
    <cfRule type="cellIs" dxfId="300" priority="216" operator="equal">
      <formula>$AP$29</formula>
    </cfRule>
  </conditionalFormatting>
  <conditionalFormatting sqref="AR30">
    <cfRule type="cellIs" dxfId="299" priority="207" operator="greaterThan">
      <formula>$AR$29</formula>
    </cfRule>
    <cfRule type="cellIs" dxfId="298" priority="215" operator="equal">
      <formula>$AR$29</formula>
    </cfRule>
  </conditionalFormatting>
  <conditionalFormatting sqref="AS30:AT30">
    <cfRule type="cellIs" dxfId="297" priority="206" operator="greaterThan">
      <formula>$AS$29</formula>
    </cfRule>
    <cfRule type="cellIs" dxfId="296" priority="214" operator="equal">
      <formula>$AS$29</formula>
    </cfRule>
  </conditionalFormatting>
  <conditionalFormatting sqref="AU30:AV30">
    <cfRule type="cellIs" dxfId="295" priority="205" operator="greaterThan">
      <formula>$AU$29</formula>
    </cfRule>
    <cfRule type="cellIs" dxfId="294" priority="213" operator="equal">
      <formula>$AU$29</formula>
    </cfRule>
  </conditionalFormatting>
  <conditionalFormatting sqref="AW30">
    <cfRule type="cellIs" dxfId="293" priority="204" operator="greaterThan">
      <formula>$AW$29</formula>
    </cfRule>
    <cfRule type="cellIs" dxfId="292" priority="212" operator="equal">
      <formula>$AW$29</formula>
    </cfRule>
  </conditionalFormatting>
  <conditionalFormatting sqref="AX30:AY30">
    <cfRule type="cellIs" dxfId="291" priority="203" operator="greaterThan">
      <formula>$AX$29</formula>
    </cfRule>
    <cfRule type="cellIs" dxfId="290" priority="211" operator="equal">
      <formula>$AX$29</formula>
    </cfRule>
  </conditionalFormatting>
  <dataValidations count="1">
    <dataValidation type="list" allowBlank="1" showInputMessage="1" showErrorMessage="1" sqref="A8:A67 P8:P67" xr:uid="{BB4CCED9-1DA6-4F98-94EF-045339572BE4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9BE3-8627-4F84-BFDB-E98F71B6ED86}">
  <sheetPr codeName="Sheet20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C8" sqref="C8"/>
      <selection pane="bottomLeft" activeCell="N62" sqref="N62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1061</v>
      </c>
      <c r="T1" s="834"/>
      <c r="U1" s="834"/>
      <c r="V1" s="834"/>
      <c r="W1" s="834"/>
      <c r="X1" s="834"/>
      <c r="Y1" s="835"/>
      <c r="Z1" s="1" t="s">
        <v>2</v>
      </c>
      <c r="AA1" s="873">
        <v>45920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3797465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42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403500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'20'!AA1</f>
        <v>45920</v>
      </c>
      <c r="AM2" s="863"/>
      <c r="AN2" s="863"/>
      <c r="AO2" s="864"/>
      <c r="AP2" s="865" t="s">
        <v>10</v>
      </c>
      <c r="AQ2" s="866"/>
      <c r="AR2" s="866"/>
      <c r="AS2" s="863">
        <f>AA1+1</f>
        <v>45921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 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3797465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405500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9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0</v>
      </c>
      <c r="F6" s="356">
        <f>AR31</f>
        <v>0</v>
      </c>
      <c r="G6" s="356">
        <f>AS31</f>
        <v>0</v>
      </c>
      <c r="H6" s="356">
        <f>AU31</f>
        <v>0</v>
      </c>
      <c r="I6" s="356">
        <f>AW31</f>
        <v>0</v>
      </c>
      <c r="J6" s="356">
        <f>AX31</f>
        <v>0</v>
      </c>
      <c r="K6" s="606"/>
      <c r="L6" s="607"/>
      <c r="M6" s="356"/>
      <c r="N6" s="606">
        <f>C6+D6+E6+F6+G6+H6+I6+J6+K6</f>
        <v>0</v>
      </c>
      <c r="O6" s="602"/>
      <c r="P6" s="599">
        <f>C2</f>
        <v>3797465</v>
      </c>
      <c r="Q6" s="600"/>
      <c r="R6" s="300">
        <f>AN14+AN15</f>
        <v>2000</v>
      </c>
      <c r="S6" s="300">
        <f>AZ14+AZ15</f>
        <v>20000</v>
      </c>
      <c r="T6" s="300">
        <f>AR14+AR15</f>
        <v>2000</v>
      </c>
      <c r="U6" s="609">
        <f>AS60</f>
        <v>1295000</v>
      </c>
      <c r="V6" s="600"/>
      <c r="W6" s="609">
        <f>AS61</f>
        <v>915000</v>
      </c>
      <c r="X6" s="600"/>
      <c r="Y6" s="609">
        <f>AS62</f>
        <v>280000</v>
      </c>
      <c r="Z6" s="600"/>
      <c r="AA6" s="300">
        <f>AS63</f>
        <v>0</v>
      </c>
      <c r="AB6" s="300">
        <f>AS66</f>
        <v>255000</v>
      </c>
      <c r="AC6" s="300">
        <f>AS67</f>
        <v>704840</v>
      </c>
      <c r="AD6" s="300">
        <f>SUMIFS(O7:O47,C7:C47,"트립")</f>
        <v>180625</v>
      </c>
      <c r="AE6" s="300">
        <f>AS65</f>
        <v>0</v>
      </c>
      <c r="AF6" s="300">
        <f>AS69</f>
        <v>0</v>
      </c>
      <c r="AG6" s="300">
        <f>AS70</f>
        <v>143000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464">
        <v>404</v>
      </c>
      <c r="C8" s="230" t="s">
        <v>74</v>
      </c>
      <c r="D8" s="231" t="s">
        <v>222</v>
      </c>
      <c r="E8" s="215" t="s">
        <v>714</v>
      </c>
      <c r="F8" s="251" t="s">
        <v>167</v>
      </c>
      <c r="G8" s="232" t="s">
        <v>163</v>
      </c>
      <c r="H8" s="215" t="s">
        <v>164</v>
      </c>
      <c r="I8" s="215" t="s">
        <v>165</v>
      </c>
      <c r="J8" s="233" t="s">
        <v>190</v>
      </c>
      <c r="K8" s="215"/>
      <c r="L8" s="234"/>
      <c r="M8" s="234"/>
      <c r="N8" s="234"/>
      <c r="O8" s="218">
        <v>140000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464">
        <v>501</v>
      </c>
      <c r="C9" s="230" t="s">
        <v>258</v>
      </c>
      <c r="D9" s="231" t="s">
        <v>259</v>
      </c>
      <c r="E9" s="215"/>
      <c r="F9" s="251" t="s">
        <v>260</v>
      </c>
      <c r="G9" s="232" t="s">
        <v>261</v>
      </c>
      <c r="H9" s="215" t="s">
        <v>164</v>
      </c>
      <c r="I9" s="215" t="s">
        <v>165</v>
      </c>
      <c r="J9" s="233" t="s">
        <v>262</v>
      </c>
      <c r="K9" s="215"/>
      <c r="L9" s="234"/>
      <c r="M9" s="234"/>
      <c r="N9" s="234"/>
      <c r="O9" s="220">
        <v>140000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464">
        <v>907</v>
      </c>
      <c r="C10" s="230" t="s">
        <v>491</v>
      </c>
      <c r="D10" s="231" t="s">
        <v>500</v>
      </c>
      <c r="E10" s="215" t="s">
        <v>714</v>
      </c>
      <c r="F10" s="251" t="s">
        <v>167</v>
      </c>
      <c r="G10" s="232" t="s">
        <v>490</v>
      </c>
      <c r="H10" s="215" t="s">
        <v>164</v>
      </c>
      <c r="I10" s="215" t="s">
        <v>165</v>
      </c>
      <c r="J10" s="233" t="s">
        <v>189</v>
      </c>
      <c r="K10" s="238"/>
      <c r="L10" s="234"/>
      <c r="M10" s="234"/>
      <c r="N10" s="234"/>
      <c r="O10" s="218">
        <v>125000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42</v>
      </c>
      <c r="AU10" s="625"/>
      <c r="AV10" s="625">
        <f>SUM(O8:O67)</f>
        <v>3773465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42</v>
      </c>
      <c r="BC10" s="799"/>
      <c r="BD10" s="800">
        <f>SUM(AN10+AR10+AV10+AZ10)</f>
        <v>3773465</v>
      </c>
      <c r="BE10" s="801"/>
    </row>
    <row r="11" spans="1:58" ht="64.5" customHeight="1" x14ac:dyDescent="0.3">
      <c r="A11" s="228">
        <v>4</v>
      </c>
      <c r="B11" s="464">
        <v>1112</v>
      </c>
      <c r="C11" s="230" t="s">
        <v>514</v>
      </c>
      <c r="D11" s="231" t="s">
        <v>531</v>
      </c>
      <c r="E11" s="215" t="s">
        <v>532</v>
      </c>
      <c r="F11" s="251" t="s">
        <v>159</v>
      </c>
      <c r="G11" s="232" t="s">
        <v>490</v>
      </c>
      <c r="H11" s="215" t="s">
        <v>164</v>
      </c>
      <c r="I11" s="215" t="s">
        <v>165</v>
      </c>
      <c r="J11" s="215" t="s">
        <v>530</v>
      </c>
      <c r="K11" s="215"/>
      <c r="L11" s="234"/>
      <c r="M11" s="234"/>
      <c r="N11" s="234"/>
      <c r="O11" s="224">
        <v>120000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911</v>
      </c>
      <c r="C12" s="230" t="s">
        <v>686</v>
      </c>
      <c r="D12" s="231" t="s">
        <v>838</v>
      </c>
      <c r="E12" s="215"/>
      <c r="F12" s="251" t="s">
        <v>158</v>
      </c>
      <c r="G12" s="232" t="s">
        <v>163</v>
      </c>
      <c r="H12" s="215" t="s">
        <v>164</v>
      </c>
      <c r="I12" s="215" t="s">
        <v>165</v>
      </c>
      <c r="J12" s="215" t="s">
        <v>247</v>
      </c>
      <c r="K12" s="215"/>
      <c r="L12" s="234"/>
      <c r="M12" s="234"/>
      <c r="N12" s="234"/>
      <c r="O12" s="218">
        <v>125000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1</v>
      </c>
      <c r="AY12" s="780"/>
      <c r="AZ12" s="784">
        <f>SUM(N68:N76)</f>
        <v>20000</v>
      </c>
      <c r="BA12" s="785"/>
      <c r="BB12" s="784">
        <f>SUM(AL12+AP12+AT12+AX12)</f>
        <v>1</v>
      </c>
      <c r="BC12" s="785"/>
      <c r="BD12" s="780">
        <f>SUM(AN12+AR12+AV12+AZ12)</f>
        <v>20000</v>
      </c>
      <c r="BE12" s="781"/>
    </row>
    <row r="13" spans="1:58" ht="64.5" customHeight="1" x14ac:dyDescent="0.3">
      <c r="A13" s="228">
        <v>6</v>
      </c>
      <c r="B13" s="464">
        <v>902</v>
      </c>
      <c r="C13" s="230" t="s">
        <v>52</v>
      </c>
      <c r="D13" s="251" t="s">
        <v>610</v>
      </c>
      <c r="E13" s="215" t="s">
        <v>714</v>
      </c>
      <c r="F13" s="251" t="s">
        <v>167</v>
      </c>
      <c r="G13" s="232" t="s">
        <v>163</v>
      </c>
      <c r="H13" s="215" t="s">
        <v>164</v>
      </c>
      <c r="I13" s="215" t="s">
        <v>165</v>
      </c>
      <c r="J13" s="215" t="s">
        <v>247</v>
      </c>
      <c r="K13" s="215"/>
      <c r="L13" s="234"/>
      <c r="M13" s="234"/>
      <c r="N13" s="234"/>
      <c r="O13" s="218">
        <v>125000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464">
        <v>1215</v>
      </c>
      <c r="C14" s="230" t="s">
        <v>73</v>
      </c>
      <c r="D14" s="251" t="s">
        <v>664</v>
      </c>
      <c r="E14" s="215" t="s">
        <v>166</v>
      </c>
      <c r="F14" s="231" t="s">
        <v>696</v>
      </c>
      <c r="G14" s="232" t="s">
        <v>163</v>
      </c>
      <c r="H14" s="215" t="s">
        <v>164</v>
      </c>
      <c r="I14" s="215" t="s">
        <v>165</v>
      </c>
      <c r="J14" s="233" t="s">
        <v>193</v>
      </c>
      <c r="K14" s="215"/>
      <c r="L14" s="234"/>
      <c r="M14" s="234"/>
      <c r="N14" s="234"/>
      <c r="O14" s="218">
        <v>120000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42</v>
      </c>
      <c r="AU14" s="653"/>
      <c r="AV14" s="653">
        <f>SUM(AV10:AW13)</f>
        <v>3773465</v>
      </c>
      <c r="AW14" s="653"/>
      <c r="AX14" s="653">
        <f>SUM(AX10:AY11)</f>
        <v>0</v>
      </c>
      <c r="AY14" s="653"/>
      <c r="AZ14" s="653">
        <f>SUM(AZ10:BA13)</f>
        <v>20000</v>
      </c>
      <c r="BA14" s="653"/>
      <c r="BB14" s="654">
        <f>SUM(AL14+AP14+AT14+AX14)</f>
        <v>42</v>
      </c>
      <c r="BC14" s="655"/>
      <c r="BD14" s="782">
        <f>SUM(BD10:BE13)</f>
        <v>3793465</v>
      </c>
      <c r="BE14" s="783"/>
    </row>
    <row r="15" spans="1:58" ht="64.5" customHeight="1" thickBot="1" x14ac:dyDescent="0.35">
      <c r="A15" s="228">
        <v>8</v>
      </c>
      <c r="B15" s="464">
        <v>506</v>
      </c>
      <c r="C15" s="230" t="s">
        <v>693</v>
      </c>
      <c r="D15" s="251" t="s">
        <v>712</v>
      </c>
      <c r="E15" s="215" t="s">
        <v>714</v>
      </c>
      <c r="F15" s="231" t="s">
        <v>167</v>
      </c>
      <c r="G15" s="232" t="s">
        <v>688</v>
      </c>
      <c r="H15" s="215" t="s">
        <v>164</v>
      </c>
      <c r="I15" s="215" t="s">
        <v>165</v>
      </c>
      <c r="J15" s="233" t="s">
        <v>713</v>
      </c>
      <c r="K15" s="215"/>
      <c r="L15" s="234"/>
      <c r="M15" s="234"/>
      <c r="N15" s="234"/>
      <c r="O15" s="218">
        <v>127500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1</v>
      </c>
      <c r="AQ15" s="633"/>
      <c r="AR15" s="632">
        <f>AR24</f>
        <v>2000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464">
        <v>1111</v>
      </c>
      <c r="C16" s="230" t="s">
        <v>686</v>
      </c>
      <c r="D16" s="360" t="s">
        <v>768</v>
      </c>
      <c r="E16" s="305"/>
      <c r="F16" s="304" t="s">
        <v>690</v>
      </c>
      <c r="G16" s="232" t="s">
        <v>688</v>
      </c>
      <c r="H16" s="215" t="s">
        <v>164</v>
      </c>
      <c r="I16" s="215" t="s">
        <v>165</v>
      </c>
      <c r="J16" s="233" t="s">
        <v>713</v>
      </c>
      <c r="K16" s="215"/>
      <c r="L16" s="234"/>
      <c r="M16" s="234"/>
      <c r="N16" s="234"/>
      <c r="O16" s="218">
        <v>125000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3797465</v>
      </c>
      <c r="BE16" s="652"/>
      <c r="BF16" s="10"/>
    </row>
    <row r="17" spans="1:62" ht="64.5" customHeight="1" thickBot="1" x14ac:dyDescent="0.35">
      <c r="A17" s="228">
        <v>10</v>
      </c>
      <c r="B17" s="464">
        <v>701</v>
      </c>
      <c r="C17" s="230" t="s">
        <v>686</v>
      </c>
      <c r="D17" s="360" t="s">
        <v>798</v>
      </c>
      <c r="E17" s="305"/>
      <c r="F17" s="304" t="s">
        <v>704</v>
      </c>
      <c r="G17" s="232" t="s">
        <v>688</v>
      </c>
      <c r="H17" s="215" t="s">
        <v>164</v>
      </c>
      <c r="I17" s="215" t="s">
        <v>165</v>
      </c>
      <c r="J17" s="233" t="s">
        <v>189</v>
      </c>
      <c r="K17" s="215"/>
      <c r="L17" s="234"/>
      <c r="M17" s="234"/>
      <c r="N17" s="234"/>
      <c r="O17" s="218">
        <v>140000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464">
        <v>811</v>
      </c>
      <c r="C18" s="230" t="s">
        <v>689</v>
      </c>
      <c r="D18" s="360" t="s">
        <v>810</v>
      </c>
      <c r="E18" s="215" t="s">
        <v>166</v>
      </c>
      <c r="F18" s="304" t="s">
        <v>690</v>
      </c>
      <c r="G18" s="232" t="s">
        <v>688</v>
      </c>
      <c r="H18" s="215" t="s">
        <v>164</v>
      </c>
      <c r="I18" s="215" t="s">
        <v>165</v>
      </c>
      <c r="J18" s="233" t="s">
        <v>733</v>
      </c>
      <c r="K18" s="238"/>
      <c r="L18" s="234"/>
      <c r="M18" s="234"/>
      <c r="N18" s="234"/>
      <c r="O18" s="218">
        <v>120000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464">
        <v>809</v>
      </c>
      <c r="C19" s="230" t="s">
        <v>689</v>
      </c>
      <c r="D19" s="360" t="s">
        <v>829</v>
      </c>
      <c r="E19" s="215" t="s">
        <v>714</v>
      </c>
      <c r="F19" s="231" t="s">
        <v>167</v>
      </c>
      <c r="G19" s="232" t="s">
        <v>688</v>
      </c>
      <c r="H19" s="215" t="s">
        <v>164</v>
      </c>
      <c r="I19" s="215" t="s">
        <v>165</v>
      </c>
      <c r="J19" s="233" t="s">
        <v>189</v>
      </c>
      <c r="K19" s="215"/>
      <c r="L19" s="234"/>
      <c r="M19" s="234"/>
      <c r="N19" s="234"/>
      <c r="O19" s="218">
        <v>125000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464">
        <v>1011</v>
      </c>
      <c r="C20" s="230" t="s">
        <v>698</v>
      </c>
      <c r="D20" s="231" t="s">
        <v>837</v>
      </c>
      <c r="E20" s="215"/>
      <c r="F20" s="231" t="s">
        <v>690</v>
      </c>
      <c r="G20" s="232" t="s">
        <v>688</v>
      </c>
      <c r="H20" s="215" t="s">
        <v>164</v>
      </c>
      <c r="I20" s="215" t="s">
        <v>165</v>
      </c>
      <c r="J20" s="233" t="s">
        <v>713</v>
      </c>
      <c r="K20" s="215"/>
      <c r="L20" s="234"/>
      <c r="M20" s="234"/>
      <c r="N20" s="234"/>
      <c r="O20" s="218">
        <v>180625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1</v>
      </c>
      <c r="AQ20" s="655"/>
      <c r="AR20" s="654">
        <f>AP20*2000</f>
        <v>2000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464">
        <v>1208</v>
      </c>
      <c r="C21" s="230" t="s">
        <v>689</v>
      </c>
      <c r="D21" s="251" t="s">
        <v>840</v>
      </c>
      <c r="E21" s="215"/>
      <c r="F21" s="231" t="s">
        <v>1045</v>
      </c>
      <c r="G21" s="232" t="s">
        <v>688</v>
      </c>
      <c r="H21" s="215" t="s">
        <v>164</v>
      </c>
      <c r="I21" s="215" t="s">
        <v>165</v>
      </c>
      <c r="J21" s="233" t="s">
        <v>713</v>
      </c>
      <c r="K21" s="215"/>
      <c r="L21" s="234"/>
      <c r="M21" s="234"/>
      <c r="N21" s="234"/>
      <c r="O21" s="218">
        <v>125000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464">
        <v>305</v>
      </c>
      <c r="C22" s="230" t="s">
        <v>693</v>
      </c>
      <c r="D22" s="251" t="s">
        <v>843</v>
      </c>
      <c r="E22" s="215"/>
      <c r="F22" s="231" t="s">
        <v>1045</v>
      </c>
      <c r="G22" s="232" t="s">
        <v>688</v>
      </c>
      <c r="H22" s="215" t="s">
        <v>164</v>
      </c>
      <c r="I22" s="215" t="s">
        <v>165</v>
      </c>
      <c r="J22" s="233" t="s">
        <v>189</v>
      </c>
      <c r="K22" s="215"/>
      <c r="L22" s="234"/>
      <c r="M22" s="234"/>
      <c r="N22" s="234"/>
      <c r="O22" s="218">
        <v>127500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464">
        <v>1214</v>
      </c>
      <c r="C23" s="230" t="s">
        <v>730</v>
      </c>
      <c r="D23" s="251" t="s">
        <v>849</v>
      </c>
      <c r="E23" s="215"/>
      <c r="F23" s="231" t="s">
        <v>696</v>
      </c>
      <c r="G23" s="232" t="s">
        <v>688</v>
      </c>
      <c r="H23" s="215" t="s">
        <v>164</v>
      </c>
      <c r="I23" s="215" t="s">
        <v>165</v>
      </c>
      <c r="J23" s="233" t="s">
        <v>189</v>
      </c>
      <c r="K23" s="215"/>
      <c r="L23" s="234"/>
      <c r="M23" s="234"/>
      <c r="N23" s="234"/>
      <c r="O23" s="218">
        <v>143000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464">
        <v>906</v>
      </c>
      <c r="C24" s="230" t="s">
        <v>81</v>
      </c>
      <c r="D24" s="231" t="s">
        <v>855</v>
      </c>
      <c r="E24" s="215" t="s">
        <v>577</v>
      </c>
      <c r="F24" s="231" t="s">
        <v>751</v>
      </c>
      <c r="G24" s="232" t="s">
        <v>688</v>
      </c>
      <c r="H24" s="215" t="s">
        <v>164</v>
      </c>
      <c r="I24" s="215" t="s">
        <v>165</v>
      </c>
      <c r="J24" s="233" t="s">
        <v>733</v>
      </c>
      <c r="K24" s="238"/>
      <c r="L24" s="234"/>
      <c r="M24" s="234"/>
      <c r="N24" s="234"/>
      <c r="O24" s="218">
        <v>140968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1</v>
      </c>
      <c r="AQ24" s="655"/>
      <c r="AR24" s="654">
        <f>SUM(AR20:AS23)</f>
        <v>2000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464">
        <v>705</v>
      </c>
      <c r="C25" s="230" t="s">
        <v>81</v>
      </c>
      <c r="D25" s="304" t="s">
        <v>856</v>
      </c>
      <c r="E25" s="215" t="s">
        <v>859</v>
      </c>
      <c r="F25" s="304" t="s">
        <v>751</v>
      </c>
      <c r="G25" s="232" t="s">
        <v>688</v>
      </c>
      <c r="H25" s="215" t="s">
        <v>164</v>
      </c>
      <c r="I25" s="215" t="s">
        <v>165</v>
      </c>
      <c r="J25" s="233" t="s">
        <v>733</v>
      </c>
      <c r="K25" s="215"/>
      <c r="L25" s="234"/>
      <c r="M25" s="234"/>
      <c r="N25" s="234"/>
      <c r="O25" s="218">
        <v>140968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464">
        <v>709</v>
      </c>
      <c r="C26" s="230" t="s">
        <v>81</v>
      </c>
      <c r="D26" s="231" t="s">
        <v>857</v>
      </c>
      <c r="E26" s="215" t="s">
        <v>859</v>
      </c>
      <c r="F26" s="231" t="s">
        <v>751</v>
      </c>
      <c r="G26" s="232" t="s">
        <v>688</v>
      </c>
      <c r="H26" s="215" t="s">
        <v>164</v>
      </c>
      <c r="I26" s="215" t="s">
        <v>165</v>
      </c>
      <c r="J26" s="233" t="s">
        <v>733</v>
      </c>
      <c r="K26" s="215"/>
      <c r="L26" s="234"/>
      <c r="M26" s="234"/>
      <c r="N26" s="234"/>
      <c r="O26" s="218">
        <v>140968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464">
        <v>715</v>
      </c>
      <c r="C27" s="230" t="s">
        <v>81</v>
      </c>
      <c r="D27" s="231" t="s">
        <v>858</v>
      </c>
      <c r="E27" s="215" t="s">
        <v>859</v>
      </c>
      <c r="F27" s="231" t="s">
        <v>159</v>
      </c>
      <c r="G27" s="232" t="s">
        <v>688</v>
      </c>
      <c r="H27" s="215" t="s">
        <v>164</v>
      </c>
      <c r="I27" s="215" t="s">
        <v>165</v>
      </c>
      <c r="J27" s="233" t="s">
        <v>733</v>
      </c>
      <c r="K27" s="215"/>
      <c r="L27" s="234"/>
      <c r="M27" s="234"/>
      <c r="N27" s="234"/>
      <c r="O27" s="218">
        <v>140968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464">
        <v>805</v>
      </c>
      <c r="C28" s="230" t="s">
        <v>81</v>
      </c>
      <c r="D28" s="231" t="s">
        <v>863</v>
      </c>
      <c r="E28" s="215"/>
      <c r="F28" s="231" t="s">
        <v>167</v>
      </c>
      <c r="G28" s="232" t="s">
        <v>688</v>
      </c>
      <c r="H28" s="215" t="s">
        <v>164</v>
      </c>
      <c r="I28" s="215" t="s">
        <v>165</v>
      </c>
      <c r="J28" s="233" t="s">
        <v>189</v>
      </c>
      <c r="K28" s="215"/>
      <c r="L28" s="234"/>
      <c r="M28" s="234"/>
      <c r="N28" s="234"/>
      <c r="O28" s="218">
        <v>140968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464">
        <v>1105</v>
      </c>
      <c r="C29" s="230" t="s">
        <v>1047</v>
      </c>
      <c r="D29" s="251" t="s">
        <v>879</v>
      </c>
      <c r="E29" s="215" t="s">
        <v>1079</v>
      </c>
      <c r="F29" s="231" t="s">
        <v>692</v>
      </c>
      <c r="G29" s="232" t="s">
        <v>688</v>
      </c>
      <c r="H29" s="215" t="s">
        <v>164</v>
      </c>
      <c r="I29" s="215" t="s">
        <v>165</v>
      </c>
      <c r="J29" s="233" t="s">
        <v>713</v>
      </c>
      <c r="K29" s="215"/>
      <c r="L29" s="234"/>
      <c r="M29" s="234"/>
      <c r="N29" s="234"/>
      <c r="O29" s="218">
        <v>155000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464">
        <v>1206</v>
      </c>
      <c r="C30" s="318" t="s">
        <v>686</v>
      </c>
      <c r="D30" s="251" t="s">
        <v>898</v>
      </c>
      <c r="E30" s="217"/>
      <c r="F30" s="251" t="s">
        <v>716</v>
      </c>
      <c r="G30" s="232" t="s">
        <v>688</v>
      </c>
      <c r="H30" s="215" t="s">
        <v>164</v>
      </c>
      <c r="I30" s="215" t="s">
        <v>165</v>
      </c>
      <c r="J30" s="233" t="s">
        <v>886</v>
      </c>
      <c r="K30" s="217" t="s">
        <v>1049</v>
      </c>
      <c r="L30" s="254"/>
      <c r="M30" s="254"/>
      <c r="N30" s="254"/>
      <c r="O30" s="224">
        <v>150000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5</v>
      </c>
      <c r="AV30" s="830"/>
      <c r="AW30" s="324">
        <f>COUNTIF(F8:F67,"v")</f>
        <v>5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464">
        <v>1216</v>
      </c>
      <c r="C31" s="318" t="s">
        <v>686</v>
      </c>
      <c r="D31" s="251" t="s">
        <v>911</v>
      </c>
      <c r="E31" s="217"/>
      <c r="F31" s="251" t="s">
        <v>696</v>
      </c>
      <c r="G31" s="232" t="s">
        <v>688</v>
      </c>
      <c r="H31" s="215" t="s">
        <v>164</v>
      </c>
      <c r="I31" s="215" t="s">
        <v>165</v>
      </c>
      <c r="J31" s="233" t="s">
        <v>886</v>
      </c>
      <c r="K31" s="217"/>
      <c r="L31" s="254"/>
      <c r="M31" s="254"/>
      <c r="N31" s="254"/>
      <c r="O31" s="224">
        <v>150000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0</v>
      </c>
      <c r="AV31" s="817"/>
      <c r="AW31" s="322">
        <f>AW29-AW30</f>
        <v>0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493">
        <v>406</v>
      </c>
      <c r="C32" s="230" t="s">
        <v>686</v>
      </c>
      <c r="D32" s="231" t="s">
        <v>914</v>
      </c>
      <c r="E32" s="215" t="s">
        <v>705</v>
      </c>
      <c r="F32" s="231" t="s">
        <v>168</v>
      </c>
      <c r="G32" s="232" t="s">
        <v>688</v>
      </c>
      <c r="H32" s="215" t="s">
        <v>164</v>
      </c>
      <c r="I32" s="215" t="s">
        <v>165</v>
      </c>
      <c r="J32" s="233" t="s">
        <v>713</v>
      </c>
      <c r="K32" s="215"/>
      <c r="L32" s="234"/>
      <c r="M32" s="234"/>
      <c r="N32" s="234"/>
      <c r="O32" s="218">
        <v>170000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464">
        <v>1004</v>
      </c>
      <c r="C33" s="230" t="s">
        <v>686</v>
      </c>
      <c r="D33" s="231" t="s">
        <v>928</v>
      </c>
      <c r="E33" s="215"/>
      <c r="F33" s="231" t="s">
        <v>977</v>
      </c>
      <c r="G33" s="232" t="s">
        <v>688</v>
      </c>
      <c r="H33" s="215" t="s">
        <v>164</v>
      </c>
      <c r="I33" s="215" t="s">
        <v>165</v>
      </c>
      <c r="J33" s="233" t="s">
        <v>691</v>
      </c>
      <c r="K33" s="215"/>
      <c r="L33" s="234"/>
      <c r="M33" s="234"/>
      <c r="N33" s="234"/>
      <c r="O33" s="218">
        <v>175000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234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464">
        <v>1006</v>
      </c>
      <c r="C34" s="318" t="s">
        <v>73</v>
      </c>
      <c r="D34" s="251" t="s">
        <v>1077</v>
      </c>
      <c r="E34" s="217"/>
      <c r="F34" s="231" t="s">
        <v>167</v>
      </c>
      <c r="G34" s="232" t="s">
        <v>163</v>
      </c>
      <c r="H34" s="215" t="s">
        <v>164</v>
      </c>
      <c r="I34" s="215" t="s">
        <v>165</v>
      </c>
      <c r="J34" s="233" t="s">
        <v>189</v>
      </c>
      <c r="K34" s="215" t="s">
        <v>1046</v>
      </c>
      <c r="L34" s="234"/>
      <c r="M34" s="234"/>
      <c r="N34" s="234"/>
      <c r="O34" s="218">
        <v>160000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234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68">
        <v>28</v>
      </c>
      <c r="B35" s="512">
        <v>615</v>
      </c>
      <c r="C35" s="255" t="s">
        <v>74</v>
      </c>
      <c r="D35" s="265" t="s">
        <v>889</v>
      </c>
      <c r="E35" s="266" t="s">
        <v>166</v>
      </c>
      <c r="F35" s="265" t="s">
        <v>159</v>
      </c>
      <c r="G35" s="267" t="s">
        <v>172</v>
      </c>
      <c r="H35" s="266" t="s">
        <v>164</v>
      </c>
      <c r="I35" s="266" t="s">
        <v>165</v>
      </c>
      <c r="J35" s="269" t="s">
        <v>193</v>
      </c>
      <c r="K35" s="266"/>
      <c r="L35" s="257"/>
      <c r="M35" s="257"/>
      <c r="N35" s="257"/>
      <c r="O35" s="223">
        <v>0</v>
      </c>
      <c r="P35" s="228">
        <v>28</v>
      </c>
      <c r="Q35" s="229"/>
      <c r="R35" s="230"/>
      <c r="S35" s="231"/>
      <c r="T35" s="215"/>
      <c r="U35" s="231"/>
      <c r="V35" s="232"/>
      <c r="W35" s="215"/>
      <c r="X35" s="215"/>
      <c r="Y35" s="233"/>
      <c r="Z35" s="215"/>
      <c r="AA35" s="234"/>
      <c r="AB35" s="234"/>
      <c r="AC35" s="234"/>
      <c r="AD35" s="234"/>
      <c r="AE35" s="238"/>
      <c r="AF35" s="234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319">
        <v>1107</v>
      </c>
      <c r="C36" s="230" t="s">
        <v>81</v>
      </c>
      <c r="D36" s="490" t="s">
        <v>881</v>
      </c>
      <c r="E36" s="215"/>
      <c r="F36" s="231" t="s">
        <v>160</v>
      </c>
      <c r="G36" s="232" t="s">
        <v>172</v>
      </c>
      <c r="H36" s="215" t="s">
        <v>164</v>
      </c>
      <c r="I36" s="215" t="s">
        <v>165</v>
      </c>
      <c r="J36" s="233" t="s">
        <v>247</v>
      </c>
      <c r="K36" s="215"/>
      <c r="L36" s="234"/>
      <c r="M36" s="234"/>
      <c r="N36" s="234"/>
      <c r="O36" s="218">
        <v>0</v>
      </c>
      <c r="P36" s="228">
        <v>29</v>
      </c>
      <c r="Q36" s="229"/>
      <c r="R36" s="230"/>
      <c r="S36" s="231"/>
      <c r="T36" s="215"/>
      <c r="U36" s="231"/>
      <c r="V36" s="232"/>
      <c r="W36" s="215"/>
      <c r="X36" s="215"/>
      <c r="Y36" s="233"/>
      <c r="Z36" s="215"/>
      <c r="AA36" s="234"/>
      <c r="AB36" s="234"/>
      <c r="AC36" s="234"/>
      <c r="AD36" s="234"/>
      <c r="AE36" s="238"/>
      <c r="AF36" s="234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440">
        <v>1115</v>
      </c>
      <c r="C37" s="230" t="s">
        <v>81</v>
      </c>
      <c r="D37" s="231" t="s">
        <v>766</v>
      </c>
      <c r="E37" s="215" t="s">
        <v>363</v>
      </c>
      <c r="F37" s="231" t="s">
        <v>159</v>
      </c>
      <c r="G37" s="232" t="s">
        <v>172</v>
      </c>
      <c r="H37" s="215" t="s">
        <v>164</v>
      </c>
      <c r="I37" s="215" t="s">
        <v>165</v>
      </c>
      <c r="J37" s="233" t="s">
        <v>189</v>
      </c>
      <c r="K37" s="215"/>
      <c r="L37" s="234"/>
      <c r="M37" s="234"/>
      <c r="N37" s="234"/>
      <c r="O37" s="218">
        <v>0</v>
      </c>
      <c r="P37" s="228">
        <v>30</v>
      </c>
      <c r="Q37" s="229"/>
      <c r="R37" s="230"/>
      <c r="S37" s="231"/>
      <c r="T37" s="215"/>
      <c r="U37" s="231"/>
      <c r="V37" s="232"/>
      <c r="W37" s="215"/>
      <c r="X37" s="215"/>
      <c r="Y37" s="233"/>
      <c r="Z37" s="215"/>
      <c r="AA37" s="234"/>
      <c r="AB37" s="234"/>
      <c r="AC37" s="234"/>
      <c r="AD37" s="234"/>
      <c r="AE37" s="238"/>
      <c r="AF37" s="234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440">
        <v>1116</v>
      </c>
      <c r="C38" s="230" t="s">
        <v>74</v>
      </c>
      <c r="D38" s="231" t="s">
        <v>735</v>
      </c>
      <c r="E38" s="215" t="s">
        <v>166</v>
      </c>
      <c r="F38" s="231" t="s">
        <v>159</v>
      </c>
      <c r="G38" s="232" t="s">
        <v>172</v>
      </c>
      <c r="H38" s="215" t="s">
        <v>164</v>
      </c>
      <c r="I38" s="215" t="s">
        <v>165</v>
      </c>
      <c r="J38" s="233" t="s">
        <v>189</v>
      </c>
      <c r="K38" s="215"/>
      <c r="L38" s="234"/>
      <c r="M38" s="234"/>
      <c r="N38" s="234"/>
      <c r="O38" s="218">
        <v>0</v>
      </c>
      <c r="P38" s="228">
        <v>31</v>
      </c>
      <c r="Q38" s="229"/>
      <c r="R38" s="230"/>
      <c r="S38" s="231"/>
      <c r="T38" s="215"/>
      <c r="U38" s="231"/>
      <c r="V38" s="232"/>
      <c r="W38" s="215"/>
      <c r="X38" s="215"/>
      <c r="Y38" s="233"/>
      <c r="Z38" s="215"/>
      <c r="AA38" s="234"/>
      <c r="AB38" s="234"/>
      <c r="AC38" s="234"/>
      <c r="AD38" s="234"/>
      <c r="AE38" s="238"/>
      <c r="AF38" s="234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440">
        <v>308</v>
      </c>
      <c r="C39" s="230" t="s">
        <v>135</v>
      </c>
      <c r="D39" s="231" t="s">
        <v>674</v>
      </c>
      <c r="E39" s="215"/>
      <c r="F39" s="231" t="s">
        <v>55</v>
      </c>
      <c r="G39" s="232" t="s">
        <v>172</v>
      </c>
      <c r="H39" s="215" t="s">
        <v>164</v>
      </c>
      <c r="I39" s="215" t="s">
        <v>165</v>
      </c>
      <c r="J39" s="233" t="s">
        <v>189</v>
      </c>
      <c r="K39" s="215"/>
      <c r="L39" s="234"/>
      <c r="M39" s="234"/>
      <c r="N39" s="234"/>
      <c r="O39" s="218">
        <v>0</v>
      </c>
      <c r="P39" s="228">
        <v>32</v>
      </c>
      <c r="Q39" s="229"/>
      <c r="R39" s="230"/>
      <c r="S39" s="490"/>
      <c r="T39" s="215"/>
      <c r="U39" s="231"/>
      <c r="V39" s="232"/>
      <c r="W39" s="215"/>
      <c r="X39" s="215"/>
      <c r="Y39" s="233"/>
      <c r="Z39" s="215"/>
      <c r="AA39" s="234"/>
      <c r="AB39" s="234"/>
      <c r="AC39" s="234"/>
      <c r="AD39" s="234"/>
      <c r="AE39" s="238"/>
      <c r="AF39" s="234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440">
        <v>307</v>
      </c>
      <c r="C40" s="230" t="s">
        <v>74</v>
      </c>
      <c r="D40" s="251" t="s">
        <v>662</v>
      </c>
      <c r="E40" s="215"/>
      <c r="F40" s="231" t="s">
        <v>55</v>
      </c>
      <c r="G40" s="232" t="s">
        <v>172</v>
      </c>
      <c r="H40" s="215" t="s">
        <v>164</v>
      </c>
      <c r="I40" s="215" t="s">
        <v>165</v>
      </c>
      <c r="J40" s="233" t="s">
        <v>193</v>
      </c>
      <c r="K40" s="238"/>
      <c r="L40" s="234"/>
      <c r="M40" s="234"/>
      <c r="N40" s="234"/>
      <c r="O40" s="218">
        <v>0</v>
      </c>
      <c r="P40" s="228">
        <v>33</v>
      </c>
      <c r="Q40" s="229"/>
      <c r="R40" s="230"/>
      <c r="S40" s="231"/>
      <c r="T40" s="215"/>
      <c r="U40" s="231"/>
      <c r="V40" s="232"/>
      <c r="W40" s="215"/>
      <c r="X40" s="215"/>
      <c r="Y40" s="233"/>
      <c r="Z40" s="215"/>
      <c r="AA40" s="234"/>
      <c r="AB40" s="234"/>
      <c r="AC40" s="234"/>
      <c r="AD40" s="234"/>
      <c r="AE40" s="238"/>
      <c r="AF40" s="234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440">
        <v>401</v>
      </c>
      <c r="C41" s="230" t="s">
        <v>74</v>
      </c>
      <c r="D41" s="231" t="s">
        <v>913</v>
      </c>
      <c r="E41" s="215"/>
      <c r="F41" s="231" t="s">
        <v>161</v>
      </c>
      <c r="G41" s="232" t="s">
        <v>172</v>
      </c>
      <c r="H41" s="215" t="s">
        <v>164</v>
      </c>
      <c r="I41" s="215" t="s">
        <v>165</v>
      </c>
      <c r="J41" s="233" t="s">
        <v>189</v>
      </c>
      <c r="K41" s="215"/>
      <c r="L41" s="234"/>
      <c r="M41" s="234"/>
      <c r="N41" s="234"/>
      <c r="O41" s="218">
        <v>0</v>
      </c>
      <c r="P41" s="228">
        <v>34</v>
      </c>
      <c r="Q41" s="229"/>
      <c r="R41" s="230"/>
      <c r="S41" s="231"/>
      <c r="T41" s="215"/>
      <c r="U41" s="231"/>
      <c r="V41" s="232"/>
      <c r="W41" s="215"/>
      <c r="X41" s="215"/>
      <c r="Y41" s="233"/>
      <c r="Z41" s="215"/>
      <c r="AA41" s="234"/>
      <c r="AB41" s="234"/>
      <c r="AC41" s="234"/>
      <c r="AD41" s="234"/>
      <c r="AE41" s="238"/>
      <c r="AF41" s="234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440">
        <v>1110</v>
      </c>
      <c r="C42" s="230" t="s">
        <v>81</v>
      </c>
      <c r="D42" s="231" t="s">
        <v>613</v>
      </c>
      <c r="E42" s="215"/>
      <c r="F42" s="215" t="s">
        <v>161</v>
      </c>
      <c r="G42" s="232" t="s">
        <v>172</v>
      </c>
      <c r="H42" s="215" t="s">
        <v>164</v>
      </c>
      <c r="I42" s="215" t="s">
        <v>165</v>
      </c>
      <c r="J42" s="233" t="s">
        <v>247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51"/>
      <c r="T42" s="215"/>
      <c r="U42" s="231"/>
      <c r="V42" s="232"/>
      <c r="W42" s="215"/>
      <c r="X42" s="215"/>
      <c r="Y42" s="233"/>
      <c r="Z42" s="238"/>
      <c r="AA42" s="234"/>
      <c r="AB42" s="234"/>
      <c r="AC42" s="234"/>
      <c r="AD42" s="234"/>
      <c r="AE42" s="238"/>
      <c r="AF42" s="234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440">
        <v>702</v>
      </c>
      <c r="C43" s="230" t="s">
        <v>81</v>
      </c>
      <c r="D43" s="231" t="s">
        <v>576</v>
      </c>
      <c r="E43" s="215" t="s">
        <v>577</v>
      </c>
      <c r="F43" s="231" t="s">
        <v>168</v>
      </c>
      <c r="G43" s="232" t="s">
        <v>172</v>
      </c>
      <c r="H43" s="215" t="s">
        <v>164</v>
      </c>
      <c r="I43" s="215" t="s">
        <v>165</v>
      </c>
      <c r="J43" s="215" t="s">
        <v>190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15"/>
      <c r="V43" s="232"/>
      <c r="W43" s="215"/>
      <c r="X43" s="215"/>
      <c r="Y43" s="233"/>
      <c r="Z43" s="215"/>
      <c r="AA43" s="234"/>
      <c r="AB43" s="234"/>
      <c r="AC43" s="234"/>
      <c r="AD43" s="234"/>
      <c r="AE43" s="238"/>
      <c r="AF43" s="234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440">
        <v>1210</v>
      </c>
      <c r="C44" s="230" t="s">
        <v>81</v>
      </c>
      <c r="D44" s="456" t="s">
        <v>573</v>
      </c>
      <c r="E44" s="215"/>
      <c r="F44" s="215" t="s">
        <v>161</v>
      </c>
      <c r="G44" s="232" t="s">
        <v>174</v>
      </c>
      <c r="H44" s="215" t="s">
        <v>164</v>
      </c>
      <c r="I44" s="215" t="s">
        <v>165</v>
      </c>
      <c r="J44" s="233" t="s">
        <v>247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32"/>
      <c r="W44" s="215"/>
      <c r="X44" s="215"/>
      <c r="Y44" s="215"/>
      <c r="Z44" s="215"/>
      <c r="AA44" s="234"/>
      <c r="AB44" s="234"/>
      <c r="AC44" s="234"/>
      <c r="AD44" s="234"/>
      <c r="AE44" s="238"/>
      <c r="AF44" s="234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440">
        <v>713</v>
      </c>
      <c r="C45" s="230" t="s">
        <v>73</v>
      </c>
      <c r="D45" s="231" t="s">
        <v>572</v>
      </c>
      <c r="E45" s="215" t="s">
        <v>166</v>
      </c>
      <c r="F45" s="231" t="s">
        <v>159</v>
      </c>
      <c r="G45" s="232" t="s">
        <v>172</v>
      </c>
      <c r="H45" s="215" t="s">
        <v>164</v>
      </c>
      <c r="I45" s="215" t="s">
        <v>165</v>
      </c>
      <c r="J45" s="233" t="s">
        <v>247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234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440">
        <v>409</v>
      </c>
      <c r="C46" s="230" t="s">
        <v>70</v>
      </c>
      <c r="D46" s="231" t="s">
        <v>538</v>
      </c>
      <c r="E46" s="215" t="s">
        <v>318</v>
      </c>
      <c r="F46" s="231" t="s">
        <v>167</v>
      </c>
      <c r="G46" s="232" t="s">
        <v>172</v>
      </c>
      <c r="H46" s="215" t="s">
        <v>164</v>
      </c>
      <c r="I46" s="215" t="s">
        <v>165</v>
      </c>
      <c r="J46" s="233" t="s">
        <v>247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440">
        <v>609</v>
      </c>
      <c r="C47" s="230" t="s">
        <v>70</v>
      </c>
      <c r="D47" s="231" t="s">
        <v>517</v>
      </c>
      <c r="E47" s="215" t="s">
        <v>318</v>
      </c>
      <c r="F47" s="231" t="s">
        <v>167</v>
      </c>
      <c r="G47" s="232" t="s">
        <v>172</v>
      </c>
      <c r="H47" s="215" t="s">
        <v>164</v>
      </c>
      <c r="I47" s="215" t="s">
        <v>165</v>
      </c>
      <c r="J47" s="233" t="s">
        <v>189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440">
        <v>309</v>
      </c>
      <c r="C48" s="230" t="s">
        <v>73</v>
      </c>
      <c r="D48" s="251" t="s">
        <v>465</v>
      </c>
      <c r="E48" s="215"/>
      <c r="F48" s="231" t="s">
        <v>55</v>
      </c>
      <c r="G48" s="232" t="s">
        <v>172</v>
      </c>
      <c r="H48" s="215" t="s">
        <v>164</v>
      </c>
      <c r="I48" s="215" t="s">
        <v>165</v>
      </c>
      <c r="J48" s="215" t="s">
        <v>190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84">
        <v>1114</v>
      </c>
      <c r="C49" s="285" t="s">
        <v>81</v>
      </c>
      <c r="D49" s="462" t="s">
        <v>373</v>
      </c>
      <c r="E49" s="276"/>
      <c r="F49" s="275" t="s">
        <v>159</v>
      </c>
      <c r="G49" s="277" t="s">
        <v>249</v>
      </c>
      <c r="H49" s="276" t="s">
        <v>164</v>
      </c>
      <c r="I49" s="276" t="s">
        <v>165</v>
      </c>
      <c r="J49" s="278" t="s">
        <v>189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13</v>
      </c>
      <c r="AQ60" s="56">
        <f>SUMIF($C$8:$C$72, $AK60, $L$8:$L$72)+SUMIF($C$8:$C$72, $AK60, $M$8:$M$72)+SUMIF($C$8:$C$72, $AK60, $N$8:$N$72)+SUMIF($C$8:$C$72, $AK60, $O$8:$O$72)</f>
        <v>1295000</v>
      </c>
      <c r="AR60" s="57">
        <f>AQ60*0.9</f>
        <v>1165500</v>
      </c>
      <c r="AS60" s="58">
        <f t="shared" ref="AS60:AS70" si="4">SUM(AN60+AQ60)</f>
        <v>1295000</v>
      </c>
      <c r="AT60" s="59">
        <f t="shared" ref="AT60:AT70" si="5">AO60+AR60</f>
        <v>1165500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9</v>
      </c>
      <c r="AQ61" s="56">
        <f t="shared" ref="AQ61:AQ70" si="8">SUMIF($C$8:$C$72, $AK61, $L$8:$L$72)+SUMIF($C$8:$C$72, $AK61, $M$8:$M$72)+SUMIF($C$8:$C$72, $AK61, $N$8:$N$72)+SUMIF($C$8:$C$72, $AK61, $O$8:$O$72)</f>
        <v>915000</v>
      </c>
      <c r="AR61" s="57">
        <f t="shared" ref="AR61:AR70" si="9">AQ61*0.9</f>
        <v>823500</v>
      </c>
      <c r="AS61" s="58">
        <f t="shared" si="4"/>
        <v>915000</v>
      </c>
      <c r="AT61" s="59">
        <f t="shared" si="5"/>
        <v>823500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2</v>
      </c>
      <c r="AQ62" s="56">
        <f t="shared" si="8"/>
        <v>280000</v>
      </c>
      <c r="AR62" s="57">
        <f t="shared" si="9"/>
        <v>252000</v>
      </c>
      <c r="AS62" s="58">
        <f t="shared" si="4"/>
        <v>280000</v>
      </c>
      <c r="AT62" s="59">
        <f t="shared" si="5"/>
        <v>252000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4</v>
      </c>
      <c r="AQ66" s="56">
        <f t="shared" si="8"/>
        <v>255000</v>
      </c>
      <c r="AR66" s="57">
        <f t="shared" si="9"/>
        <v>229500</v>
      </c>
      <c r="AS66" s="58">
        <f t="shared" si="4"/>
        <v>255000</v>
      </c>
      <c r="AT66" s="59">
        <f t="shared" si="5"/>
        <v>229500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11</v>
      </c>
      <c r="AQ67" s="56">
        <f t="shared" si="8"/>
        <v>704840</v>
      </c>
      <c r="AR67" s="57">
        <f t="shared" si="9"/>
        <v>634356</v>
      </c>
      <c r="AS67" s="58">
        <f t="shared" si="4"/>
        <v>704840</v>
      </c>
      <c r="AT67" s="59">
        <f t="shared" si="5"/>
        <v>634356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 t="s">
        <v>1078</v>
      </c>
      <c r="D68" s="231"/>
      <c r="E68" s="215"/>
      <c r="F68" s="231"/>
      <c r="G68" s="232"/>
      <c r="H68" s="215"/>
      <c r="I68" s="215"/>
      <c r="J68" s="215"/>
      <c r="K68" s="215"/>
      <c r="L68" s="234"/>
      <c r="M68" s="234"/>
      <c r="N68" s="234">
        <v>20000</v>
      </c>
      <c r="O68" s="218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180625</v>
      </c>
      <c r="AR68" s="57">
        <f t="shared" si="9"/>
        <v>162562.5</v>
      </c>
      <c r="AS68" s="58">
        <f t="shared" si="4"/>
        <v>180625</v>
      </c>
      <c r="AT68" s="59">
        <f t="shared" si="5"/>
        <v>162562.5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3773465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1</v>
      </c>
      <c r="AQ70" s="56">
        <f t="shared" si="8"/>
        <v>143000</v>
      </c>
      <c r="AR70" s="57">
        <f t="shared" si="9"/>
        <v>128700</v>
      </c>
      <c r="AS70" s="58">
        <f t="shared" si="4"/>
        <v>143000</v>
      </c>
      <c r="AT70" s="59">
        <f t="shared" si="5"/>
        <v>128700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3797465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42</v>
      </c>
      <c r="AQ73" s="22">
        <f t="shared" si="10"/>
        <v>3773465</v>
      </c>
      <c r="AR73" s="23">
        <f t="shared" si="10"/>
        <v>3396118.5</v>
      </c>
      <c r="AS73" s="24">
        <f t="shared" si="10"/>
        <v>3773465</v>
      </c>
      <c r="AT73" s="25">
        <f t="shared" si="10"/>
        <v>3396118.5</v>
      </c>
      <c r="AU73" s="692" t="s">
        <v>58</v>
      </c>
      <c r="AV73" s="693"/>
      <c r="AW73" s="693"/>
      <c r="AX73" s="693"/>
      <c r="AY73" s="694"/>
      <c r="AZ73" s="695">
        <f>AS58+AT73</f>
        <v>3396118.5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3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8">
    <cfRule type="cellIs" dxfId="289" priority="1" operator="equal">
      <formula>"여기어때"</formula>
    </cfRule>
    <cfRule type="cellIs" dxfId="288" priority="2" operator="equal">
      <formula>"야놀자"</formula>
    </cfRule>
  </conditionalFormatting>
  <conditionalFormatting sqref="R8:R66">
    <cfRule type="cellIs" dxfId="287" priority="105" operator="equal">
      <formula>"여기어때"</formula>
    </cfRule>
    <cfRule type="cellIs" dxfId="286" priority="106" operator="equal">
      <formula>"야놀자"</formula>
    </cfRule>
  </conditionalFormatting>
  <conditionalFormatting sqref="R73">
    <cfRule type="cellIs" dxfId="285" priority="435" operator="equal">
      <formula>"여기어때"</formula>
    </cfRule>
    <cfRule type="cellIs" dxfId="284" priority="436" operator="equal">
      <formula>"야놀자"</formula>
    </cfRule>
  </conditionalFormatting>
  <conditionalFormatting sqref="AL30:AM30">
    <cfRule type="cellIs" dxfId="283" priority="420" operator="greaterThan">
      <formula>$AL$29</formula>
    </cfRule>
    <cfRule type="cellIs" dxfId="282" priority="428" operator="equal">
      <formula>$AL$29</formula>
    </cfRule>
  </conditionalFormatting>
  <conditionalFormatting sqref="AN30:AO30">
    <cfRule type="cellIs" dxfId="281" priority="419" operator="greaterThan">
      <formula>$AN$29</formula>
    </cfRule>
    <cfRule type="cellIs" dxfId="280" priority="427" operator="equal">
      <formula>$AN$29</formula>
    </cfRule>
  </conditionalFormatting>
  <conditionalFormatting sqref="AP30:AQ30">
    <cfRule type="cellIs" dxfId="279" priority="418" operator="greaterThan">
      <formula>$AP$29</formula>
    </cfRule>
    <cfRule type="cellIs" dxfId="278" priority="426" operator="equal">
      <formula>$AP$29</formula>
    </cfRule>
  </conditionalFormatting>
  <conditionalFormatting sqref="AR30">
    <cfRule type="cellIs" dxfId="277" priority="417" operator="greaterThan">
      <formula>$AR$29</formula>
    </cfRule>
    <cfRule type="cellIs" dxfId="276" priority="425" operator="equal">
      <formula>$AR$29</formula>
    </cfRule>
  </conditionalFormatting>
  <conditionalFormatting sqref="AS30:AT30">
    <cfRule type="cellIs" dxfId="275" priority="416" operator="greaterThan">
      <formula>$AS$29</formula>
    </cfRule>
    <cfRule type="cellIs" dxfId="274" priority="424" operator="equal">
      <formula>$AS$29</formula>
    </cfRule>
  </conditionalFormatting>
  <conditionalFormatting sqref="AU30:AV30">
    <cfRule type="cellIs" dxfId="273" priority="415" operator="greaterThan">
      <formula>$AU$29</formula>
    </cfRule>
    <cfRule type="cellIs" dxfId="272" priority="423" operator="equal">
      <formula>$AU$29</formula>
    </cfRule>
  </conditionalFormatting>
  <conditionalFormatting sqref="AW30">
    <cfRule type="cellIs" dxfId="271" priority="414" operator="greaterThan">
      <formula>$AW$29</formula>
    </cfRule>
    <cfRule type="cellIs" dxfId="270" priority="422" operator="equal">
      <formula>$AW$29</formula>
    </cfRule>
  </conditionalFormatting>
  <conditionalFormatting sqref="AX30:AY30">
    <cfRule type="cellIs" dxfId="269" priority="413" operator="greaterThan">
      <formula>$AX$29</formula>
    </cfRule>
    <cfRule type="cellIs" dxfId="268" priority="421" operator="equal">
      <formula>$AX$29</formula>
    </cfRule>
  </conditionalFormatting>
  <dataValidations count="1">
    <dataValidation type="list" allowBlank="1" showInputMessage="1" showErrorMessage="1" sqref="A8:A67 C69:C73 C75:C76 P8:P67" xr:uid="{F049E5A9-35C9-4994-BCC7-86345F4E113D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82C8-076D-461B-9677-5873E5E941AE}">
  <sheetPr codeName="Sheet21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C8" sqref="C8"/>
      <selection pane="bottomLeft" activeCell="M17" sqref="M17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98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45921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3846569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29</v>
      </c>
      <c r="O2" s="786"/>
      <c r="P2" s="807"/>
      <c r="Q2" s="808"/>
      <c r="R2" s="899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405500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'21'!AA1</f>
        <v>45921</v>
      </c>
      <c r="AM2" s="863"/>
      <c r="AN2" s="863"/>
      <c r="AO2" s="864"/>
      <c r="AP2" s="865" t="s">
        <v>10</v>
      </c>
      <c r="AQ2" s="866"/>
      <c r="AR2" s="866"/>
      <c r="AS2" s="863">
        <f>AA1+1</f>
        <v>45922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3846569</v>
      </c>
      <c r="O3" s="854"/>
      <c r="P3" s="809"/>
      <c r="Q3" s="810"/>
      <c r="R3" s="90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417500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1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1</v>
      </c>
      <c r="D6" s="356">
        <f>AN31</f>
        <v>0</v>
      </c>
      <c r="E6" s="356">
        <f>AP31</f>
        <v>2</v>
      </c>
      <c r="F6" s="356">
        <f>AR31</f>
        <v>0</v>
      </c>
      <c r="G6" s="356">
        <f>AS31</f>
        <v>3</v>
      </c>
      <c r="H6" s="356">
        <f>AU31</f>
        <v>4</v>
      </c>
      <c r="I6" s="356">
        <f>AW31</f>
        <v>3</v>
      </c>
      <c r="J6" s="356">
        <f>AX31</f>
        <v>0</v>
      </c>
      <c r="K6" s="606"/>
      <c r="L6" s="607"/>
      <c r="M6" s="356"/>
      <c r="N6" s="606">
        <f>C6+D6+E6+F6+G6+H6+I6+J6+K6</f>
        <v>13</v>
      </c>
      <c r="O6" s="602"/>
      <c r="P6" s="599">
        <f>C2</f>
        <v>3846569</v>
      </c>
      <c r="Q6" s="600"/>
      <c r="R6" s="300">
        <f>AN14+AN15</f>
        <v>12000</v>
      </c>
      <c r="S6" s="300">
        <f>AZ14+AZ15</f>
        <v>0</v>
      </c>
      <c r="T6" s="300">
        <f>AR14+AR15</f>
        <v>87000</v>
      </c>
      <c r="U6" s="609">
        <f>AS60</f>
        <v>485000</v>
      </c>
      <c r="V6" s="600"/>
      <c r="W6" s="609">
        <f>AS61</f>
        <v>425000</v>
      </c>
      <c r="X6" s="600"/>
      <c r="Y6" s="609">
        <f>AS62</f>
        <v>65000</v>
      </c>
      <c r="Z6" s="600"/>
      <c r="AA6" s="300">
        <f>AS63</f>
        <v>0</v>
      </c>
      <c r="AB6" s="300">
        <f>AS66</f>
        <v>471900</v>
      </c>
      <c r="AC6" s="300">
        <f>AS67</f>
        <v>136482</v>
      </c>
      <c r="AD6" s="300">
        <f>SUMIFS(O7:O47,C7:C47,"트립")</f>
        <v>383989</v>
      </c>
      <c r="AE6" s="300">
        <f>AS65</f>
        <v>157698</v>
      </c>
      <c r="AF6" s="300">
        <f>AS69</f>
        <v>1622500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404</v>
      </c>
      <c r="C8" s="230" t="s">
        <v>170</v>
      </c>
      <c r="D8" s="251" t="s">
        <v>257</v>
      </c>
      <c r="E8" s="215" t="s">
        <v>1002</v>
      </c>
      <c r="F8" s="231" t="s">
        <v>167</v>
      </c>
      <c r="G8" s="232" t="s">
        <v>163</v>
      </c>
      <c r="H8" s="215" t="s">
        <v>164</v>
      </c>
      <c r="I8" s="215" t="s">
        <v>165</v>
      </c>
      <c r="J8" s="215" t="s">
        <v>189</v>
      </c>
      <c r="K8" s="215"/>
      <c r="L8" s="234"/>
      <c r="M8" s="234"/>
      <c r="N8" s="234"/>
      <c r="O8" s="218">
        <v>93925</v>
      </c>
      <c r="P8" s="228">
        <v>1</v>
      </c>
      <c r="Q8" s="229"/>
      <c r="R8" s="230"/>
      <c r="S8" s="231"/>
      <c r="T8" s="215"/>
      <c r="U8" s="240"/>
      <c r="V8" s="215"/>
      <c r="W8" s="215"/>
      <c r="X8" s="233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319">
        <v>1214</v>
      </c>
      <c r="C9" s="230" t="s">
        <v>73</v>
      </c>
      <c r="D9" s="231" t="s">
        <v>345</v>
      </c>
      <c r="E9" s="215" t="s">
        <v>166</v>
      </c>
      <c r="F9" s="231" t="s">
        <v>159</v>
      </c>
      <c r="G9" s="232" t="s">
        <v>163</v>
      </c>
      <c r="H9" s="215" t="s">
        <v>164</v>
      </c>
      <c r="I9" s="215" t="s">
        <v>165</v>
      </c>
      <c r="J9" s="215" t="s">
        <v>691</v>
      </c>
      <c r="K9" s="238"/>
      <c r="L9" s="234"/>
      <c r="M9" s="234"/>
      <c r="N9" s="234"/>
      <c r="O9" s="218">
        <v>60000</v>
      </c>
      <c r="P9" s="228">
        <v>2</v>
      </c>
      <c r="Q9" s="229"/>
      <c r="R9" s="230"/>
      <c r="S9" s="231"/>
      <c r="T9" s="215"/>
      <c r="U9" s="240"/>
      <c r="V9" s="215"/>
      <c r="W9" s="215"/>
      <c r="X9" s="233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319">
        <v>307</v>
      </c>
      <c r="C10" s="230" t="s">
        <v>70</v>
      </c>
      <c r="D10" s="251" t="s">
        <v>540</v>
      </c>
      <c r="E10" s="215"/>
      <c r="F10" s="256" t="s">
        <v>55</v>
      </c>
      <c r="G10" s="232" t="s">
        <v>173</v>
      </c>
      <c r="H10" s="215" t="s">
        <v>164</v>
      </c>
      <c r="I10" s="215" t="s">
        <v>165</v>
      </c>
      <c r="J10" s="215" t="s">
        <v>247</v>
      </c>
      <c r="K10" s="238"/>
      <c r="L10" s="234"/>
      <c r="M10" s="234"/>
      <c r="N10" s="234"/>
      <c r="O10" s="218">
        <v>198900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3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65000</v>
      </c>
      <c r="AS10" s="627"/>
      <c r="AT10" s="625">
        <f>COUNTA($O$8:$O$67)</f>
        <v>28</v>
      </c>
      <c r="AU10" s="625"/>
      <c r="AV10" s="625">
        <f>SUM(O8:O67)</f>
        <v>3747569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29</v>
      </c>
      <c r="BC10" s="799"/>
      <c r="BD10" s="800">
        <f>SUM(AN10+AR10+AV10+AZ10)</f>
        <v>3812569</v>
      </c>
      <c r="BE10" s="801"/>
    </row>
    <row r="11" spans="1:58" ht="64.5" customHeight="1" x14ac:dyDescent="0.3">
      <c r="A11" s="228">
        <v>4</v>
      </c>
      <c r="B11" s="319">
        <v>1206</v>
      </c>
      <c r="C11" s="230" t="s">
        <v>73</v>
      </c>
      <c r="D11" s="251" t="s">
        <v>484</v>
      </c>
      <c r="E11" s="215" t="s">
        <v>166</v>
      </c>
      <c r="F11" s="231" t="s">
        <v>160</v>
      </c>
      <c r="G11" s="232" t="s">
        <v>163</v>
      </c>
      <c r="H11" s="215" t="s">
        <v>164</v>
      </c>
      <c r="I11" s="215" t="s">
        <v>165</v>
      </c>
      <c r="J11" s="215" t="s">
        <v>247</v>
      </c>
      <c r="K11" s="215"/>
      <c r="L11" s="234"/>
      <c r="M11" s="234"/>
      <c r="N11" s="234"/>
      <c r="O11" s="218">
        <v>60000</v>
      </c>
      <c r="P11" s="228">
        <v>4</v>
      </c>
      <c r="Q11" s="229"/>
      <c r="R11" s="230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805</v>
      </c>
      <c r="C12" s="230" t="s">
        <v>81</v>
      </c>
      <c r="D12" s="251" t="s">
        <v>430</v>
      </c>
      <c r="E12" s="215"/>
      <c r="F12" s="231" t="s">
        <v>167</v>
      </c>
      <c r="G12" s="232" t="s">
        <v>163</v>
      </c>
      <c r="H12" s="215" t="s">
        <v>164</v>
      </c>
      <c r="I12" s="215" t="s">
        <v>165</v>
      </c>
      <c r="J12" s="233" t="s">
        <v>189</v>
      </c>
      <c r="K12" s="215"/>
      <c r="L12" s="234"/>
      <c r="M12" s="234"/>
      <c r="N12" s="234"/>
      <c r="O12" s="218">
        <v>68241</v>
      </c>
      <c r="P12" s="228">
        <v>5</v>
      </c>
      <c r="Q12" s="229"/>
      <c r="R12" s="230"/>
      <c r="S12" s="231"/>
      <c r="T12" s="215"/>
      <c r="U12" s="231"/>
      <c r="V12" s="215"/>
      <c r="W12" s="215"/>
      <c r="X12" s="233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1</v>
      </c>
      <c r="AM12" s="780"/>
      <c r="AN12" s="784">
        <f>SUM(L68:L76)</f>
        <v>10000</v>
      </c>
      <c r="AO12" s="785"/>
      <c r="AP12" s="784">
        <f>COUNTA($M$68:$M$76)</f>
        <v>1</v>
      </c>
      <c r="AQ12" s="785"/>
      <c r="AR12" s="784">
        <f>SUM(M68:M76)</f>
        <v>20000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2</v>
      </c>
      <c r="BC12" s="785"/>
      <c r="BD12" s="780">
        <f>SUM(AN12+AR12+AV12+AZ12)</f>
        <v>30000</v>
      </c>
      <c r="BE12" s="781"/>
    </row>
    <row r="13" spans="1:58" ht="64.5" customHeight="1" x14ac:dyDescent="0.3">
      <c r="A13" s="228">
        <v>6</v>
      </c>
      <c r="B13" s="319">
        <v>1111</v>
      </c>
      <c r="C13" s="230" t="s">
        <v>689</v>
      </c>
      <c r="D13" s="251" t="s">
        <v>835</v>
      </c>
      <c r="E13" s="215" t="s">
        <v>166</v>
      </c>
      <c r="F13" s="231" t="s">
        <v>690</v>
      </c>
      <c r="G13" s="232" t="s">
        <v>720</v>
      </c>
      <c r="H13" s="215" t="s">
        <v>164</v>
      </c>
      <c r="I13" s="215" t="s">
        <v>165</v>
      </c>
      <c r="J13" s="215" t="s">
        <v>713</v>
      </c>
      <c r="K13" s="215"/>
      <c r="L13" s="234"/>
      <c r="M13" s="234"/>
      <c r="N13" s="234"/>
      <c r="O13" s="218">
        <v>120000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3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19">
        <v>305</v>
      </c>
      <c r="C14" s="230" t="s">
        <v>775</v>
      </c>
      <c r="D14" s="251" t="s">
        <v>1094</v>
      </c>
      <c r="E14" s="215" t="s">
        <v>890</v>
      </c>
      <c r="F14" s="231" t="s">
        <v>700</v>
      </c>
      <c r="G14" s="232" t="s">
        <v>688</v>
      </c>
      <c r="H14" s="215" t="s">
        <v>164</v>
      </c>
      <c r="I14" s="215" t="s">
        <v>165</v>
      </c>
      <c r="J14" s="215" t="s">
        <v>733</v>
      </c>
      <c r="K14" s="215"/>
      <c r="L14" s="234"/>
      <c r="M14" s="234">
        <v>65000</v>
      </c>
      <c r="N14" s="234"/>
      <c r="O14" s="218"/>
      <c r="P14" s="228">
        <v>7</v>
      </c>
      <c r="Q14" s="229"/>
      <c r="R14" s="230"/>
      <c r="S14" s="231"/>
      <c r="T14" s="215"/>
      <c r="U14" s="231"/>
      <c r="V14" s="215"/>
      <c r="W14" s="215"/>
      <c r="X14" s="233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10000</v>
      </c>
      <c r="AO14" s="655"/>
      <c r="AP14" s="653">
        <f t="shared" ref="AP14" si="0">SUM(AP10:AQ11)</f>
        <v>1</v>
      </c>
      <c r="AQ14" s="653"/>
      <c r="AR14" s="653">
        <f>SUM(AR10:AS13)</f>
        <v>85000</v>
      </c>
      <c r="AS14" s="653"/>
      <c r="AT14" s="653">
        <f t="shared" ref="AT14" si="1">SUM(AT10:AU11)</f>
        <v>28</v>
      </c>
      <c r="AU14" s="653"/>
      <c r="AV14" s="653">
        <f>SUM(AV10:AW13)</f>
        <v>3747569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29</v>
      </c>
      <c r="BC14" s="655"/>
      <c r="BD14" s="782">
        <f>SUM(BD10:BE13)</f>
        <v>3842569</v>
      </c>
      <c r="BE14" s="783"/>
    </row>
    <row r="15" spans="1:58" ht="64.5" customHeight="1" thickBot="1" x14ac:dyDescent="0.35">
      <c r="A15" s="228">
        <v>8</v>
      </c>
      <c r="B15" s="319">
        <v>705</v>
      </c>
      <c r="C15" s="230" t="s">
        <v>702</v>
      </c>
      <c r="D15" s="251" t="s">
        <v>993</v>
      </c>
      <c r="E15" s="215" t="s">
        <v>1090</v>
      </c>
      <c r="F15" s="231" t="s">
        <v>751</v>
      </c>
      <c r="G15" s="232" t="s">
        <v>891</v>
      </c>
      <c r="H15" s="215" t="s">
        <v>164</v>
      </c>
      <c r="I15" s="215" t="s">
        <v>165</v>
      </c>
      <c r="J15" s="233" t="s">
        <v>886</v>
      </c>
      <c r="K15" s="215"/>
      <c r="L15" s="234"/>
      <c r="M15" s="234"/>
      <c r="N15" s="234"/>
      <c r="O15" s="218">
        <v>412500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3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1</v>
      </c>
      <c r="AQ15" s="633"/>
      <c r="AR15" s="632">
        <f>AR24</f>
        <v>2000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319">
        <v>902</v>
      </c>
      <c r="C16" s="230" t="s">
        <v>702</v>
      </c>
      <c r="D16" s="251" t="s">
        <v>994</v>
      </c>
      <c r="E16" s="215" t="s">
        <v>1090</v>
      </c>
      <c r="F16" s="231" t="s">
        <v>167</v>
      </c>
      <c r="G16" s="232" t="s">
        <v>891</v>
      </c>
      <c r="H16" s="215" t="s">
        <v>164</v>
      </c>
      <c r="I16" s="215" t="s">
        <v>165</v>
      </c>
      <c r="J16" s="233" t="s">
        <v>886</v>
      </c>
      <c r="K16" s="215"/>
      <c r="L16" s="234"/>
      <c r="M16" s="234"/>
      <c r="N16" s="234"/>
      <c r="O16" s="218">
        <v>412500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3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3846569</v>
      </c>
      <c r="BE16" s="652"/>
      <c r="BF16" s="10"/>
    </row>
    <row r="17" spans="1:62" ht="64.5" customHeight="1" thickBot="1" x14ac:dyDescent="0.35">
      <c r="A17" s="228">
        <v>10</v>
      </c>
      <c r="B17" s="319">
        <v>907</v>
      </c>
      <c r="C17" s="230" t="s">
        <v>702</v>
      </c>
      <c r="D17" s="251" t="s">
        <v>995</v>
      </c>
      <c r="E17" s="215" t="s">
        <v>1090</v>
      </c>
      <c r="F17" s="231" t="s">
        <v>167</v>
      </c>
      <c r="G17" s="232" t="s">
        <v>891</v>
      </c>
      <c r="H17" s="215" t="s">
        <v>164</v>
      </c>
      <c r="I17" s="215" t="s">
        <v>165</v>
      </c>
      <c r="J17" s="233" t="s">
        <v>886</v>
      </c>
      <c r="K17" s="215"/>
      <c r="L17" s="234"/>
      <c r="M17" s="234"/>
      <c r="N17" s="234"/>
      <c r="O17" s="218">
        <v>412500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19">
        <v>1105</v>
      </c>
      <c r="C18" s="230" t="s">
        <v>702</v>
      </c>
      <c r="D18" s="251" t="s">
        <v>996</v>
      </c>
      <c r="E18" s="215"/>
      <c r="F18" s="231" t="s">
        <v>716</v>
      </c>
      <c r="G18" s="232" t="s">
        <v>891</v>
      </c>
      <c r="H18" s="215" t="s">
        <v>164</v>
      </c>
      <c r="I18" s="215" t="s">
        <v>165</v>
      </c>
      <c r="J18" s="233" t="s">
        <v>886</v>
      </c>
      <c r="K18" s="215"/>
      <c r="L18" s="234"/>
      <c r="M18" s="234"/>
      <c r="N18" s="234"/>
      <c r="O18" s="218">
        <v>385000</v>
      </c>
      <c r="P18" s="228">
        <v>11</v>
      </c>
      <c r="Q18" s="229"/>
      <c r="R18" s="230"/>
      <c r="S18" s="231"/>
      <c r="T18" s="231"/>
      <c r="U18" s="231"/>
      <c r="V18" s="215"/>
      <c r="W18" s="215"/>
      <c r="X18" s="233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19">
        <v>1004</v>
      </c>
      <c r="C19" s="230" t="s">
        <v>707</v>
      </c>
      <c r="D19" s="251" t="s">
        <v>915</v>
      </c>
      <c r="E19" s="215"/>
      <c r="F19" s="231" t="s">
        <v>692</v>
      </c>
      <c r="G19" s="232" t="s">
        <v>688</v>
      </c>
      <c r="H19" s="215" t="s">
        <v>164</v>
      </c>
      <c r="I19" s="215" t="s">
        <v>165</v>
      </c>
      <c r="J19" s="215" t="s">
        <v>713</v>
      </c>
      <c r="K19" s="215"/>
      <c r="L19" s="234"/>
      <c r="M19" s="234"/>
      <c r="N19" s="234"/>
      <c r="O19" s="218">
        <v>68241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3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19">
        <v>1011</v>
      </c>
      <c r="C20" s="230" t="s">
        <v>686</v>
      </c>
      <c r="D20" s="251" t="s">
        <v>931</v>
      </c>
      <c r="E20" s="215" t="s">
        <v>166</v>
      </c>
      <c r="F20" s="231" t="s">
        <v>1067</v>
      </c>
      <c r="G20" s="232" t="s">
        <v>741</v>
      </c>
      <c r="H20" s="215" t="s">
        <v>164</v>
      </c>
      <c r="I20" s="215" t="s">
        <v>165</v>
      </c>
      <c r="J20" s="215" t="s">
        <v>691</v>
      </c>
      <c r="K20" s="215"/>
      <c r="L20" s="234"/>
      <c r="M20" s="234"/>
      <c r="N20" s="234"/>
      <c r="O20" s="220">
        <v>180000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3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1</v>
      </c>
      <c r="AQ20" s="655"/>
      <c r="AR20" s="654">
        <f>AP20*2000</f>
        <v>2000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19">
        <v>308</v>
      </c>
      <c r="C21" s="230" t="s">
        <v>698</v>
      </c>
      <c r="D21" s="251" t="s">
        <v>944</v>
      </c>
      <c r="E21" s="215"/>
      <c r="F21" s="231" t="s">
        <v>700</v>
      </c>
      <c r="G21" s="232" t="s">
        <v>741</v>
      </c>
      <c r="H21" s="215" t="s">
        <v>164</v>
      </c>
      <c r="I21" s="215" t="s">
        <v>165</v>
      </c>
      <c r="J21" s="215" t="s">
        <v>691</v>
      </c>
      <c r="K21" s="215"/>
      <c r="L21" s="234"/>
      <c r="M21" s="234"/>
      <c r="N21" s="234"/>
      <c r="O21" s="218">
        <v>290064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3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19">
        <v>715</v>
      </c>
      <c r="C22" s="230" t="s">
        <v>952</v>
      </c>
      <c r="D22" s="231" t="s">
        <v>975</v>
      </c>
      <c r="E22" s="215" t="s">
        <v>166</v>
      </c>
      <c r="F22" s="231" t="s">
        <v>159</v>
      </c>
      <c r="G22" s="232" t="s">
        <v>951</v>
      </c>
      <c r="H22" s="215" t="s">
        <v>164</v>
      </c>
      <c r="I22" s="215" t="s">
        <v>165</v>
      </c>
      <c r="J22" s="215" t="s">
        <v>189</v>
      </c>
      <c r="K22" s="215"/>
      <c r="L22" s="234"/>
      <c r="M22" s="234"/>
      <c r="N22" s="234"/>
      <c r="O22" s="218">
        <v>60000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19">
        <v>309</v>
      </c>
      <c r="C23" s="230" t="s">
        <v>983</v>
      </c>
      <c r="D23" s="251" t="s">
        <v>984</v>
      </c>
      <c r="E23" s="215"/>
      <c r="F23" s="231" t="s">
        <v>55</v>
      </c>
      <c r="G23" s="232" t="s">
        <v>959</v>
      </c>
      <c r="H23" s="215" t="s">
        <v>164</v>
      </c>
      <c r="I23" s="215" t="s">
        <v>165</v>
      </c>
      <c r="J23" s="215" t="s">
        <v>189</v>
      </c>
      <c r="K23" s="215"/>
      <c r="L23" s="234"/>
      <c r="M23" s="234"/>
      <c r="N23" s="234"/>
      <c r="O23" s="218">
        <v>157698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19">
        <v>809</v>
      </c>
      <c r="C24" s="230" t="s">
        <v>966</v>
      </c>
      <c r="D24" s="251" t="s">
        <v>1070</v>
      </c>
      <c r="E24" s="215" t="s">
        <v>1002</v>
      </c>
      <c r="F24" s="231" t="s">
        <v>167</v>
      </c>
      <c r="G24" s="232" t="s">
        <v>959</v>
      </c>
      <c r="H24" s="215" t="s">
        <v>164</v>
      </c>
      <c r="I24" s="215" t="s">
        <v>165</v>
      </c>
      <c r="J24" s="233" t="s">
        <v>1001</v>
      </c>
      <c r="K24" s="215"/>
      <c r="L24" s="234"/>
      <c r="M24" s="234"/>
      <c r="N24" s="234"/>
      <c r="O24" s="218">
        <v>136500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1</v>
      </c>
      <c r="AQ24" s="655"/>
      <c r="AR24" s="654">
        <f>SUM(AR20:AS23)</f>
        <v>2000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19">
        <v>911</v>
      </c>
      <c r="C25" s="230" t="s">
        <v>971</v>
      </c>
      <c r="D25" s="231" t="s">
        <v>1006</v>
      </c>
      <c r="E25" s="215" t="s">
        <v>166</v>
      </c>
      <c r="F25" s="231" t="s">
        <v>158</v>
      </c>
      <c r="G25" s="232" t="s">
        <v>951</v>
      </c>
      <c r="H25" s="215" t="s">
        <v>164</v>
      </c>
      <c r="I25" s="215" t="s">
        <v>165</v>
      </c>
      <c r="J25" s="233" t="s">
        <v>1001</v>
      </c>
      <c r="K25" s="215"/>
      <c r="L25" s="234"/>
      <c r="M25" s="234"/>
      <c r="N25" s="234"/>
      <c r="O25" s="218">
        <v>60000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19">
        <v>1115</v>
      </c>
      <c r="C26" s="230" t="s">
        <v>952</v>
      </c>
      <c r="D26" s="231" t="s">
        <v>1024</v>
      </c>
      <c r="E26" s="215"/>
      <c r="F26" s="231" t="s">
        <v>159</v>
      </c>
      <c r="G26" s="232" t="s">
        <v>951</v>
      </c>
      <c r="H26" s="215" t="s">
        <v>164</v>
      </c>
      <c r="I26" s="215" t="s">
        <v>165</v>
      </c>
      <c r="J26" s="215" t="s">
        <v>189</v>
      </c>
      <c r="K26" s="238">
        <v>1</v>
      </c>
      <c r="L26" s="234"/>
      <c r="M26" s="234"/>
      <c r="N26" s="234"/>
      <c r="O26" s="218">
        <v>65000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319">
        <v>1006</v>
      </c>
      <c r="C27" s="230" t="s">
        <v>1047</v>
      </c>
      <c r="D27" s="231" t="s">
        <v>1048</v>
      </c>
      <c r="E27" s="215" t="s">
        <v>318</v>
      </c>
      <c r="F27" s="304" t="s">
        <v>1057</v>
      </c>
      <c r="G27" s="232" t="s">
        <v>1046</v>
      </c>
      <c r="H27" s="215" t="s">
        <v>164</v>
      </c>
      <c r="I27" s="215" t="s">
        <v>165</v>
      </c>
      <c r="J27" s="215" t="s">
        <v>189</v>
      </c>
      <c r="K27" s="215"/>
      <c r="L27" s="234"/>
      <c r="M27" s="234"/>
      <c r="N27" s="234"/>
      <c r="O27" s="218">
        <v>65000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319">
        <v>811</v>
      </c>
      <c r="C28" s="230" t="s">
        <v>1062</v>
      </c>
      <c r="D28" s="231" t="s">
        <v>1063</v>
      </c>
      <c r="E28" s="215" t="s">
        <v>166</v>
      </c>
      <c r="F28" s="231" t="s">
        <v>1067</v>
      </c>
      <c r="G28" s="232" t="s">
        <v>1046</v>
      </c>
      <c r="H28" s="215" t="s">
        <v>164</v>
      </c>
      <c r="I28" s="215" t="s">
        <v>165</v>
      </c>
      <c r="J28" s="215" t="s">
        <v>189</v>
      </c>
      <c r="K28" s="215"/>
      <c r="L28" s="234"/>
      <c r="M28" s="234"/>
      <c r="N28" s="234"/>
      <c r="O28" s="218">
        <v>60000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319">
        <v>1116</v>
      </c>
      <c r="C29" s="230" t="s">
        <v>1055</v>
      </c>
      <c r="D29" s="251" t="s">
        <v>1066</v>
      </c>
      <c r="E29" s="215" t="s">
        <v>1068</v>
      </c>
      <c r="F29" s="231" t="s">
        <v>1069</v>
      </c>
      <c r="G29" s="232" t="s">
        <v>1046</v>
      </c>
      <c r="H29" s="215" t="s">
        <v>164</v>
      </c>
      <c r="I29" s="215" t="s">
        <v>165</v>
      </c>
      <c r="J29" s="215" t="s">
        <v>189</v>
      </c>
      <c r="K29" s="215"/>
      <c r="L29" s="234"/>
      <c r="M29" s="234"/>
      <c r="N29" s="234"/>
      <c r="O29" s="218">
        <v>68250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>
        <v>713</v>
      </c>
      <c r="C30" s="230" t="s">
        <v>1043</v>
      </c>
      <c r="D30" s="231" t="s">
        <v>1075</v>
      </c>
      <c r="E30" s="215" t="s">
        <v>166</v>
      </c>
      <c r="F30" s="513" t="s">
        <v>1069</v>
      </c>
      <c r="G30" s="232" t="s">
        <v>1046</v>
      </c>
      <c r="H30" s="215" t="s">
        <v>164</v>
      </c>
      <c r="I30" s="215" t="s">
        <v>165</v>
      </c>
      <c r="J30" s="215" t="s">
        <v>189</v>
      </c>
      <c r="K30" s="215"/>
      <c r="L30" s="234"/>
      <c r="M30" s="234"/>
      <c r="N30" s="234"/>
      <c r="O30" s="218">
        <v>60000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4</v>
      </c>
      <c r="AM30" s="828"/>
      <c r="AN30" s="829">
        <f>COUNTIF(F8:F67,"b")</f>
        <v>4</v>
      </c>
      <c r="AO30" s="829"/>
      <c r="AP30" s="830">
        <f>COUNTIF(F8:F67,"at")</f>
        <v>8</v>
      </c>
      <c r="AQ30" s="830"/>
      <c r="AR30" s="323">
        <f>COUNTIF(F8:F67,"aD")</f>
        <v>2</v>
      </c>
      <c r="AS30" s="830">
        <f>COUNTIF(F8:F67,"sd")</f>
        <v>8</v>
      </c>
      <c r="AT30" s="830"/>
      <c r="AU30" s="830">
        <f>COUNTIF(F8:F67,"st")</f>
        <v>1</v>
      </c>
      <c r="AV30" s="830"/>
      <c r="AW30" s="324">
        <f>COUNTIF(F8:F67,"v")</f>
        <v>2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>
        <v>1112</v>
      </c>
      <c r="C31" s="230" t="s">
        <v>1062</v>
      </c>
      <c r="D31" s="231" t="s">
        <v>1085</v>
      </c>
      <c r="E31" s="215" t="s">
        <v>166</v>
      </c>
      <c r="F31" s="231" t="s">
        <v>1069</v>
      </c>
      <c r="G31" s="232" t="s">
        <v>1046</v>
      </c>
      <c r="H31" s="215" t="s">
        <v>164</v>
      </c>
      <c r="I31" s="215" t="s">
        <v>165</v>
      </c>
      <c r="J31" s="215" t="s">
        <v>189</v>
      </c>
      <c r="K31" s="215"/>
      <c r="L31" s="234"/>
      <c r="M31" s="234"/>
      <c r="N31" s="234"/>
      <c r="O31" s="218">
        <v>60000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1</v>
      </c>
      <c r="AM31" s="815"/>
      <c r="AN31" s="816">
        <f>AN29-AN30</f>
        <v>0</v>
      </c>
      <c r="AO31" s="816"/>
      <c r="AP31" s="817">
        <f>AP29-AP30</f>
        <v>2</v>
      </c>
      <c r="AQ31" s="817"/>
      <c r="AR31" s="322">
        <f>AR29-AR30</f>
        <v>0</v>
      </c>
      <c r="AS31" s="817">
        <f>AS29-AS30</f>
        <v>3</v>
      </c>
      <c r="AT31" s="817"/>
      <c r="AU31" s="817">
        <f>AU29-AU30</f>
        <v>4</v>
      </c>
      <c r="AV31" s="817"/>
      <c r="AW31" s="322">
        <f>AW29-AW30</f>
        <v>3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19">
        <v>506</v>
      </c>
      <c r="C32" s="230" t="s">
        <v>1055</v>
      </c>
      <c r="D32" s="231" t="s">
        <v>1091</v>
      </c>
      <c r="E32" s="215" t="s">
        <v>318</v>
      </c>
      <c r="F32" s="231" t="s">
        <v>1057</v>
      </c>
      <c r="G32" s="232" t="s">
        <v>1046</v>
      </c>
      <c r="H32" s="215" t="s">
        <v>164</v>
      </c>
      <c r="I32" s="215" t="s">
        <v>165</v>
      </c>
      <c r="J32" s="215" t="s">
        <v>189</v>
      </c>
      <c r="K32" s="238"/>
      <c r="L32" s="234"/>
      <c r="M32" s="234"/>
      <c r="N32" s="234"/>
      <c r="O32" s="218">
        <v>68250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>
        <v>401</v>
      </c>
      <c r="C33" s="230" t="s">
        <v>1062</v>
      </c>
      <c r="D33" s="231" t="s">
        <v>1098</v>
      </c>
      <c r="E33" s="215" t="s">
        <v>166</v>
      </c>
      <c r="F33" s="231" t="s">
        <v>1089</v>
      </c>
      <c r="G33" s="232" t="s">
        <v>1046</v>
      </c>
      <c r="H33" s="215" t="s">
        <v>164</v>
      </c>
      <c r="I33" s="215" t="s">
        <v>165</v>
      </c>
      <c r="J33" s="215" t="s">
        <v>1060</v>
      </c>
      <c r="K33" s="215"/>
      <c r="L33" s="234"/>
      <c r="M33" s="234"/>
      <c r="N33" s="234"/>
      <c r="O33" s="218">
        <v>60000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>
        <v>1215</v>
      </c>
      <c r="C34" s="230" t="s">
        <v>1062</v>
      </c>
      <c r="D34" s="231" t="s">
        <v>1099</v>
      </c>
      <c r="E34" s="215" t="s">
        <v>1068</v>
      </c>
      <c r="F34" s="231" t="s">
        <v>1069</v>
      </c>
      <c r="G34" s="232" t="s">
        <v>1046</v>
      </c>
      <c r="H34" s="215" t="s">
        <v>164</v>
      </c>
      <c r="I34" s="215" t="s">
        <v>165</v>
      </c>
      <c r="J34" s="215" t="s">
        <v>1060</v>
      </c>
      <c r="K34" s="238">
        <v>2</v>
      </c>
      <c r="L34" s="234"/>
      <c r="M34" s="234"/>
      <c r="N34" s="234"/>
      <c r="O34" s="218">
        <v>65000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56"/>
      <c r="G35" s="232"/>
      <c r="H35" s="215"/>
      <c r="I35" s="215"/>
      <c r="J35" s="215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215"/>
      <c r="L37" s="254"/>
      <c r="M37" s="25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54"/>
      <c r="M38" s="25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15"/>
      <c r="K39" s="215"/>
      <c r="L39" s="254"/>
      <c r="M39" s="25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33"/>
      <c r="K40" s="215"/>
      <c r="L40" s="254"/>
      <c r="M40" s="25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54"/>
      <c r="M41" s="25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/>
      <c r="C42" s="230"/>
      <c r="D42" s="231"/>
      <c r="E42" s="215"/>
      <c r="F42" s="231"/>
      <c r="G42" s="232"/>
      <c r="H42" s="215"/>
      <c r="I42" s="215"/>
      <c r="J42" s="215"/>
      <c r="K42" s="215"/>
      <c r="L42" s="234"/>
      <c r="M42" s="234"/>
      <c r="N42" s="234"/>
      <c r="O42" s="218"/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/>
      <c r="C43" s="230"/>
      <c r="D43" s="231"/>
      <c r="E43" s="215"/>
      <c r="F43" s="231"/>
      <c r="G43" s="331"/>
      <c r="H43" s="215"/>
      <c r="I43" s="215"/>
      <c r="J43" s="217"/>
      <c r="K43" s="215"/>
      <c r="L43" s="234"/>
      <c r="M43" s="234"/>
      <c r="N43" s="234"/>
      <c r="O43" s="218"/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/>
      <c r="C44" s="230"/>
      <c r="D44" s="231"/>
      <c r="E44" s="215"/>
      <c r="F44" s="231"/>
      <c r="G44" s="232"/>
      <c r="H44" s="215"/>
      <c r="I44" s="215"/>
      <c r="J44" s="215"/>
      <c r="K44" s="215"/>
      <c r="L44" s="234"/>
      <c r="M44" s="234"/>
      <c r="N44" s="234"/>
      <c r="O44" s="218"/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/>
      <c r="C45" s="230"/>
      <c r="D45" s="456"/>
      <c r="E45" s="215"/>
      <c r="F45" s="215"/>
      <c r="G45" s="232"/>
      <c r="H45" s="215"/>
      <c r="I45" s="215"/>
      <c r="J45" s="233"/>
      <c r="K45" s="215"/>
      <c r="L45" s="234"/>
      <c r="M45" s="234"/>
      <c r="N45" s="234"/>
      <c r="O45" s="218"/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/>
      <c r="C46" s="230"/>
      <c r="D46" s="231"/>
      <c r="E46" s="215"/>
      <c r="F46" s="231"/>
      <c r="G46" s="232"/>
      <c r="H46" s="215"/>
      <c r="I46" s="215"/>
      <c r="J46" s="215"/>
      <c r="K46" s="215"/>
      <c r="L46" s="234"/>
      <c r="M46" s="234"/>
      <c r="N46" s="234"/>
      <c r="O46" s="218"/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/>
      <c r="C47" s="230"/>
      <c r="D47" s="231"/>
      <c r="E47" s="215"/>
      <c r="F47" s="231"/>
      <c r="G47" s="232"/>
      <c r="H47" s="215"/>
      <c r="I47" s="215"/>
      <c r="J47" s="233"/>
      <c r="K47" s="215"/>
      <c r="L47" s="234"/>
      <c r="M47" s="234"/>
      <c r="N47" s="234"/>
      <c r="O47" s="218"/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440">
        <v>1210</v>
      </c>
      <c r="C48" s="409" t="s">
        <v>81</v>
      </c>
      <c r="D48" s="456" t="s">
        <v>573</v>
      </c>
      <c r="E48" s="215"/>
      <c r="F48" s="215" t="s">
        <v>161</v>
      </c>
      <c r="G48" s="232" t="s">
        <v>175</v>
      </c>
      <c r="H48" s="215" t="s">
        <v>164</v>
      </c>
      <c r="I48" s="215" t="s">
        <v>165</v>
      </c>
      <c r="J48" s="233" t="s">
        <v>247</v>
      </c>
      <c r="K48" s="215"/>
      <c r="L48" s="234"/>
      <c r="M48" s="234"/>
      <c r="N48" s="234"/>
      <c r="O48" s="220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84">
        <v>1114</v>
      </c>
      <c r="C49" s="285" t="s">
        <v>81</v>
      </c>
      <c r="D49" s="463" t="s">
        <v>373</v>
      </c>
      <c r="E49" s="276"/>
      <c r="F49" s="275" t="s">
        <v>159</v>
      </c>
      <c r="G49" s="277" t="s">
        <v>250</v>
      </c>
      <c r="H49" s="276" t="s">
        <v>164</v>
      </c>
      <c r="I49" s="276" t="s">
        <v>165</v>
      </c>
      <c r="J49" s="278" t="s">
        <v>189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30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30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6</v>
      </c>
      <c r="AQ60" s="56">
        <f>SUMIF($C$8:$C$72, $AK60, $L$8:$L$72)+SUMIF($C$8:$C$72, $AK60, $M$8:$M$72)+SUMIF($C$8:$C$72, $AK60, $N$8:$N$72)+SUMIF($C$8:$C$72, $AK60, $O$8:$O$72)</f>
        <v>485000</v>
      </c>
      <c r="AR60" s="57">
        <f>AQ60*0.9</f>
        <v>436500</v>
      </c>
      <c r="AS60" s="58">
        <f t="shared" ref="AS60:AS70" si="4">SUM(AN60+AQ60)</f>
        <v>485000</v>
      </c>
      <c r="AT60" s="59">
        <f t="shared" ref="AT60:AT70" si="5">AO60+AR60</f>
        <v>436500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30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6</v>
      </c>
      <c r="AQ61" s="56">
        <f t="shared" ref="AQ61:AQ70" si="8">SUMIF($C$8:$C$72, $AK61, $L$8:$L$72)+SUMIF($C$8:$C$72, $AK61, $M$8:$M$72)+SUMIF($C$8:$C$72, $AK61, $N$8:$N$72)+SUMIF($C$8:$C$72, $AK61, $O$8:$O$72)</f>
        <v>425000</v>
      </c>
      <c r="AR61" s="57">
        <f t="shared" ref="AR61:AR70" si="9">AQ61*0.9</f>
        <v>382500</v>
      </c>
      <c r="AS61" s="58">
        <f t="shared" si="4"/>
        <v>425000</v>
      </c>
      <c r="AT61" s="59">
        <f t="shared" si="5"/>
        <v>382500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65000</v>
      </c>
      <c r="AR62" s="57">
        <f t="shared" si="9"/>
        <v>58500</v>
      </c>
      <c r="AS62" s="58">
        <f t="shared" si="4"/>
        <v>65000</v>
      </c>
      <c r="AT62" s="59">
        <f t="shared" si="5"/>
        <v>58500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157698</v>
      </c>
      <c r="AR65" s="57">
        <f t="shared" si="9"/>
        <v>141928.20000000001</v>
      </c>
      <c r="AS65" s="58">
        <f t="shared" si="4"/>
        <v>157698</v>
      </c>
      <c r="AT65" s="59">
        <f t="shared" si="5"/>
        <v>141928.20000000001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4</v>
      </c>
      <c r="AQ66" s="56">
        <f t="shared" si="8"/>
        <v>471900</v>
      </c>
      <c r="AR66" s="57">
        <f t="shared" si="9"/>
        <v>424710</v>
      </c>
      <c r="AS66" s="58">
        <f t="shared" si="4"/>
        <v>471900</v>
      </c>
      <c r="AT66" s="59">
        <f t="shared" si="5"/>
        <v>424710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4</v>
      </c>
      <c r="AQ67" s="56">
        <f t="shared" si="8"/>
        <v>136482</v>
      </c>
      <c r="AR67" s="57">
        <f t="shared" si="9"/>
        <v>122833.8</v>
      </c>
      <c r="AS67" s="58">
        <f t="shared" si="4"/>
        <v>136482</v>
      </c>
      <c r="AT67" s="59">
        <f t="shared" si="5"/>
        <v>122833.8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51" t="s">
        <v>1081</v>
      </c>
      <c r="D68" s="231" t="s">
        <v>1080</v>
      </c>
      <c r="E68" s="215" t="s">
        <v>1082</v>
      </c>
      <c r="F68" s="231"/>
      <c r="G68" s="232"/>
      <c r="H68" s="266"/>
      <c r="I68" s="266" t="s">
        <v>1083</v>
      </c>
      <c r="J68" s="266"/>
      <c r="K68" s="266"/>
      <c r="L68" s="257"/>
      <c r="M68" s="257">
        <v>20000</v>
      </c>
      <c r="N68" s="257"/>
      <c r="O68" s="223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2</v>
      </c>
      <c r="AQ68" s="56">
        <f t="shared" si="8"/>
        <v>383989</v>
      </c>
      <c r="AR68" s="57">
        <f t="shared" si="9"/>
        <v>345590.10000000003</v>
      </c>
      <c r="AS68" s="58">
        <f t="shared" si="4"/>
        <v>383989</v>
      </c>
      <c r="AT68" s="59">
        <f t="shared" si="5"/>
        <v>345590.10000000003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3747569</v>
      </c>
      <c r="BD68" s="656"/>
      <c r="BE68" s="655"/>
    </row>
    <row r="69" spans="1:57" ht="64.5" customHeight="1" x14ac:dyDescent="0.3">
      <c r="A69" s="659"/>
      <c r="B69" s="660"/>
      <c r="C69" s="251">
        <v>1206</v>
      </c>
      <c r="D69" s="231" t="s">
        <v>1093</v>
      </c>
      <c r="E69" s="215" t="s">
        <v>1040</v>
      </c>
      <c r="F69" s="231"/>
      <c r="G69" s="232"/>
      <c r="H69" s="215"/>
      <c r="I69" s="215"/>
      <c r="J69" s="215"/>
      <c r="K69" s="215"/>
      <c r="L69" s="234">
        <v>10000</v>
      </c>
      <c r="M69" s="234"/>
      <c r="N69" s="234"/>
      <c r="O69" s="218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4</v>
      </c>
      <c r="AQ69" s="56">
        <f t="shared" si="8"/>
        <v>1622500</v>
      </c>
      <c r="AR69" s="57">
        <f t="shared" si="9"/>
        <v>1460250</v>
      </c>
      <c r="AS69" s="58">
        <f t="shared" si="4"/>
        <v>1622500</v>
      </c>
      <c r="AT69" s="59">
        <f t="shared" si="5"/>
        <v>1460250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51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51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51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3846569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1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28</v>
      </c>
      <c r="AQ73" s="22">
        <f t="shared" si="10"/>
        <v>3747569</v>
      </c>
      <c r="AR73" s="23">
        <f t="shared" si="10"/>
        <v>3372812.1</v>
      </c>
      <c r="AS73" s="24">
        <f t="shared" si="10"/>
        <v>3747569</v>
      </c>
      <c r="AT73" s="25">
        <f t="shared" si="10"/>
        <v>3372812.1</v>
      </c>
      <c r="AU73" s="692" t="s">
        <v>58</v>
      </c>
      <c r="AV73" s="693"/>
      <c r="AW73" s="693"/>
      <c r="AX73" s="693"/>
      <c r="AY73" s="694"/>
      <c r="AZ73" s="695">
        <f>AS58+AT73</f>
        <v>3372812.1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1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51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1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4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7">
    <cfRule type="cellIs" dxfId="267" priority="101" operator="equal">
      <formula>"여기어때"</formula>
    </cfRule>
    <cfRule type="cellIs" dxfId="266" priority="102" operator="equal">
      <formula>"야놀자"</formula>
    </cfRule>
  </conditionalFormatting>
  <conditionalFormatting sqref="R8:R66">
    <cfRule type="cellIs" dxfId="265" priority="1" operator="equal">
      <formula>"여기어때"</formula>
    </cfRule>
    <cfRule type="cellIs" dxfId="264" priority="2" operator="equal">
      <formula>"야놀자"</formula>
    </cfRule>
  </conditionalFormatting>
  <conditionalFormatting sqref="R73">
    <cfRule type="cellIs" dxfId="263" priority="331" operator="equal">
      <formula>"여기어때"</formula>
    </cfRule>
    <cfRule type="cellIs" dxfId="262" priority="332" operator="equal">
      <formula>"야놀자"</formula>
    </cfRule>
  </conditionalFormatting>
  <conditionalFormatting sqref="AL30:AM30">
    <cfRule type="cellIs" dxfId="261" priority="316" operator="greaterThan">
      <formula>$AL$29</formula>
    </cfRule>
    <cfRule type="cellIs" dxfId="260" priority="324" operator="equal">
      <formula>$AL$29</formula>
    </cfRule>
  </conditionalFormatting>
  <conditionalFormatting sqref="AN30:AO30">
    <cfRule type="cellIs" dxfId="259" priority="315" operator="greaterThan">
      <formula>$AN$29</formula>
    </cfRule>
    <cfRule type="cellIs" dxfId="258" priority="323" operator="equal">
      <formula>$AN$29</formula>
    </cfRule>
  </conditionalFormatting>
  <conditionalFormatting sqref="AP30:AQ30">
    <cfRule type="cellIs" dxfId="257" priority="314" operator="greaterThan">
      <formula>$AP$29</formula>
    </cfRule>
    <cfRule type="cellIs" dxfId="256" priority="322" operator="equal">
      <formula>$AP$29</formula>
    </cfRule>
  </conditionalFormatting>
  <conditionalFormatting sqref="AR30">
    <cfRule type="cellIs" dxfId="255" priority="313" operator="greaterThan">
      <formula>$AR$29</formula>
    </cfRule>
    <cfRule type="cellIs" dxfId="254" priority="321" operator="equal">
      <formula>$AR$29</formula>
    </cfRule>
  </conditionalFormatting>
  <conditionalFormatting sqref="AS30:AT30">
    <cfRule type="cellIs" dxfId="253" priority="312" operator="greaterThan">
      <formula>$AS$29</formula>
    </cfRule>
    <cfRule type="cellIs" dxfId="252" priority="320" operator="equal">
      <formula>$AS$29</formula>
    </cfRule>
  </conditionalFormatting>
  <conditionalFormatting sqref="AU30:AV30">
    <cfRule type="cellIs" dxfId="251" priority="311" operator="greaterThan">
      <formula>$AU$29</formula>
    </cfRule>
    <cfRule type="cellIs" dxfId="250" priority="319" operator="equal">
      <formula>$AU$29</formula>
    </cfRule>
  </conditionalFormatting>
  <conditionalFormatting sqref="AW30">
    <cfRule type="cellIs" dxfId="249" priority="310" operator="greaterThan">
      <formula>$AW$29</formula>
    </cfRule>
    <cfRule type="cellIs" dxfId="248" priority="318" operator="equal">
      <formula>$AW$29</formula>
    </cfRule>
  </conditionalFormatting>
  <conditionalFormatting sqref="AX30:AY30">
    <cfRule type="cellIs" dxfId="247" priority="309" operator="greaterThan">
      <formula>$AX$29</formula>
    </cfRule>
    <cfRule type="cellIs" dxfId="246" priority="317" operator="equal">
      <formula>$AX$29</formula>
    </cfRule>
  </conditionalFormatting>
  <dataValidations disablePrompts="1" count="1">
    <dataValidation type="list" allowBlank="1" showInputMessage="1" showErrorMessage="1" sqref="A8:A67 P8:P67" xr:uid="{F00A19B3-4C9B-4150-9B11-A9F8EFFA05A4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B8FA-D11E-4630-9FBC-2DC20F0D73A9}">
  <sheetPr codeName="Sheet22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C8" sqref="C8"/>
      <selection pane="bottomLeft" activeCell="S1" sqref="S1:Y3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45922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2402072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38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417500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'22'!AA1</f>
        <v>45922</v>
      </c>
      <c r="AM2" s="863"/>
      <c r="AN2" s="863"/>
      <c r="AO2" s="864"/>
      <c r="AP2" s="865" t="s">
        <v>10</v>
      </c>
      <c r="AQ2" s="866"/>
      <c r="AR2" s="866"/>
      <c r="AS2" s="863">
        <f>AA1+1</f>
        <v>45923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2402072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419500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7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2</v>
      </c>
      <c r="E6" s="356">
        <f>AP31</f>
        <v>0</v>
      </c>
      <c r="F6" s="356">
        <f>AR31</f>
        <v>0</v>
      </c>
      <c r="G6" s="356">
        <f>AS31</f>
        <v>0</v>
      </c>
      <c r="H6" s="356">
        <f>AU31</f>
        <v>1</v>
      </c>
      <c r="I6" s="356">
        <f>AW31</f>
        <v>1</v>
      </c>
      <c r="J6" s="356">
        <f>AX31</f>
        <v>0</v>
      </c>
      <c r="K6" s="606"/>
      <c r="L6" s="607"/>
      <c r="M6" s="356"/>
      <c r="N6" s="606">
        <f>C6+D6+E6+F6+G6+H6+I6+J6+K6</f>
        <v>4</v>
      </c>
      <c r="O6" s="602"/>
      <c r="P6" s="599">
        <f>C2</f>
        <v>2402072</v>
      </c>
      <c r="Q6" s="600"/>
      <c r="R6" s="300">
        <f>AN14+AN15</f>
        <v>2000</v>
      </c>
      <c r="S6" s="300">
        <f>AZ14+AZ15</f>
        <v>0</v>
      </c>
      <c r="T6" s="300">
        <f>AR14+AR15</f>
        <v>252000</v>
      </c>
      <c r="U6" s="609">
        <f>AS60</f>
        <v>270000</v>
      </c>
      <c r="V6" s="600"/>
      <c r="W6" s="609">
        <f>AS61</f>
        <v>70000</v>
      </c>
      <c r="X6" s="600"/>
      <c r="Y6" s="609">
        <f>AS62</f>
        <v>0</v>
      </c>
      <c r="Z6" s="600"/>
      <c r="AA6" s="300">
        <f>AS63</f>
        <v>0</v>
      </c>
      <c r="AB6" s="300">
        <f>AS66</f>
        <v>1354500</v>
      </c>
      <c r="AC6" s="300">
        <f>AS67</f>
        <v>145572</v>
      </c>
      <c r="AD6" s="300">
        <f>SUMIFS(O7:O47,C7:C47,"트립")</f>
        <v>0</v>
      </c>
      <c r="AE6" s="300">
        <f>AS65</f>
        <v>0</v>
      </c>
      <c r="AF6" s="300">
        <f>AS69</f>
        <v>308000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464">
        <v>1216</v>
      </c>
      <c r="C8" s="230" t="s">
        <v>38</v>
      </c>
      <c r="D8" s="231" t="s">
        <v>201</v>
      </c>
      <c r="E8" s="215" t="s">
        <v>1118</v>
      </c>
      <c r="F8" s="231" t="s">
        <v>159</v>
      </c>
      <c r="G8" s="232" t="s">
        <v>171</v>
      </c>
      <c r="H8" s="215"/>
      <c r="I8" s="215"/>
      <c r="J8" s="233"/>
      <c r="K8" s="215"/>
      <c r="L8" s="234"/>
      <c r="M8" s="234"/>
      <c r="N8" s="234"/>
      <c r="O8" s="218">
        <v>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464">
        <v>1215</v>
      </c>
      <c r="C9" s="230" t="s">
        <v>38</v>
      </c>
      <c r="D9" s="231" t="s">
        <v>201</v>
      </c>
      <c r="E9" s="215" t="s">
        <v>1118</v>
      </c>
      <c r="F9" s="231" t="s">
        <v>159</v>
      </c>
      <c r="G9" s="232" t="s">
        <v>171</v>
      </c>
      <c r="H9" s="215"/>
      <c r="I9" s="215"/>
      <c r="J9" s="233"/>
      <c r="K9" s="215"/>
      <c r="L9" s="234"/>
      <c r="M9" s="234"/>
      <c r="N9" s="234"/>
      <c r="O9" s="219">
        <v>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464">
        <v>1214</v>
      </c>
      <c r="C10" s="230" t="s">
        <v>38</v>
      </c>
      <c r="D10" s="231" t="s">
        <v>201</v>
      </c>
      <c r="E10" s="215" t="s">
        <v>1118</v>
      </c>
      <c r="F10" s="231" t="s">
        <v>159</v>
      </c>
      <c r="G10" s="232" t="s">
        <v>171</v>
      </c>
      <c r="H10" s="215"/>
      <c r="I10" s="215"/>
      <c r="J10" s="233"/>
      <c r="K10" s="215"/>
      <c r="L10" s="234"/>
      <c r="M10" s="234"/>
      <c r="N10" s="234"/>
      <c r="O10" s="218">
        <v>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3</v>
      </c>
      <c r="AQ10" s="627"/>
      <c r="AR10" s="626">
        <f>SUM(M8:M67)</f>
        <v>205000</v>
      </c>
      <c r="AS10" s="627"/>
      <c r="AT10" s="625">
        <f>COUNTA($O$8:$O$67)</f>
        <v>35</v>
      </c>
      <c r="AU10" s="625"/>
      <c r="AV10" s="625">
        <f>SUM(O8:O67)</f>
        <v>2148072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38</v>
      </c>
      <c r="BC10" s="799"/>
      <c r="BD10" s="800">
        <f>SUM(AN10+AR10+AV10+AZ10)</f>
        <v>2353072</v>
      </c>
      <c r="BE10" s="801"/>
    </row>
    <row r="11" spans="1:58" ht="64.5" customHeight="1" x14ac:dyDescent="0.3">
      <c r="A11" s="228">
        <v>4</v>
      </c>
      <c r="B11" s="464">
        <v>1116</v>
      </c>
      <c r="C11" s="230" t="s">
        <v>38</v>
      </c>
      <c r="D11" s="231" t="s">
        <v>201</v>
      </c>
      <c r="E11" s="215" t="s">
        <v>1118</v>
      </c>
      <c r="F11" s="231" t="s">
        <v>159</v>
      </c>
      <c r="G11" s="232" t="s">
        <v>171</v>
      </c>
      <c r="H11" s="215"/>
      <c r="I11" s="215"/>
      <c r="J11" s="233"/>
      <c r="K11" s="215"/>
      <c r="L11" s="234"/>
      <c r="M11" s="234"/>
      <c r="N11" s="234"/>
      <c r="O11" s="218">
        <v>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464">
        <v>1115</v>
      </c>
      <c r="C12" s="230" t="s">
        <v>38</v>
      </c>
      <c r="D12" s="231" t="s">
        <v>201</v>
      </c>
      <c r="E12" s="215" t="s">
        <v>1118</v>
      </c>
      <c r="F12" s="231" t="s">
        <v>159</v>
      </c>
      <c r="G12" s="232" t="s">
        <v>171</v>
      </c>
      <c r="H12" s="215"/>
      <c r="I12" s="215"/>
      <c r="J12" s="215"/>
      <c r="K12" s="215"/>
      <c r="L12" s="234"/>
      <c r="M12" s="234"/>
      <c r="N12" s="234"/>
      <c r="O12" s="218">
        <v>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1</v>
      </c>
      <c r="AQ12" s="785"/>
      <c r="AR12" s="784">
        <f>SUM(M68:M76)</f>
        <v>45000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1</v>
      </c>
      <c r="BC12" s="785"/>
      <c r="BD12" s="780">
        <f>SUM(AN12+AR12+AV12+AZ12)</f>
        <v>45000</v>
      </c>
      <c r="BE12" s="781"/>
    </row>
    <row r="13" spans="1:58" ht="64.5" customHeight="1" x14ac:dyDescent="0.3">
      <c r="A13" s="228">
        <v>6</v>
      </c>
      <c r="B13" s="464">
        <v>1112</v>
      </c>
      <c r="C13" s="230" t="s">
        <v>38</v>
      </c>
      <c r="D13" s="231" t="s">
        <v>201</v>
      </c>
      <c r="E13" s="215" t="s">
        <v>1118</v>
      </c>
      <c r="F13" s="231" t="s">
        <v>159</v>
      </c>
      <c r="G13" s="232" t="s">
        <v>171</v>
      </c>
      <c r="H13" s="215"/>
      <c r="I13" s="215"/>
      <c r="J13" s="215"/>
      <c r="K13" s="215"/>
      <c r="L13" s="234"/>
      <c r="M13" s="234"/>
      <c r="N13" s="234"/>
      <c r="O13" s="218">
        <v>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464">
        <v>715</v>
      </c>
      <c r="C14" s="230" t="s">
        <v>38</v>
      </c>
      <c r="D14" s="231" t="s">
        <v>201</v>
      </c>
      <c r="E14" s="215" t="s">
        <v>1118</v>
      </c>
      <c r="F14" s="231" t="s">
        <v>159</v>
      </c>
      <c r="G14" s="232" t="s">
        <v>171</v>
      </c>
      <c r="H14" s="215"/>
      <c r="I14" s="215"/>
      <c r="J14" s="215"/>
      <c r="K14" s="215"/>
      <c r="L14" s="234"/>
      <c r="M14" s="234"/>
      <c r="N14" s="234"/>
      <c r="O14" s="218">
        <v>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3</v>
      </c>
      <c r="AQ14" s="653"/>
      <c r="AR14" s="653">
        <f>SUM(AR10:AS13)</f>
        <v>250000</v>
      </c>
      <c r="AS14" s="653"/>
      <c r="AT14" s="653">
        <f t="shared" ref="AT14" si="1">SUM(AT10:AU11)</f>
        <v>35</v>
      </c>
      <c r="AU14" s="653"/>
      <c r="AV14" s="653">
        <f>SUM(AV10:AW13)</f>
        <v>2148072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38</v>
      </c>
      <c r="BC14" s="655"/>
      <c r="BD14" s="782">
        <f>SUM(BD10:BE13)</f>
        <v>2398072</v>
      </c>
      <c r="BE14" s="783"/>
    </row>
    <row r="15" spans="1:58" ht="64.5" customHeight="1" thickBot="1" x14ac:dyDescent="0.35">
      <c r="A15" s="228">
        <v>8</v>
      </c>
      <c r="B15" s="464">
        <v>713</v>
      </c>
      <c r="C15" s="230" t="s">
        <v>38</v>
      </c>
      <c r="D15" s="231" t="s">
        <v>201</v>
      </c>
      <c r="E15" s="215" t="s">
        <v>1118</v>
      </c>
      <c r="F15" s="231" t="s">
        <v>159</v>
      </c>
      <c r="G15" s="232" t="s">
        <v>171</v>
      </c>
      <c r="H15" s="215"/>
      <c r="I15" s="215"/>
      <c r="J15" s="215"/>
      <c r="K15" s="215"/>
      <c r="L15" s="234"/>
      <c r="M15" s="234"/>
      <c r="N15" s="234"/>
      <c r="O15" s="218">
        <v>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1</v>
      </c>
      <c r="AQ15" s="633"/>
      <c r="AR15" s="632">
        <f>AR24</f>
        <v>2000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464">
        <v>615</v>
      </c>
      <c r="C16" s="230" t="s">
        <v>38</v>
      </c>
      <c r="D16" s="231" t="s">
        <v>201</v>
      </c>
      <c r="E16" s="215" t="s">
        <v>1118</v>
      </c>
      <c r="F16" s="231" t="s">
        <v>159</v>
      </c>
      <c r="G16" s="232" t="s">
        <v>171</v>
      </c>
      <c r="H16" s="215"/>
      <c r="I16" s="215"/>
      <c r="J16" s="233"/>
      <c r="K16" s="215"/>
      <c r="L16" s="234"/>
      <c r="M16" s="234"/>
      <c r="N16" s="234"/>
      <c r="O16" s="220">
        <v>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2402072</v>
      </c>
      <c r="BE16" s="652"/>
      <c r="BF16" s="10"/>
    </row>
    <row r="17" spans="1:62" ht="64.5" customHeight="1" thickBot="1" x14ac:dyDescent="0.35">
      <c r="A17" s="228">
        <v>10</v>
      </c>
      <c r="B17" s="464">
        <v>406</v>
      </c>
      <c r="C17" s="230" t="s">
        <v>38</v>
      </c>
      <c r="D17" s="231" t="s">
        <v>201</v>
      </c>
      <c r="E17" s="215" t="s">
        <v>1118</v>
      </c>
      <c r="F17" s="231" t="s">
        <v>168</v>
      </c>
      <c r="G17" s="232" t="s">
        <v>171</v>
      </c>
      <c r="H17" s="215"/>
      <c r="I17" s="215"/>
      <c r="J17" s="215"/>
      <c r="K17" s="215"/>
      <c r="L17" s="234"/>
      <c r="M17" s="234"/>
      <c r="N17" s="234"/>
      <c r="O17" s="218">
        <v>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464">
        <v>906</v>
      </c>
      <c r="C18" s="230" t="s">
        <v>38</v>
      </c>
      <c r="D18" s="251" t="s">
        <v>201</v>
      </c>
      <c r="E18" s="215" t="s">
        <v>1118</v>
      </c>
      <c r="F18" s="231" t="s">
        <v>168</v>
      </c>
      <c r="G18" s="232" t="s">
        <v>171</v>
      </c>
      <c r="H18" s="215"/>
      <c r="I18" s="215"/>
      <c r="J18" s="215"/>
      <c r="K18" s="215"/>
      <c r="L18" s="234"/>
      <c r="M18" s="234"/>
      <c r="N18" s="234"/>
      <c r="O18" s="220">
        <v>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464">
        <v>702</v>
      </c>
      <c r="C19" s="230" t="s">
        <v>38</v>
      </c>
      <c r="D19" s="251" t="s">
        <v>201</v>
      </c>
      <c r="E19" s="215" t="s">
        <v>1118</v>
      </c>
      <c r="F19" s="231" t="s">
        <v>168</v>
      </c>
      <c r="G19" s="232" t="s">
        <v>171</v>
      </c>
      <c r="H19" s="215"/>
      <c r="I19" s="215"/>
      <c r="J19" s="215"/>
      <c r="K19" s="215"/>
      <c r="L19" s="234"/>
      <c r="M19" s="234"/>
      <c r="N19" s="234"/>
      <c r="O19" s="218">
        <v>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464">
        <v>401</v>
      </c>
      <c r="C20" s="230" t="s">
        <v>1105</v>
      </c>
      <c r="D20" s="251" t="s">
        <v>201</v>
      </c>
      <c r="E20" s="215" t="s">
        <v>1118</v>
      </c>
      <c r="F20" s="231" t="s">
        <v>1089</v>
      </c>
      <c r="G20" s="232" t="s">
        <v>1095</v>
      </c>
      <c r="H20" s="215"/>
      <c r="I20" s="215"/>
      <c r="J20" s="215"/>
      <c r="K20" s="215"/>
      <c r="L20" s="234"/>
      <c r="M20" s="234"/>
      <c r="N20" s="234"/>
      <c r="O20" s="220">
        <v>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1</v>
      </c>
      <c r="AQ20" s="655"/>
      <c r="AR20" s="654">
        <f>AP20*2000</f>
        <v>2000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464">
        <v>805</v>
      </c>
      <c r="C21" s="230" t="s">
        <v>74</v>
      </c>
      <c r="D21" s="251" t="s">
        <v>834</v>
      </c>
      <c r="E21" s="215" t="s">
        <v>166</v>
      </c>
      <c r="F21" s="231" t="s">
        <v>1057</v>
      </c>
      <c r="G21" s="232" t="s">
        <v>171</v>
      </c>
      <c r="H21" s="215" t="s">
        <v>164</v>
      </c>
      <c r="I21" s="215" t="s">
        <v>165</v>
      </c>
      <c r="J21" s="215" t="s">
        <v>247</v>
      </c>
      <c r="K21" s="215" t="s">
        <v>1046</v>
      </c>
      <c r="L21" s="234"/>
      <c r="M21" s="234"/>
      <c r="N21" s="234"/>
      <c r="O21" s="220">
        <v>120000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464">
        <v>1210</v>
      </c>
      <c r="C22" s="230" t="s">
        <v>81</v>
      </c>
      <c r="D22" s="251" t="s">
        <v>842</v>
      </c>
      <c r="E22" s="215"/>
      <c r="F22" s="231" t="s">
        <v>161</v>
      </c>
      <c r="G22" s="232" t="s">
        <v>171</v>
      </c>
      <c r="H22" s="215" t="s">
        <v>164</v>
      </c>
      <c r="I22" s="215" t="s">
        <v>165</v>
      </c>
      <c r="J22" s="215" t="s">
        <v>190</v>
      </c>
      <c r="K22" s="215"/>
      <c r="L22" s="234"/>
      <c r="M22" s="234"/>
      <c r="N22" s="234"/>
      <c r="O22" s="218">
        <v>145572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464">
        <v>1110</v>
      </c>
      <c r="C23" s="230" t="s">
        <v>70</v>
      </c>
      <c r="D23" s="251" t="s">
        <v>885</v>
      </c>
      <c r="E23" s="215"/>
      <c r="F23" s="231" t="s">
        <v>161</v>
      </c>
      <c r="G23" s="232" t="s">
        <v>173</v>
      </c>
      <c r="H23" s="215" t="s">
        <v>164</v>
      </c>
      <c r="I23" s="215" t="s">
        <v>165</v>
      </c>
      <c r="J23" s="215" t="s">
        <v>193</v>
      </c>
      <c r="K23" s="215"/>
      <c r="L23" s="234"/>
      <c r="M23" s="234"/>
      <c r="N23" s="234"/>
      <c r="O23" s="218">
        <v>204750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493">
        <v>305</v>
      </c>
      <c r="C24" s="318" t="s">
        <v>248</v>
      </c>
      <c r="D24" s="251" t="s">
        <v>1094</v>
      </c>
      <c r="E24" s="217" t="s">
        <v>890</v>
      </c>
      <c r="F24" s="251" t="s">
        <v>55</v>
      </c>
      <c r="G24" s="331" t="s">
        <v>163</v>
      </c>
      <c r="H24" s="217" t="s">
        <v>164</v>
      </c>
      <c r="I24" s="217" t="s">
        <v>165</v>
      </c>
      <c r="J24" s="217" t="s">
        <v>190</v>
      </c>
      <c r="K24" s="217"/>
      <c r="L24" s="254"/>
      <c r="M24" s="254">
        <v>65000</v>
      </c>
      <c r="N24" s="254"/>
      <c r="O24" s="224"/>
      <c r="P24" s="228">
        <v>17</v>
      </c>
      <c r="Q24" s="229"/>
      <c r="R24" s="235"/>
      <c r="S24" s="231"/>
      <c r="T24" s="215"/>
      <c r="U24" s="231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1</v>
      </c>
      <c r="AQ24" s="655"/>
      <c r="AR24" s="654">
        <f>SUM(AR20:AS23)</f>
        <v>2000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464">
        <v>1208</v>
      </c>
      <c r="C25" s="230" t="s">
        <v>70</v>
      </c>
      <c r="D25" s="251" t="s">
        <v>902</v>
      </c>
      <c r="E25" s="215"/>
      <c r="F25" s="231" t="s">
        <v>55</v>
      </c>
      <c r="G25" s="232" t="s">
        <v>765</v>
      </c>
      <c r="H25" s="215" t="s">
        <v>164</v>
      </c>
      <c r="I25" s="215" t="s">
        <v>165</v>
      </c>
      <c r="J25" s="233" t="s">
        <v>247</v>
      </c>
      <c r="K25" s="215"/>
      <c r="L25" s="234"/>
      <c r="M25" s="234"/>
      <c r="N25" s="234"/>
      <c r="O25" s="218">
        <v>1013250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464">
        <v>409</v>
      </c>
      <c r="C26" s="230" t="s">
        <v>70</v>
      </c>
      <c r="D26" s="251" t="s">
        <v>920</v>
      </c>
      <c r="E26" s="215" t="s">
        <v>802</v>
      </c>
      <c r="F26" s="231" t="s">
        <v>1057</v>
      </c>
      <c r="G26" s="232" t="s">
        <v>171</v>
      </c>
      <c r="H26" s="215" t="s">
        <v>164</v>
      </c>
      <c r="I26" s="215" t="s">
        <v>165</v>
      </c>
      <c r="J26" s="233" t="s">
        <v>247</v>
      </c>
      <c r="K26" s="215"/>
      <c r="L26" s="234"/>
      <c r="M26" s="234"/>
      <c r="N26" s="234"/>
      <c r="O26" s="218">
        <v>136500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464">
        <v>1006</v>
      </c>
      <c r="C27" s="230" t="s">
        <v>176</v>
      </c>
      <c r="D27" s="251" t="s">
        <v>930</v>
      </c>
      <c r="E27" s="215" t="s">
        <v>553</v>
      </c>
      <c r="F27" s="231" t="s">
        <v>167</v>
      </c>
      <c r="G27" s="232" t="s">
        <v>163</v>
      </c>
      <c r="H27" s="215" t="s">
        <v>164</v>
      </c>
      <c r="I27" s="215" t="s">
        <v>165</v>
      </c>
      <c r="J27" s="237" t="s">
        <v>189</v>
      </c>
      <c r="K27" s="238"/>
      <c r="L27" s="234"/>
      <c r="M27" s="234"/>
      <c r="N27" s="234"/>
      <c r="O27" s="218">
        <v>77000</v>
      </c>
      <c r="P27" s="228">
        <v>20</v>
      </c>
      <c r="Q27" s="229"/>
      <c r="R27" s="235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464">
        <v>1107</v>
      </c>
      <c r="C28" s="230" t="s">
        <v>191</v>
      </c>
      <c r="D28" s="251" t="s">
        <v>941</v>
      </c>
      <c r="E28" s="215" t="s">
        <v>942</v>
      </c>
      <c r="F28" s="304" t="s">
        <v>167</v>
      </c>
      <c r="G28" s="232" t="s">
        <v>163</v>
      </c>
      <c r="H28" s="215" t="s">
        <v>164</v>
      </c>
      <c r="I28" s="215" t="s">
        <v>165</v>
      </c>
      <c r="J28" s="237" t="s">
        <v>189</v>
      </c>
      <c r="K28" s="215"/>
      <c r="L28" s="234"/>
      <c r="M28" s="234"/>
      <c r="N28" s="234"/>
      <c r="O28" s="218">
        <v>0</v>
      </c>
      <c r="P28" s="228">
        <v>21</v>
      </c>
      <c r="Q28" s="229"/>
      <c r="R28" s="230"/>
      <c r="S28" s="231"/>
      <c r="T28" s="215"/>
      <c r="U28" s="30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464">
        <v>1206</v>
      </c>
      <c r="C29" s="230" t="s">
        <v>176</v>
      </c>
      <c r="D29" s="251" t="s">
        <v>307</v>
      </c>
      <c r="E29" s="215"/>
      <c r="F29" s="231" t="s">
        <v>160</v>
      </c>
      <c r="G29" s="232" t="s">
        <v>173</v>
      </c>
      <c r="H29" s="215" t="s">
        <v>164</v>
      </c>
      <c r="I29" s="215" t="s">
        <v>165</v>
      </c>
      <c r="J29" s="237" t="s">
        <v>189</v>
      </c>
      <c r="K29" s="215"/>
      <c r="L29" s="234"/>
      <c r="M29" s="234"/>
      <c r="N29" s="234"/>
      <c r="O29" s="218">
        <v>231000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464">
        <v>609</v>
      </c>
      <c r="C30" s="318" t="s">
        <v>248</v>
      </c>
      <c r="D30" s="251" t="s">
        <v>1013</v>
      </c>
      <c r="E30" s="217" t="s">
        <v>1014</v>
      </c>
      <c r="F30" s="251" t="s">
        <v>167</v>
      </c>
      <c r="G30" s="331" t="s">
        <v>163</v>
      </c>
      <c r="H30" s="217" t="s">
        <v>164</v>
      </c>
      <c r="I30" s="217" t="s">
        <v>165</v>
      </c>
      <c r="J30" s="217" t="s">
        <v>190</v>
      </c>
      <c r="K30" s="217"/>
      <c r="L30" s="254"/>
      <c r="M30" s="254">
        <v>65000</v>
      </c>
      <c r="N30" s="254"/>
      <c r="O30" s="224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2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4</v>
      </c>
      <c r="AV30" s="830"/>
      <c r="AW30" s="324">
        <f>COUNTIF(F8:F67,"v")</f>
        <v>4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464">
        <v>1004</v>
      </c>
      <c r="C31" s="230" t="s">
        <v>1043</v>
      </c>
      <c r="D31" s="231" t="s">
        <v>1058</v>
      </c>
      <c r="E31" s="215" t="s">
        <v>1059</v>
      </c>
      <c r="F31" s="231" t="s">
        <v>1057</v>
      </c>
      <c r="G31" s="232" t="s">
        <v>1046</v>
      </c>
      <c r="H31" s="215" t="s">
        <v>164</v>
      </c>
      <c r="I31" s="215" t="s">
        <v>165</v>
      </c>
      <c r="J31" s="215" t="s">
        <v>1060</v>
      </c>
      <c r="K31" s="215"/>
      <c r="L31" s="234"/>
      <c r="M31" s="234"/>
      <c r="N31" s="234"/>
      <c r="O31" s="218">
        <v>70000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2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1</v>
      </c>
      <c r="AV31" s="817"/>
      <c r="AW31" s="322">
        <f>AW29-AW30</f>
        <v>1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464">
        <v>506</v>
      </c>
      <c r="C32" s="230" t="s">
        <v>1062</v>
      </c>
      <c r="D32" s="231" t="s">
        <v>1107</v>
      </c>
      <c r="E32" s="215" t="s">
        <v>553</v>
      </c>
      <c r="F32" s="231" t="s">
        <v>1057</v>
      </c>
      <c r="G32" s="232" t="s">
        <v>1046</v>
      </c>
      <c r="H32" s="215" t="s">
        <v>164</v>
      </c>
      <c r="I32" s="215" t="s">
        <v>165</v>
      </c>
      <c r="J32" s="237" t="s">
        <v>189</v>
      </c>
      <c r="K32" s="238"/>
      <c r="L32" s="234"/>
      <c r="M32" s="234"/>
      <c r="N32" s="234"/>
      <c r="O32" s="218">
        <v>70000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464">
        <v>404</v>
      </c>
      <c r="C33" s="230" t="s">
        <v>1105</v>
      </c>
      <c r="D33" s="231" t="s">
        <v>1111</v>
      </c>
      <c r="E33" s="215"/>
      <c r="F33" s="231" t="s">
        <v>1057</v>
      </c>
      <c r="G33" s="232" t="s">
        <v>1046</v>
      </c>
      <c r="H33" s="215" t="s">
        <v>164</v>
      </c>
      <c r="I33" s="215" t="s">
        <v>165</v>
      </c>
      <c r="J33" s="215" t="s">
        <v>1060</v>
      </c>
      <c r="K33" s="215"/>
      <c r="L33" s="234"/>
      <c r="M33" s="234">
        <v>75000</v>
      </c>
      <c r="N33" s="234"/>
      <c r="O33" s="218"/>
      <c r="P33" s="228">
        <v>26</v>
      </c>
      <c r="Q33" s="229"/>
      <c r="R33" s="230"/>
      <c r="S33" s="231"/>
      <c r="T33" s="215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464">
        <v>501</v>
      </c>
      <c r="C34" s="230" t="s">
        <v>1062</v>
      </c>
      <c r="D34" s="231" t="s">
        <v>1112</v>
      </c>
      <c r="E34" s="215"/>
      <c r="F34" s="231" t="s">
        <v>1089</v>
      </c>
      <c r="G34" s="232" t="s">
        <v>1046</v>
      </c>
      <c r="H34" s="215" t="s">
        <v>164</v>
      </c>
      <c r="I34" s="215" t="s">
        <v>165</v>
      </c>
      <c r="J34" s="215" t="s">
        <v>1060</v>
      </c>
      <c r="K34" s="215" t="s">
        <v>1049</v>
      </c>
      <c r="L34" s="234"/>
      <c r="M34" s="234"/>
      <c r="N34" s="234"/>
      <c r="O34" s="218">
        <v>80000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15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215"/>
      <c r="L37" s="234"/>
      <c r="M37" s="234"/>
      <c r="N37" s="234"/>
      <c r="O37" s="218"/>
      <c r="P37" s="228">
        <v>30</v>
      </c>
      <c r="Q37" s="229"/>
      <c r="R37" s="235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>
        <v>809</v>
      </c>
      <c r="C39" s="230" t="s">
        <v>966</v>
      </c>
      <c r="D39" s="231" t="s">
        <v>1070</v>
      </c>
      <c r="E39" s="215" t="s">
        <v>1003</v>
      </c>
      <c r="F39" s="231" t="s">
        <v>977</v>
      </c>
      <c r="G39" s="232" t="s">
        <v>985</v>
      </c>
      <c r="H39" s="215" t="s">
        <v>164</v>
      </c>
      <c r="I39" s="215" t="s">
        <v>165</v>
      </c>
      <c r="J39" s="233" t="s">
        <v>1001</v>
      </c>
      <c r="K39" s="215"/>
      <c r="L39" s="234"/>
      <c r="M39" s="234"/>
      <c r="N39" s="234"/>
      <c r="O39" s="218">
        <v>0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>
        <v>309</v>
      </c>
      <c r="C40" s="230" t="s">
        <v>983</v>
      </c>
      <c r="D40" s="231" t="s">
        <v>984</v>
      </c>
      <c r="E40" s="215" t="s">
        <v>1003</v>
      </c>
      <c r="F40" s="231" t="s">
        <v>55</v>
      </c>
      <c r="G40" s="232" t="s">
        <v>985</v>
      </c>
      <c r="H40" s="215" t="s">
        <v>164</v>
      </c>
      <c r="I40" s="215" t="s">
        <v>165</v>
      </c>
      <c r="J40" s="215" t="s">
        <v>189</v>
      </c>
      <c r="K40" s="215"/>
      <c r="L40" s="234"/>
      <c r="M40" s="234"/>
      <c r="N40" s="234"/>
      <c r="O40" s="218">
        <v>0</v>
      </c>
      <c r="P40" s="228">
        <v>33</v>
      </c>
      <c r="Q40" s="229"/>
      <c r="R40" s="235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>
        <v>308</v>
      </c>
      <c r="C41" s="230" t="s">
        <v>170</v>
      </c>
      <c r="D41" s="231" t="s">
        <v>944</v>
      </c>
      <c r="E41" s="215"/>
      <c r="F41" s="231" t="s">
        <v>55</v>
      </c>
      <c r="G41" s="232" t="s">
        <v>174</v>
      </c>
      <c r="H41" s="215" t="s">
        <v>164</v>
      </c>
      <c r="I41" s="215" t="s">
        <v>165</v>
      </c>
      <c r="J41" s="215" t="s">
        <v>189</v>
      </c>
      <c r="K41" s="215"/>
      <c r="L41" s="234"/>
      <c r="M41" s="234"/>
      <c r="N41" s="234"/>
      <c r="O41" s="218">
        <v>0</v>
      </c>
      <c r="P41" s="228">
        <v>34</v>
      </c>
      <c r="Q41" s="229"/>
      <c r="R41" s="230"/>
      <c r="S41" s="231"/>
      <c r="T41" s="215"/>
      <c r="U41" s="30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>
        <v>1011</v>
      </c>
      <c r="C42" s="230" t="s">
        <v>74</v>
      </c>
      <c r="D42" s="231" t="s">
        <v>931</v>
      </c>
      <c r="E42" s="215" t="s">
        <v>166</v>
      </c>
      <c r="F42" s="231" t="s">
        <v>158</v>
      </c>
      <c r="G42" s="232" t="s">
        <v>174</v>
      </c>
      <c r="H42" s="215" t="s">
        <v>164</v>
      </c>
      <c r="I42" s="215" t="s">
        <v>165</v>
      </c>
      <c r="J42" s="215" t="s">
        <v>189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705</v>
      </c>
      <c r="C43" s="230" t="s">
        <v>176</v>
      </c>
      <c r="D43" s="231" t="s">
        <v>993</v>
      </c>
      <c r="E43" s="215"/>
      <c r="F43" s="231" t="s">
        <v>168</v>
      </c>
      <c r="G43" s="232" t="s">
        <v>197</v>
      </c>
      <c r="H43" s="215" t="s">
        <v>164</v>
      </c>
      <c r="I43" s="215" t="s">
        <v>165</v>
      </c>
      <c r="J43" s="233" t="s">
        <v>193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902</v>
      </c>
      <c r="C44" s="230" t="s">
        <v>176</v>
      </c>
      <c r="D44" s="231" t="s">
        <v>994</v>
      </c>
      <c r="E44" s="215"/>
      <c r="F44" s="231" t="s">
        <v>167</v>
      </c>
      <c r="G44" s="232" t="s">
        <v>197</v>
      </c>
      <c r="H44" s="215" t="s">
        <v>164</v>
      </c>
      <c r="I44" s="215" t="s">
        <v>165</v>
      </c>
      <c r="J44" s="233" t="s">
        <v>193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907</v>
      </c>
      <c r="C45" s="230" t="s">
        <v>176</v>
      </c>
      <c r="D45" s="231" t="s">
        <v>995</v>
      </c>
      <c r="E45" s="215"/>
      <c r="F45" s="231" t="s">
        <v>167</v>
      </c>
      <c r="G45" s="232" t="s">
        <v>197</v>
      </c>
      <c r="H45" s="215" t="s">
        <v>164</v>
      </c>
      <c r="I45" s="215" t="s">
        <v>165</v>
      </c>
      <c r="J45" s="233" t="s">
        <v>193</v>
      </c>
      <c r="K45" s="238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1105</v>
      </c>
      <c r="C46" s="230" t="s">
        <v>176</v>
      </c>
      <c r="D46" s="231" t="s">
        <v>996</v>
      </c>
      <c r="E46" s="215"/>
      <c r="F46" s="231" t="s">
        <v>160</v>
      </c>
      <c r="G46" s="232" t="s">
        <v>197</v>
      </c>
      <c r="H46" s="215" t="s">
        <v>164</v>
      </c>
      <c r="I46" s="215" t="s">
        <v>165</v>
      </c>
      <c r="J46" s="233" t="s">
        <v>193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1111</v>
      </c>
      <c r="C47" s="230" t="s">
        <v>689</v>
      </c>
      <c r="D47" s="231" t="s">
        <v>835</v>
      </c>
      <c r="E47" s="215" t="s">
        <v>166</v>
      </c>
      <c r="F47" s="231" t="s">
        <v>965</v>
      </c>
      <c r="G47" s="232" t="s">
        <v>721</v>
      </c>
      <c r="H47" s="215" t="s">
        <v>164</v>
      </c>
      <c r="I47" s="215" t="s">
        <v>165</v>
      </c>
      <c r="J47" s="215" t="s">
        <v>713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307</v>
      </c>
      <c r="C48" s="230" t="s">
        <v>70</v>
      </c>
      <c r="D48" s="231" t="s">
        <v>540</v>
      </c>
      <c r="E48" s="215"/>
      <c r="F48" s="256" t="s">
        <v>55</v>
      </c>
      <c r="G48" s="232" t="s">
        <v>174</v>
      </c>
      <c r="H48" s="215" t="s">
        <v>164</v>
      </c>
      <c r="I48" s="215" t="s">
        <v>165</v>
      </c>
      <c r="J48" s="215" t="s">
        <v>247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1114</v>
      </c>
      <c r="C49" s="285" t="s">
        <v>81</v>
      </c>
      <c r="D49" s="462" t="s">
        <v>373</v>
      </c>
      <c r="E49" s="276"/>
      <c r="F49" s="275" t="s">
        <v>159</v>
      </c>
      <c r="G49" s="277" t="s">
        <v>251</v>
      </c>
      <c r="H49" s="276" t="s">
        <v>164</v>
      </c>
      <c r="I49" s="276" t="s">
        <v>165</v>
      </c>
      <c r="J49" s="278" t="s">
        <v>189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14</v>
      </c>
      <c r="AQ53" s="742">
        <f>SUMIF($C$8:$C$72, "워크인", $L$8:$L$72)+SUMIF($C$8:$C$72, "워크인", $M$8:$M$72)+SUMIF($C$8:$C$72, "워크인", $N$8:$N$72)+SUMIF($C$8:$C$72, "워크인", $O$8:$O$72)</f>
        <v>75000</v>
      </c>
      <c r="AR53" s="743"/>
      <c r="AS53" s="744">
        <f>SUM(AN53+AQ53)</f>
        <v>75000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30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14</v>
      </c>
      <c r="AQ58" s="714">
        <f>SUM(AQ53:AR57)</f>
        <v>75000</v>
      </c>
      <c r="AR58" s="714"/>
      <c r="AS58" s="715">
        <f>SUM(AS53:AT57)</f>
        <v>75000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30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4</v>
      </c>
      <c r="AQ60" s="56">
        <f>SUMIF($C$8:$C$72, $AK60, $L$8:$L$72)+SUMIF($C$8:$C$72, $AK60, $M$8:$M$72)+SUMIF($C$8:$C$72, $AK60, $N$8:$N$72)+SUMIF($C$8:$C$72, $AK60, $O$8:$O$72)</f>
        <v>270000</v>
      </c>
      <c r="AR60" s="57">
        <f>AQ60*0.9</f>
        <v>243000</v>
      </c>
      <c r="AS60" s="58">
        <f t="shared" ref="AS60:AS70" si="4">SUM(AN60+AQ60)</f>
        <v>270000</v>
      </c>
      <c r="AT60" s="59">
        <f t="shared" ref="AT60:AT70" si="5">AO60+AR60</f>
        <v>243000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30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2</v>
      </c>
      <c r="AQ61" s="56">
        <f t="shared" ref="AQ61:AQ70" si="8">SUMIF($C$8:$C$72, $AK61, $L$8:$L$72)+SUMIF($C$8:$C$72, $AK61, $M$8:$M$72)+SUMIF($C$8:$C$72, $AK61, $N$8:$N$72)+SUMIF($C$8:$C$72, $AK61, $O$8:$O$72)</f>
        <v>70000</v>
      </c>
      <c r="AR61" s="57">
        <f t="shared" ref="AR61:AR70" si="9">AQ61*0.9</f>
        <v>63000</v>
      </c>
      <c r="AS61" s="58">
        <f t="shared" si="4"/>
        <v>70000</v>
      </c>
      <c r="AT61" s="59">
        <f t="shared" si="5"/>
        <v>63000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30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30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5</v>
      </c>
      <c r="AQ66" s="56">
        <f t="shared" si="8"/>
        <v>1354500</v>
      </c>
      <c r="AR66" s="57">
        <f t="shared" si="9"/>
        <v>1219050</v>
      </c>
      <c r="AS66" s="58">
        <f t="shared" si="4"/>
        <v>1354500</v>
      </c>
      <c r="AT66" s="59">
        <f t="shared" si="5"/>
        <v>1219050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2</v>
      </c>
      <c r="AQ67" s="56">
        <f t="shared" si="8"/>
        <v>145572</v>
      </c>
      <c r="AR67" s="57">
        <f t="shared" si="9"/>
        <v>131014.8</v>
      </c>
      <c r="AS67" s="58">
        <f t="shared" si="4"/>
        <v>145572</v>
      </c>
      <c r="AT67" s="59">
        <f t="shared" si="5"/>
        <v>131014.8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 t="s">
        <v>1109</v>
      </c>
      <c r="D68" s="265" t="s">
        <v>1110</v>
      </c>
      <c r="E68" s="266" t="s">
        <v>1040</v>
      </c>
      <c r="F68" s="265" t="s">
        <v>1089</v>
      </c>
      <c r="G68" s="413"/>
      <c r="H68" s="266"/>
      <c r="I68" s="266"/>
      <c r="J68" s="266" t="s">
        <v>1060</v>
      </c>
      <c r="K68" s="266"/>
      <c r="L68" s="257"/>
      <c r="M68" s="257">
        <v>45000</v>
      </c>
      <c r="N68" s="257"/>
      <c r="O68" s="223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2223072</v>
      </c>
      <c r="BD68" s="656"/>
      <c r="BE68" s="655"/>
    </row>
    <row r="69" spans="1:57" ht="64.5" customHeight="1" x14ac:dyDescent="0.3">
      <c r="A69" s="659"/>
      <c r="B69" s="660"/>
      <c r="C69" s="255"/>
      <c r="D69" s="265"/>
      <c r="E69" s="266"/>
      <c r="F69" s="231"/>
      <c r="G69" s="414"/>
      <c r="H69" s="215"/>
      <c r="I69" s="215"/>
      <c r="J69" s="215"/>
      <c r="K69" s="215"/>
      <c r="L69" s="234"/>
      <c r="M69" s="234"/>
      <c r="N69" s="234"/>
      <c r="O69" s="218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6</v>
      </c>
      <c r="AQ69" s="56">
        <f t="shared" si="8"/>
        <v>308000</v>
      </c>
      <c r="AR69" s="57">
        <f t="shared" si="9"/>
        <v>277200</v>
      </c>
      <c r="AS69" s="58">
        <f t="shared" si="4"/>
        <v>308000</v>
      </c>
      <c r="AT69" s="59">
        <f t="shared" si="5"/>
        <v>277200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30"/>
      <c r="D70" s="231"/>
      <c r="E70" s="215"/>
      <c r="F70" s="231"/>
      <c r="G70" s="232"/>
      <c r="H70" s="215"/>
      <c r="I70" s="215"/>
      <c r="J70" s="215"/>
      <c r="K70" s="215"/>
      <c r="L70" s="234"/>
      <c r="M70" s="234"/>
      <c r="N70" s="234"/>
      <c r="O70" s="218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2402072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21</v>
      </c>
      <c r="AQ73" s="22">
        <f t="shared" si="10"/>
        <v>2148072</v>
      </c>
      <c r="AR73" s="23">
        <f t="shared" si="10"/>
        <v>1933264.8</v>
      </c>
      <c r="AS73" s="24">
        <f t="shared" si="10"/>
        <v>2148072</v>
      </c>
      <c r="AT73" s="25">
        <f t="shared" si="10"/>
        <v>1933264.8</v>
      </c>
      <c r="AU73" s="692" t="s">
        <v>58</v>
      </c>
      <c r="AV73" s="693"/>
      <c r="AW73" s="693"/>
      <c r="AX73" s="693"/>
      <c r="AY73" s="694"/>
      <c r="AZ73" s="695">
        <f>AS58+AT73</f>
        <v>2008264.8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5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70">
    <cfRule type="cellIs" dxfId="245" priority="1" operator="equal">
      <formula>"여기어때"</formula>
    </cfRule>
    <cfRule type="cellIs" dxfId="244" priority="2" operator="equal">
      <formula>"야놀자"</formula>
    </cfRule>
  </conditionalFormatting>
  <conditionalFormatting sqref="R8:R66">
    <cfRule type="cellIs" dxfId="243" priority="25" operator="equal">
      <formula>"여기어때"</formula>
    </cfRule>
    <cfRule type="cellIs" dxfId="242" priority="26" operator="equal">
      <formula>"야놀자"</formula>
    </cfRule>
  </conditionalFormatting>
  <conditionalFormatting sqref="R73">
    <cfRule type="cellIs" dxfId="241" priority="333" operator="equal">
      <formula>"여기어때"</formula>
    </cfRule>
    <cfRule type="cellIs" dxfId="240" priority="334" operator="equal">
      <formula>"야놀자"</formula>
    </cfRule>
  </conditionalFormatting>
  <conditionalFormatting sqref="AL30:AM30">
    <cfRule type="cellIs" dxfId="239" priority="318" operator="greaterThan">
      <formula>$AL$29</formula>
    </cfRule>
    <cfRule type="cellIs" dxfId="238" priority="326" operator="equal">
      <formula>$AL$29</formula>
    </cfRule>
  </conditionalFormatting>
  <conditionalFormatting sqref="AN30:AO30">
    <cfRule type="cellIs" dxfId="237" priority="317" operator="greaterThan">
      <formula>$AN$29</formula>
    </cfRule>
    <cfRule type="cellIs" dxfId="236" priority="325" operator="equal">
      <formula>$AN$29</formula>
    </cfRule>
  </conditionalFormatting>
  <conditionalFormatting sqref="AP30:AQ30">
    <cfRule type="cellIs" dxfId="235" priority="316" operator="greaterThan">
      <formula>$AP$29</formula>
    </cfRule>
    <cfRule type="cellIs" dxfId="234" priority="324" operator="equal">
      <formula>$AP$29</formula>
    </cfRule>
  </conditionalFormatting>
  <conditionalFormatting sqref="AR30">
    <cfRule type="cellIs" dxfId="233" priority="315" operator="greaterThan">
      <formula>$AR$29</formula>
    </cfRule>
    <cfRule type="cellIs" dxfId="232" priority="323" operator="equal">
      <formula>$AR$29</formula>
    </cfRule>
  </conditionalFormatting>
  <conditionalFormatting sqref="AS30:AT30">
    <cfRule type="cellIs" dxfId="231" priority="314" operator="greaterThan">
      <formula>$AS$29</formula>
    </cfRule>
    <cfRule type="cellIs" dxfId="230" priority="322" operator="equal">
      <formula>$AS$29</formula>
    </cfRule>
  </conditionalFormatting>
  <conditionalFormatting sqref="AU30:AV30">
    <cfRule type="cellIs" dxfId="229" priority="313" operator="greaterThan">
      <formula>$AU$29</formula>
    </cfRule>
    <cfRule type="cellIs" dxfId="228" priority="321" operator="equal">
      <formula>$AU$29</formula>
    </cfRule>
  </conditionalFormatting>
  <conditionalFormatting sqref="AW30">
    <cfRule type="cellIs" dxfId="227" priority="312" operator="greaterThan">
      <formula>$AW$29</formula>
    </cfRule>
    <cfRule type="cellIs" dxfId="226" priority="320" operator="equal">
      <formula>$AW$29</formula>
    </cfRule>
  </conditionalFormatting>
  <conditionalFormatting sqref="AX30:AY30">
    <cfRule type="cellIs" dxfId="225" priority="311" operator="greaterThan">
      <formula>$AX$29</formula>
    </cfRule>
    <cfRule type="cellIs" dxfId="224" priority="319" operator="equal">
      <formula>$AX$29</formula>
    </cfRule>
  </conditionalFormatting>
  <dataValidations count="1">
    <dataValidation type="list" allowBlank="1" showInputMessage="1" showErrorMessage="1" sqref="A8:A67 C71:C73 C75:C76 P8:P67" xr:uid="{4FDD60DD-E207-421A-8D7E-0B2A01BCA44C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CCCB-BB87-42B2-A9BC-B465FE2D9EF6}">
  <sheetPr codeName="Sheet23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17" activePane="bottomLeft" state="frozen"/>
      <selection activeCell="P30" sqref="P30"/>
      <selection pane="bottomLeft" activeCell="H45" sqref="H45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813</v>
      </c>
      <c r="T1" s="834"/>
      <c r="U1" s="834"/>
      <c r="V1" s="834"/>
      <c r="W1" s="834"/>
      <c r="X1" s="834"/>
      <c r="Y1" s="835"/>
      <c r="Z1" s="1" t="s">
        <v>2</v>
      </c>
      <c r="AA1" s="873">
        <v>45923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610000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42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419500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'23'!AA1</f>
        <v>45923</v>
      </c>
      <c r="AM2" s="863"/>
      <c r="AN2" s="863"/>
      <c r="AO2" s="864"/>
      <c r="AP2" s="865" t="s">
        <v>10</v>
      </c>
      <c r="AQ2" s="866"/>
      <c r="AR2" s="866"/>
      <c r="AS2" s="863">
        <f>AA1+1</f>
        <v>45924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양동건 대체/김선우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610000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419500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9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0</v>
      </c>
      <c r="F6" s="356">
        <f>AR31</f>
        <v>0</v>
      </c>
      <c r="G6" s="356">
        <f>AS31</f>
        <v>0</v>
      </c>
      <c r="H6" s="356">
        <f>AU31</f>
        <v>0</v>
      </c>
      <c r="I6" s="356">
        <f>AW31</f>
        <v>0</v>
      </c>
      <c r="J6" s="356">
        <f>AX31</f>
        <v>0</v>
      </c>
      <c r="K6" s="606"/>
      <c r="L6" s="607"/>
      <c r="M6" s="356"/>
      <c r="N6" s="606">
        <f>C6+D6+E6+F6+G6+H6+I6+J6+K6</f>
        <v>0</v>
      </c>
      <c r="O6" s="602"/>
      <c r="P6" s="599">
        <f>C2</f>
        <v>610000</v>
      </c>
      <c r="Q6" s="600"/>
      <c r="R6" s="300">
        <f>AN14+AN15</f>
        <v>0</v>
      </c>
      <c r="S6" s="300">
        <f>AZ14+AZ15</f>
        <v>0</v>
      </c>
      <c r="T6" s="300">
        <f>AR14+AR15</f>
        <v>285000</v>
      </c>
      <c r="U6" s="609">
        <f>AS60</f>
        <v>325000</v>
      </c>
      <c r="V6" s="600"/>
      <c r="W6" s="609">
        <f>AS61</f>
        <v>0</v>
      </c>
      <c r="X6" s="600"/>
      <c r="Y6" s="609">
        <f>AS62</f>
        <v>0</v>
      </c>
      <c r="Z6" s="600"/>
      <c r="AA6" s="300">
        <f>AS63</f>
        <v>0</v>
      </c>
      <c r="AB6" s="300">
        <f>AS66</f>
        <v>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493">
        <v>305</v>
      </c>
      <c r="C8" s="230" t="s">
        <v>775</v>
      </c>
      <c r="D8" s="231" t="s">
        <v>1094</v>
      </c>
      <c r="E8" s="215" t="s">
        <v>890</v>
      </c>
      <c r="F8" s="231" t="s">
        <v>700</v>
      </c>
      <c r="G8" s="232" t="s">
        <v>688</v>
      </c>
      <c r="H8" s="215" t="s">
        <v>164</v>
      </c>
      <c r="I8" s="215" t="s">
        <v>165</v>
      </c>
      <c r="J8" s="215" t="s">
        <v>733</v>
      </c>
      <c r="K8" s="215"/>
      <c r="L8" s="254"/>
      <c r="M8" s="254">
        <v>65000</v>
      </c>
      <c r="N8" s="254"/>
      <c r="O8" s="218"/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811</v>
      </c>
      <c r="C9" s="492" t="s">
        <v>686</v>
      </c>
      <c r="D9" s="251" t="s">
        <v>924</v>
      </c>
      <c r="E9" s="217"/>
      <c r="F9" s="251" t="s">
        <v>965</v>
      </c>
      <c r="G9" s="331" t="s">
        <v>688</v>
      </c>
      <c r="H9" s="217" t="s">
        <v>164</v>
      </c>
      <c r="I9" s="217" t="s">
        <v>165</v>
      </c>
      <c r="J9" s="368" t="s">
        <v>733</v>
      </c>
      <c r="K9" s="217"/>
      <c r="L9" s="254"/>
      <c r="M9" s="254"/>
      <c r="N9" s="254"/>
      <c r="O9" s="317">
        <v>65000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1111</v>
      </c>
      <c r="C10" s="230" t="s">
        <v>775</v>
      </c>
      <c r="D10" s="231" t="s">
        <v>934</v>
      </c>
      <c r="E10" s="215" t="s">
        <v>936</v>
      </c>
      <c r="F10" s="231" t="s">
        <v>690</v>
      </c>
      <c r="G10" s="232" t="s">
        <v>688</v>
      </c>
      <c r="H10" s="215" t="s">
        <v>164</v>
      </c>
      <c r="I10" s="215" t="s">
        <v>165</v>
      </c>
      <c r="J10" s="368" t="s">
        <v>190</v>
      </c>
      <c r="K10" s="215"/>
      <c r="L10" s="234"/>
      <c r="M10" s="234"/>
      <c r="N10" s="234"/>
      <c r="O10" s="218">
        <v>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65000</v>
      </c>
      <c r="AS10" s="627"/>
      <c r="AT10" s="625">
        <f>COUNTA($O$8:$O$67)</f>
        <v>41</v>
      </c>
      <c r="AU10" s="625"/>
      <c r="AV10" s="625">
        <f>SUM(O8:O67)</f>
        <v>325000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42</v>
      </c>
      <c r="BC10" s="799"/>
      <c r="BD10" s="800">
        <f>SUM(AN10+AR10+AV10+AZ10)</f>
        <v>390000</v>
      </c>
      <c r="BE10" s="801"/>
    </row>
    <row r="11" spans="1:58" ht="64.5" customHeight="1" x14ac:dyDescent="0.3">
      <c r="A11" s="228">
        <v>4</v>
      </c>
      <c r="B11" s="229">
        <v>911</v>
      </c>
      <c r="C11" s="230" t="s">
        <v>775</v>
      </c>
      <c r="D11" s="231" t="s">
        <v>934</v>
      </c>
      <c r="E11" s="215" t="s">
        <v>936</v>
      </c>
      <c r="F11" s="231" t="s">
        <v>690</v>
      </c>
      <c r="G11" s="232" t="s">
        <v>688</v>
      </c>
      <c r="H11" s="215" t="s">
        <v>164</v>
      </c>
      <c r="I11" s="215" t="s">
        <v>165</v>
      </c>
      <c r="J11" s="368" t="s">
        <v>190</v>
      </c>
      <c r="K11" s="215"/>
      <c r="L11" s="234"/>
      <c r="M11" s="234"/>
      <c r="N11" s="234"/>
      <c r="O11" s="218">
        <v>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709</v>
      </c>
      <c r="C12" s="230" t="s">
        <v>775</v>
      </c>
      <c r="D12" s="231" t="s">
        <v>934</v>
      </c>
      <c r="E12" s="215" t="s">
        <v>936</v>
      </c>
      <c r="F12" s="231" t="s">
        <v>751</v>
      </c>
      <c r="G12" s="232" t="s">
        <v>688</v>
      </c>
      <c r="H12" s="215" t="s">
        <v>164</v>
      </c>
      <c r="I12" s="215" t="s">
        <v>165</v>
      </c>
      <c r="J12" s="368" t="s">
        <v>190</v>
      </c>
      <c r="K12" s="215"/>
      <c r="L12" s="234"/>
      <c r="M12" s="234"/>
      <c r="N12" s="234"/>
      <c r="O12" s="218">
        <v>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2</v>
      </c>
      <c r="AQ12" s="785"/>
      <c r="AR12" s="784">
        <f>SUM(M68:M76)</f>
        <v>220000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2</v>
      </c>
      <c r="BC12" s="785"/>
      <c r="BD12" s="780">
        <f>SUM(AN12+AR12+AV12+AZ12)</f>
        <v>220000</v>
      </c>
      <c r="BE12" s="781"/>
    </row>
    <row r="13" spans="1:58" ht="64.5" customHeight="1" x14ac:dyDescent="0.3">
      <c r="A13" s="228">
        <v>6</v>
      </c>
      <c r="B13" s="229">
        <v>404</v>
      </c>
      <c r="C13" s="230" t="s">
        <v>775</v>
      </c>
      <c r="D13" s="231" t="s">
        <v>934</v>
      </c>
      <c r="E13" s="215" t="s">
        <v>936</v>
      </c>
      <c r="F13" s="231" t="s">
        <v>692</v>
      </c>
      <c r="G13" s="232" t="s">
        <v>688</v>
      </c>
      <c r="H13" s="215" t="s">
        <v>164</v>
      </c>
      <c r="I13" s="215" t="s">
        <v>165</v>
      </c>
      <c r="J13" s="368" t="s">
        <v>190</v>
      </c>
      <c r="K13" s="215"/>
      <c r="L13" s="234"/>
      <c r="M13" s="234"/>
      <c r="N13" s="234"/>
      <c r="O13" s="218">
        <v>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506</v>
      </c>
      <c r="C14" s="230" t="s">
        <v>775</v>
      </c>
      <c r="D14" s="231" t="s">
        <v>934</v>
      </c>
      <c r="E14" s="215" t="s">
        <v>936</v>
      </c>
      <c r="F14" s="231" t="s">
        <v>692</v>
      </c>
      <c r="G14" s="232" t="s">
        <v>688</v>
      </c>
      <c r="H14" s="215" t="s">
        <v>164</v>
      </c>
      <c r="I14" s="215" t="s">
        <v>165</v>
      </c>
      <c r="J14" s="368" t="s">
        <v>190</v>
      </c>
      <c r="K14" s="238"/>
      <c r="L14" s="234"/>
      <c r="M14" s="234"/>
      <c r="N14" s="234"/>
      <c r="O14" s="218">
        <v>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285000</v>
      </c>
      <c r="AS14" s="653"/>
      <c r="AT14" s="653">
        <f t="shared" ref="AT14" si="1">SUM(AT10:AU11)</f>
        <v>41</v>
      </c>
      <c r="AU14" s="653"/>
      <c r="AV14" s="653">
        <f>SUM(AV10:AW13)</f>
        <v>325000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42</v>
      </c>
      <c r="BC14" s="655"/>
      <c r="BD14" s="782">
        <f>SUM(BD10:BE13)</f>
        <v>610000</v>
      </c>
      <c r="BE14" s="783"/>
    </row>
    <row r="15" spans="1:58" ht="64.5" customHeight="1" thickBot="1" x14ac:dyDescent="0.35">
      <c r="A15" s="228">
        <v>8</v>
      </c>
      <c r="B15" s="229">
        <v>609</v>
      </c>
      <c r="C15" s="230" t="s">
        <v>775</v>
      </c>
      <c r="D15" s="231" t="s">
        <v>934</v>
      </c>
      <c r="E15" s="215" t="s">
        <v>936</v>
      </c>
      <c r="F15" s="231" t="s">
        <v>692</v>
      </c>
      <c r="G15" s="232" t="s">
        <v>688</v>
      </c>
      <c r="H15" s="215" t="s">
        <v>164</v>
      </c>
      <c r="I15" s="215" t="s">
        <v>165</v>
      </c>
      <c r="J15" s="368" t="s">
        <v>190</v>
      </c>
      <c r="K15" s="215"/>
      <c r="L15" s="234"/>
      <c r="M15" s="234"/>
      <c r="N15" s="234"/>
      <c r="O15" s="218">
        <v>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0</v>
      </c>
      <c r="AQ15" s="633"/>
      <c r="AR15" s="632">
        <f>AR24</f>
        <v>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0</v>
      </c>
      <c r="BC15" s="633"/>
      <c r="BD15" s="776">
        <f>SUM(AN15+AR15+AV15+AZ15)</f>
        <v>0</v>
      </c>
      <c r="BE15" s="777"/>
    </row>
    <row r="16" spans="1:58" ht="64.5" customHeight="1" thickBot="1" x14ac:dyDescent="0.35">
      <c r="A16" s="228">
        <v>9</v>
      </c>
      <c r="B16" s="229">
        <v>809</v>
      </c>
      <c r="C16" s="230" t="s">
        <v>775</v>
      </c>
      <c r="D16" s="231" t="s">
        <v>934</v>
      </c>
      <c r="E16" s="215" t="s">
        <v>936</v>
      </c>
      <c r="F16" s="231" t="s">
        <v>692</v>
      </c>
      <c r="G16" s="232" t="s">
        <v>688</v>
      </c>
      <c r="H16" s="215" t="s">
        <v>164</v>
      </c>
      <c r="I16" s="215" t="s">
        <v>165</v>
      </c>
      <c r="J16" s="368" t="s">
        <v>190</v>
      </c>
      <c r="K16" s="215"/>
      <c r="L16" s="234"/>
      <c r="M16" s="234"/>
      <c r="N16" s="234"/>
      <c r="O16" s="218">
        <v>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610000</v>
      </c>
      <c r="BE16" s="652"/>
      <c r="BF16" s="10"/>
    </row>
    <row r="17" spans="1:62" ht="64.5" customHeight="1" thickBot="1" x14ac:dyDescent="0.35">
      <c r="A17" s="228">
        <v>10</v>
      </c>
      <c r="B17" s="229">
        <v>1004</v>
      </c>
      <c r="C17" s="230" t="s">
        <v>775</v>
      </c>
      <c r="D17" s="231" t="s">
        <v>934</v>
      </c>
      <c r="E17" s="215" t="s">
        <v>936</v>
      </c>
      <c r="F17" s="231" t="s">
        <v>692</v>
      </c>
      <c r="G17" s="232" t="s">
        <v>688</v>
      </c>
      <c r="H17" s="215" t="s">
        <v>164</v>
      </c>
      <c r="I17" s="215" t="s">
        <v>165</v>
      </c>
      <c r="J17" s="368" t="s">
        <v>190</v>
      </c>
      <c r="K17" s="238"/>
      <c r="L17" s="234"/>
      <c r="M17" s="234"/>
      <c r="N17" s="234"/>
      <c r="O17" s="218">
        <v>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1006</v>
      </c>
      <c r="C18" s="230" t="s">
        <v>775</v>
      </c>
      <c r="D18" s="231" t="s">
        <v>934</v>
      </c>
      <c r="E18" s="215" t="s">
        <v>936</v>
      </c>
      <c r="F18" s="231" t="s">
        <v>692</v>
      </c>
      <c r="G18" s="232" t="s">
        <v>688</v>
      </c>
      <c r="H18" s="215" t="s">
        <v>164</v>
      </c>
      <c r="I18" s="215" t="s">
        <v>165</v>
      </c>
      <c r="J18" s="368" t="s">
        <v>190</v>
      </c>
      <c r="K18" s="215"/>
      <c r="L18" s="234"/>
      <c r="M18" s="234"/>
      <c r="N18" s="234"/>
      <c r="O18" s="218">
        <v>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1107</v>
      </c>
      <c r="C19" s="230" t="s">
        <v>775</v>
      </c>
      <c r="D19" s="231" t="s">
        <v>934</v>
      </c>
      <c r="E19" s="215" t="s">
        <v>936</v>
      </c>
      <c r="F19" s="231" t="s">
        <v>692</v>
      </c>
      <c r="G19" s="232" t="s">
        <v>688</v>
      </c>
      <c r="H19" s="215" t="s">
        <v>164</v>
      </c>
      <c r="I19" s="215" t="s">
        <v>165</v>
      </c>
      <c r="J19" s="368" t="s">
        <v>190</v>
      </c>
      <c r="K19" s="215"/>
      <c r="L19" s="234"/>
      <c r="M19" s="234"/>
      <c r="N19" s="234"/>
      <c r="O19" s="218">
        <v>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309</v>
      </c>
      <c r="C20" s="230" t="s">
        <v>775</v>
      </c>
      <c r="D20" s="231" t="s">
        <v>934</v>
      </c>
      <c r="E20" s="215" t="s">
        <v>936</v>
      </c>
      <c r="F20" s="231" t="s">
        <v>55</v>
      </c>
      <c r="G20" s="232" t="s">
        <v>688</v>
      </c>
      <c r="H20" s="215" t="s">
        <v>164</v>
      </c>
      <c r="I20" s="215" t="s">
        <v>165</v>
      </c>
      <c r="J20" s="368" t="s">
        <v>190</v>
      </c>
      <c r="K20" s="238"/>
      <c r="L20" s="234"/>
      <c r="M20" s="234"/>
      <c r="N20" s="234"/>
      <c r="O20" s="218">
        <v>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0</v>
      </c>
      <c r="AQ20" s="655"/>
      <c r="AR20" s="654">
        <f>AP20*2000</f>
        <v>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0</v>
      </c>
      <c r="AY20" s="647"/>
      <c r="AZ20" s="648">
        <f>SUM(AJ20+AN20+AR20+AV20)</f>
        <v>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501</v>
      </c>
      <c r="C21" s="230" t="s">
        <v>971</v>
      </c>
      <c r="D21" s="231" t="s">
        <v>1023</v>
      </c>
      <c r="E21" s="215"/>
      <c r="F21" s="231" t="s">
        <v>991</v>
      </c>
      <c r="G21" s="232" t="s">
        <v>986</v>
      </c>
      <c r="H21" s="215" t="s">
        <v>164</v>
      </c>
      <c r="I21" s="215" t="s">
        <v>165</v>
      </c>
      <c r="J21" s="368" t="s">
        <v>190</v>
      </c>
      <c r="K21" s="215"/>
      <c r="L21" s="234"/>
      <c r="M21" s="234"/>
      <c r="N21" s="234"/>
      <c r="O21" s="218">
        <v>260000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thickBot="1" x14ac:dyDescent="0.35">
      <c r="A22" s="228">
        <v>15</v>
      </c>
      <c r="B22" s="514">
        <v>701</v>
      </c>
      <c r="C22" s="522"/>
      <c r="D22" s="523" t="s">
        <v>1131</v>
      </c>
      <c r="E22" s="524" t="s">
        <v>1132</v>
      </c>
      <c r="F22" s="523" t="s">
        <v>1089</v>
      </c>
      <c r="G22" s="428" t="s">
        <v>163</v>
      </c>
      <c r="H22" s="427" t="s">
        <v>164</v>
      </c>
      <c r="I22" s="427" t="s">
        <v>165</v>
      </c>
      <c r="J22" s="524" t="s">
        <v>1060</v>
      </c>
      <c r="K22" s="524"/>
      <c r="L22" s="525"/>
      <c r="M22" s="525"/>
      <c r="N22" s="525"/>
      <c r="O22" s="526">
        <v>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thickTop="1" x14ac:dyDescent="0.3">
      <c r="A23" s="228">
        <v>16</v>
      </c>
      <c r="B23" s="527">
        <v>409</v>
      </c>
      <c r="C23" s="515" t="s">
        <v>70</v>
      </c>
      <c r="D23" s="517" t="s">
        <v>920</v>
      </c>
      <c r="E23" s="516" t="s">
        <v>1106</v>
      </c>
      <c r="F23" s="517" t="s">
        <v>167</v>
      </c>
      <c r="G23" s="518" t="s">
        <v>172</v>
      </c>
      <c r="H23" s="516" t="s">
        <v>164</v>
      </c>
      <c r="I23" s="516" t="s">
        <v>165</v>
      </c>
      <c r="J23" s="528" t="s">
        <v>247</v>
      </c>
      <c r="K23" s="516"/>
      <c r="L23" s="519"/>
      <c r="M23" s="519"/>
      <c r="N23" s="519"/>
      <c r="O23" s="520">
        <v>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>
        <v>1206</v>
      </c>
      <c r="C24" s="230" t="s">
        <v>176</v>
      </c>
      <c r="D24" s="231" t="s">
        <v>307</v>
      </c>
      <c r="E24" s="215"/>
      <c r="F24" s="231" t="s">
        <v>160</v>
      </c>
      <c r="G24" s="232" t="s">
        <v>174</v>
      </c>
      <c r="H24" s="215" t="s">
        <v>164</v>
      </c>
      <c r="I24" s="215" t="s">
        <v>165</v>
      </c>
      <c r="J24" s="237" t="s">
        <v>189</v>
      </c>
      <c r="K24" s="215"/>
      <c r="L24" s="234"/>
      <c r="M24" s="234"/>
      <c r="N24" s="234"/>
      <c r="O24" s="218">
        <v>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0</v>
      </c>
      <c r="AQ24" s="655"/>
      <c r="AR24" s="654">
        <f>SUM(AR20:AS23)</f>
        <v>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0</v>
      </c>
      <c r="AY24" s="647"/>
      <c r="AZ24" s="648">
        <f>SUM(AZ20:BA23)</f>
        <v>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>
        <v>308</v>
      </c>
      <c r="C25" s="230" t="s">
        <v>170</v>
      </c>
      <c r="D25" s="231" t="s">
        <v>944</v>
      </c>
      <c r="E25" s="215"/>
      <c r="F25" s="231" t="s">
        <v>55</v>
      </c>
      <c r="G25" s="232" t="s">
        <v>175</v>
      </c>
      <c r="H25" s="215" t="s">
        <v>164</v>
      </c>
      <c r="I25" s="215" t="s">
        <v>165</v>
      </c>
      <c r="J25" s="215" t="s">
        <v>189</v>
      </c>
      <c r="K25" s="215"/>
      <c r="L25" s="234"/>
      <c r="M25" s="234"/>
      <c r="N25" s="234"/>
      <c r="O25" s="218">
        <v>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>
        <v>1011</v>
      </c>
      <c r="C26" s="230" t="s">
        <v>74</v>
      </c>
      <c r="D26" s="231" t="s">
        <v>931</v>
      </c>
      <c r="E26" s="215" t="s">
        <v>166</v>
      </c>
      <c r="F26" s="231" t="s">
        <v>158</v>
      </c>
      <c r="G26" s="232" t="s">
        <v>175</v>
      </c>
      <c r="H26" s="215" t="s">
        <v>164</v>
      </c>
      <c r="I26" s="215" t="s">
        <v>165</v>
      </c>
      <c r="J26" s="215" t="s">
        <v>189</v>
      </c>
      <c r="K26" s="215"/>
      <c r="L26" s="234"/>
      <c r="M26" s="234"/>
      <c r="N26" s="234"/>
      <c r="O26" s="218">
        <v>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>
        <v>1208</v>
      </c>
      <c r="C27" s="230" t="s">
        <v>70</v>
      </c>
      <c r="D27" s="231" t="s">
        <v>902</v>
      </c>
      <c r="E27" s="215"/>
      <c r="F27" s="231" t="s">
        <v>55</v>
      </c>
      <c r="G27" s="232" t="s">
        <v>903</v>
      </c>
      <c r="H27" s="215" t="s">
        <v>164</v>
      </c>
      <c r="I27" s="215" t="s">
        <v>165</v>
      </c>
      <c r="J27" s="233" t="s">
        <v>247</v>
      </c>
      <c r="K27" s="215"/>
      <c r="L27" s="234"/>
      <c r="M27" s="234"/>
      <c r="N27" s="234"/>
      <c r="O27" s="218">
        <v>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>
        <v>705</v>
      </c>
      <c r="C28" s="230" t="s">
        <v>176</v>
      </c>
      <c r="D28" s="231" t="s">
        <v>993</v>
      </c>
      <c r="E28" s="215"/>
      <c r="F28" s="231" t="s">
        <v>168</v>
      </c>
      <c r="G28" s="232" t="s">
        <v>198</v>
      </c>
      <c r="H28" s="215" t="s">
        <v>164</v>
      </c>
      <c r="I28" s="215" t="s">
        <v>165</v>
      </c>
      <c r="J28" s="233" t="s">
        <v>193</v>
      </c>
      <c r="K28" s="215"/>
      <c r="L28" s="234"/>
      <c r="M28" s="234"/>
      <c r="N28" s="234"/>
      <c r="O28" s="218">
        <v>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>
        <v>902</v>
      </c>
      <c r="C29" s="230" t="s">
        <v>176</v>
      </c>
      <c r="D29" s="231" t="s">
        <v>994</v>
      </c>
      <c r="E29" s="215"/>
      <c r="F29" s="231" t="s">
        <v>167</v>
      </c>
      <c r="G29" s="232" t="s">
        <v>198</v>
      </c>
      <c r="H29" s="215" t="s">
        <v>164</v>
      </c>
      <c r="I29" s="215" t="s">
        <v>165</v>
      </c>
      <c r="J29" s="233" t="s">
        <v>193</v>
      </c>
      <c r="K29" s="215"/>
      <c r="L29" s="234"/>
      <c r="M29" s="234"/>
      <c r="N29" s="234"/>
      <c r="O29" s="218">
        <v>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>
        <v>907</v>
      </c>
      <c r="C30" s="230" t="s">
        <v>176</v>
      </c>
      <c r="D30" s="231" t="s">
        <v>995</v>
      </c>
      <c r="E30" s="215"/>
      <c r="F30" s="231" t="s">
        <v>167</v>
      </c>
      <c r="G30" s="232" t="s">
        <v>198</v>
      </c>
      <c r="H30" s="215" t="s">
        <v>164</v>
      </c>
      <c r="I30" s="215" t="s">
        <v>165</v>
      </c>
      <c r="J30" s="233" t="s">
        <v>193</v>
      </c>
      <c r="K30" s="215"/>
      <c r="L30" s="234"/>
      <c r="M30" s="234"/>
      <c r="N30" s="234"/>
      <c r="O30" s="218">
        <v>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5</v>
      </c>
      <c r="AV30" s="830"/>
      <c r="AW30" s="324">
        <f>COUNTIF(F8:F67,"v")</f>
        <v>5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>
        <v>1105</v>
      </c>
      <c r="C31" s="230" t="s">
        <v>176</v>
      </c>
      <c r="D31" s="231" t="s">
        <v>996</v>
      </c>
      <c r="E31" s="215"/>
      <c r="F31" s="231" t="s">
        <v>160</v>
      </c>
      <c r="G31" s="232" t="s">
        <v>198</v>
      </c>
      <c r="H31" s="215" t="s">
        <v>164</v>
      </c>
      <c r="I31" s="215" t="s">
        <v>165</v>
      </c>
      <c r="J31" s="233" t="s">
        <v>193</v>
      </c>
      <c r="K31" s="215"/>
      <c r="L31" s="234"/>
      <c r="M31" s="234"/>
      <c r="N31" s="234"/>
      <c r="O31" s="218">
        <v>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0</v>
      </c>
      <c r="AV31" s="817"/>
      <c r="AW31" s="322">
        <f>AW29-AW30</f>
        <v>0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>
        <v>1110</v>
      </c>
      <c r="C32" s="230" t="s">
        <v>70</v>
      </c>
      <c r="D32" s="231" t="s">
        <v>885</v>
      </c>
      <c r="E32" s="215"/>
      <c r="F32" s="231" t="s">
        <v>161</v>
      </c>
      <c r="G32" s="232" t="s">
        <v>174</v>
      </c>
      <c r="H32" s="215" t="s">
        <v>164</v>
      </c>
      <c r="I32" s="215" t="s">
        <v>165</v>
      </c>
      <c r="J32" s="215" t="s">
        <v>193</v>
      </c>
      <c r="K32" s="215"/>
      <c r="L32" s="234"/>
      <c r="M32" s="234"/>
      <c r="N32" s="234"/>
      <c r="O32" s="218">
        <v>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>
        <v>1210</v>
      </c>
      <c r="C33" s="230" t="s">
        <v>81</v>
      </c>
      <c r="D33" s="231" t="s">
        <v>842</v>
      </c>
      <c r="E33" s="215"/>
      <c r="F33" s="231" t="s">
        <v>161</v>
      </c>
      <c r="G33" s="232" t="s">
        <v>172</v>
      </c>
      <c r="H33" s="215" t="s">
        <v>164</v>
      </c>
      <c r="I33" s="215" t="s">
        <v>165</v>
      </c>
      <c r="J33" s="215" t="s">
        <v>190</v>
      </c>
      <c r="K33" s="215"/>
      <c r="L33" s="234"/>
      <c r="M33" s="234"/>
      <c r="N33" s="234"/>
      <c r="O33" s="218">
        <v>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>
        <v>805</v>
      </c>
      <c r="C34" s="230" t="s">
        <v>74</v>
      </c>
      <c r="D34" s="231" t="s">
        <v>834</v>
      </c>
      <c r="E34" s="215" t="s">
        <v>166</v>
      </c>
      <c r="F34" s="231" t="s">
        <v>167</v>
      </c>
      <c r="G34" s="232" t="s">
        <v>172</v>
      </c>
      <c r="H34" s="215" t="s">
        <v>164</v>
      </c>
      <c r="I34" s="215" t="s">
        <v>165</v>
      </c>
      <c r="J34" s="215" t="s">
        <v>247</v>
      </c>
      <c r="K34" s="215"/>
      <c r="L34" s="234"/>
      <c r="M34" s="234"/>
      <c r="N34" s="234"/>
      <c r="O34" s="220">
        <v>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>
        <v>401</v>
      </c>
      <c r="C35" s="230" t="s">
        <v>1105</v>
      </c>
      <c r="D35" s="251" t="s">
        <v>201</v>
      </c>
      <c r="E35" s="215" t="s">
        <v>1118</v>
      </c>
      <c r="F35" s="231" t="s">
        <v>1089</v>
      </c>
      <c r="G35" s="232" t="s">
        <v>1096</v>
      </c>
      <c r="H35" s="215"/>
      <c r="I35" s="215"/>
      <c r="J35" s="215"/>
      <c r="K35" s="215"/>
      <c r="L35" s="234"/>
      <c r="M35" s="234"/>
      <c r="N35" s="234"/>
      <c r="O35" s="220">
        <v>0</v>
      </c>
      <c r="P35" s="228">
        <v>28</v>
      </c>
      <c r="Q35" s="229"/>
      <c r="R35" s="230"/>
      <c r="S35" s="231"/>
      <c r="T35" s="231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>
        <v>1216</v>
      </c>
      <c r="C36" s="230" t="s">
        <v>38</v>
      </c>
      <c r="D36" s="231" t="s">
        <v>201</v>
      </c>
      <c r="E36" s="215" t="s">
        <v>1118</v>
      </c>
      <c r="F36" s="231" t="s">
        <v>159</v>
      </c>
      <c r="G36" s="232" t="s">
        <v>172</v>
      </c>
      <c r="H36" s="215"/>
      <c r="I36" s="215"/>
      <c r="J36" s="233"/>
      <c r="K36" s="215"/>
      <c r="L36" s="234"/>
      <c r="M36" s="234"/>
      <c r="N36" s="234"/>
      <c r="O36" s="218">
        <v>0</v>
      </c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>
        <v>1215</v>
      </c>
      <c r="C37" s="230" t="s">
        <v>38</v>
      </c>
      <c r="D37" s="231" t="s">
        <v>201</v>
      </c>
      <c r="E37" s="215" t="s">
        <v>1118</v>
      </c>
      <c r="F37" s="231" t="s">
        <v>159</v>
      </c>
      <c r="G37" s="232" t="s">
        <v>172</v>
      </c>
      <c r="H37" s="215"/>
      <c r="I37" s="215"/>
      <c r="J37" s="233"/>
      <c r="K37" s="215"/>
      <c r="L37" s="234"/>
      <c r="M37" s="234"/>
      <c r="N37" s="234"/>
      <c r="O37" s="218">
        <v>0</v>
      </c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>
        <v>1214</v>
      </c>
      <c r="C38" s="230" t="s">
        <v>38</v>
      </c>
      <c r="D38" s="231" t="s">
        <v>201</v>
      </c>
      <c r="E38" s="215" t="s">
        <v>1118</v>
      </c>
      <c r="F38" s="231" t="s">
        <v>159</v>
      </c>
      <c r="G38" s="232" t="s">
        <v>172</v>
      </c>
      <c r="H38" s="215"/>
      <c r="I38" s="215"/>
      <c r="J38" s="233"/>
      <c r="K38" s="215"/>
      <c r="L38" s="234"/>
      <c r="M38" s="234"/>
      <c r="N38" s="234"/>
      <c r="O38" s="218">
        <v>0</v>
      </c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>
        <v>1116</v>
      </c>
      <c r="C39" s="230" t="s">
        <v>38</v>
      </c>
      <c r="D39" s="231" t="s">
        <v>201</v>
      </c>
      <c r="E39" s="215" t="s">
        <v>1118</v>
      </c>
      <c r="F39" s="231" t="s">
        <v>159</v>
      </c>
      <c r="G39" s="232" t="s">
        <v>172</v>
      </c>
      <c r="H39" s="215"/>
      <c r="I39" s="215"/>
      <c r="J39" s="233"/>
      <c r="K39" s="215"/>
      <c r="L39" s="234"/>
      <c r="M39" s="234"/>
      <c r="N39" s="234"/>
      <c r="O39" s="218">
        <v>0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>
        <v>1115</v>
      </c>
      <c r="C40" s="230" t="s">
        <v>38</v>
      </c>
      <c r="D40" s="231" t="s">
        <v>201</v>
      </c>
      <c r="E40" s="215" t="s">
        <v>1118</v>
      </c>
      <c r="F40" s="231" t="s">
        <v>159</v>
      </c>
      <c r="G40" s="232" t="s">
        <v>172</v>
      </c>
      <c r="H40" s="215"/>
      <c r="I40" s="215"/>
      <c r="J40" s="215"/>
      <c r="K40" s="215"/>
      <c r="L40" s="234"/>
      <c r="M40" s="234"/>
      <c r="N40" s="234"/>
      <c r="O40" s="218">
        <v>0</v>
      </c>
      <c r="P40" s="228">
        <v>33</v>
      </c>
      <c r="Q40" s="229"/>
      <c r="R40" s="230"/>
      <c r="S40" s="231"/>
      <c r="T40" s="215"/>
      <c r="U40" s="231"/>
      <c r="V40" s="232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>
        <v>1112</v>
      </c>
      <c r="C41" s="230" t="s">
        <v>38</v>
      </c>
      <c r="D41" s="231" t="s">
        <v>201</v>
      </c>
      <c r="E41" s="215" t="s">
        <v>1118</v>
      </c>
      <c r="F41" s="231" t="s">
        <v>159</v>
      </c>
      <c r="G41" s="232" t="s">
        <v>172</v>
      </c>
      <c r="H41" s="215"/>
      <c r="I41" s="215"/>
      <c r="J41" s="215"/>
      <c r="K41" s="215"/>
      <c r="L41" s="234"/>
      <c r="M41" s="234"/>
      <c r="N41" s="234"/>
      <c r="O41" s="218">
        <v>0</v>
      </c>
      <c r="P41" s="228">
        <v>34</v>
      </c>
      <c r="Q41" s="229"/>
      <c r="R41" s="230"/>
      <c r="S41" s="231"/>
      <c r="T41" s="215"/>
      <c r="U41" s="231"/>
      <c r="V41" s="232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>
        <v>715</v>
      </c>
      <c r="C42" s="230" t="s">
        <v>38</v>
      </c>
      <c r="D42" s="231" t="s">
        <v>201</v>
      </c>
      <c r="E42" s="215" t="s">
        <v>1118</v>
      </c>
      <c r="F42" s="231" t="s">
        <v>159</v>
      </c>
      <c r="G42" s="232" t="s">
        <v>172</v>
      </c>
      <c r="H42" s="215"/>
      <c r="I42" s="215"/>
      <c r="J42" s="215"/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32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713</v>
      </c>
      <c r="C43" s="230" t="s">
        <v>38</v>
      </c>
      <c r="D43" s="231" t="s">
        <v>201</v>
      </c>
      <c r="E43" s="215" t="s">
        <v>1118</v>
      </c>
      <c r="F43" s="231" t="s">
        <v>159</v>
      </c>
      <c r="G43" s="232" t="s">
        <v>172</v>
      </c>
      <c r="H43" s="215"/>
      <c r="I43" s="215"/>
      <c r="J43" s="215"/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32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615</v>
      </c>
      <c r="C44" s="230" t="s">
        <v>38</v>
      </c>
      <c r="D44" s="231" t="s">
        <v>201</v>
      </c>
      <c r="E44" s="215" t="s">
        <v>1118</v>
      </c>
      <c r="F44" s="231" t="s">
        <v>159</v>
      </c>
      <c r="G44" s="232" t="s">
        <v>172</v>
      </c>
      <c r="H44" s="215"/>
      <c r="I44" s="215"/>
      <c r="J44" s="233"/>
      <c r="K44" s="215"/>
      <c r="L44" s="234"/>
      <c r="M44" s="234"/>
      <c r="N44" s="234"/>
      <c r="O44" s="220">
        <v>0</v>
      </c>
      <c r="P44" s="228">
        <v>37</v>
      </c>
      <c r="Q44" s="229"/>
      <c r="R44" s="230"/>
      <c r="S44" s="231"/>
      <c r="T44" s="215"/>
      <c r="U44" s="231"/>
      <c r="V44" s="232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406</v>
      </c>
      <c r="C45" s="230" t="s">
        <v>38</v>
      </c>
      <c r="D45" s="231" t="s">
        <v>201</v>
      </c>
      <c r="E45" s="215" t="s">
        <v>1118</v>
      </c>
      <c r="F45" s="231" t="s">
        <v>168</v>
      </c>
      <c r="G45" s="232" t="s">
        <v>172</v>
      </c>
      <c r="H45" s="215"/>
      <c r="I45" s="215"/>
      <c r="J45" s="215"/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32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906</v>
      </c>
      <c r="C46" s="230" t="s">
        <v>38</v>
      </c>
      <c r="D46" s="231" t="s">
        <v>201</v>
      </c>
      <c r="E46" s="215" t="s">
        <v>1118</v>
      </c>
      <c r="F46" s="231" t="s">
        <v>168</v>
      </c>
      <c r="G46" s="232" t="s">
        <v>172</v>
      </c>
      <c r="H46" s="215"/>
      <c r="I46" s="215"/>
      <c r="J46" s="215"/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32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702</v>
      </c>
      <c r="C47" s="230" t="s">
        <v>38</v>
      </c>
      <c r="D47" s="231" t="s">
        <v>201</v>
      </c>
      <c r="E47" s="215" t="s">
        <v>1118</v>
      </c>
      <c r="F47" s="231" t="s">
        <v>168</v>
      </c>
      <c r="G47" s="232" t="s">
        <v>172</v>
      </c>
      <c r="H47" s="215"/>
      <c r="I47" s="215"/>
      <c r="J47" s="215"/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56"/>
      <c r="V47" s="232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307</v>
      </c>
      <c r="C48" s="230" t="s">
        <v>70</v>
      </c>
      <c r="D48" s="231" t="s">
        <v>540</v>
      </c>
      <c r="E48" s="215"/>
      <c r="F48" s="256" t="s">
        <v>55</v>
      </c>
      <c r="G48" s="232" t="s">
        <v>175</v>
      </c>
      <c r="H48" s="215" t="s">
        <v>164</v>
      </c>
      <c r="I48" s="215" t="s">
        <v>165</v>
      </c>
      <c r="J48" s="215" t="s">
        <v>247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56"/>
      <c r="V48" s="232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1114</v>
      </c>
      <c r="C49" s="285" t="s">
        <v>81</v>
      </c>
      <c r="D49" s="462" t="s">
        <v>373</v>
      </c>
      <c r="E49" s="276"/>
      <c r="F49" s="275" t="s">
        <v>159</v>
      </c>
      <c r="G49" s="277" t="s">
        <v>252</v>
      </c>
      <c r="H49" s="276" t="s">
        <v>164</v>
      </c>
      <c r="I49" s="276" t="s">
        <v>165</v>
      </c>
      <c r="J49" s="278" t="s">
        <v>189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85"/>
      <c r="S49" s="462"/>
      <c r="T49" s="276"/>
      <c r="U49" s="275"/>
      <c r="V49" s="277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13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0</v>
      </c>
      <c r="BB54" s="681"/>
      <c r="BC54" s="679">
        <f>AZ24</f>
        <v>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0</v>
      </c>
      <c r="BB55" s="681"/>
      <c r="BC55" s="679">
        <f>SUM(BC53:BE54)</f>
        <v>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13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4</v>
      </c>
      <c r="AQ60" s="56">
        <f>SUMIF($C$8:$C$72, $AK60, $L$8:$L$72)+SUMIF($C$8:$C$72, $AK60, $M$8:$M$72)+SUMIF($C$8:$C$72, $AK60, $N$8:$N$72)+SUMIF($C$8:$C$72, $AK60, $O$8:$O$72)</f>
        <v>325000</v>
      </c>
      <c r="AR60" s="57">
        <f>AQ60*0.9</f>
        <v>292500</v>
      </c>
      <c r="AS60" s="58">
        <f t="shared" ref="AS60:AS70" si="4">SUM(AN60+AQ60)</f>
        <v>325000</v>
      </c>
      <c r="AT60" s="59">
        <f t="shared" ref="AT60:AT70" si="5">AO60+AR60</f>
        <v>292500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0</v>
      </c>
      <c r="AQ61" s="56">
        <f t="shared" ref="AQ61:AQ70" si="8">SUMIF($C$8:$C$72, $AK61, $L$8:$L$72)+SUMIF($C$8:$C$72, $AK61, $M$8:$M$72)+SUMIF($C$8:$C$72, $AK61, $N$8:$N$72)+SUMIF($C$8:$C$72, $AK61, $O$8:$O$72)</f>
        <v>0</v>
      </c>
      <c r="AR61" s="57">
        <f t="shared" ref="AR61:AR70" si="9">AQ61*0.9</f>
        <v>0</v>
      </c>
      <c r="AS61" s="58">
        <f t="shared" si="4"/>
        <v>0</v>
      </c>
      <c r="AT61" s="59">
        <f t="shared" si="5"/>
        <v>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0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0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4</v>
      </c>
      <c r="AQ66" s="56">
        <f t="shared" si="8"/>
        <v>0</v>
      </c>
      <c r="AR66" s="57">
        <f t="shared" si="9"/>
        <v>0</v>
      </c>
      <c r="AS66" s="58">
        <f t="shared" si="4"/>
        <v>0</v>
      </c>
      <c r="AT66" s="59">
        <f t="shared" si="5"/>
        <v>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2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 t="s">
        <v>1121</v>
      </c>
      <c r="D68" s="265" t="s">
        <v>1122</v>
      </c>
      <c r="E68" s="266" t="s">
        <v>1124</v>
      </c>
      <c r="F68" s="265"/>
      <c r="G68" s="267"/>
      <c r="H68" s="266"/>
      <c r="I68" s="266"/>
      <c r="J68" s="266" t="s">
        <v>1087</v>
      </c>
      <c r="K68" s="266"/>
      <c r="L68" s="257"/>
      <c r="M68" s="257">
        <v>180000</v>
      </c>
      <c r="N68" s="257"/>
      <c r="O68" s="223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325000</v>
      </c>
      <c r="BD68" s="656"/>
      <c r="BE68" s="655"/>
    </row>
    <row r="69" spans="1:57" ht="64.5" customHeight="1" x14ac:dyDescent="0.3">
      <c r="A69" s="659"/>
      <c r="B69" s="660"/>
      <c r="C69" s="217" t="s">
        <v>1125</v>
      </c>
      <c r="D69" s="251" t="s">
        <v>1120</v>
      </c>
      <c r="E69" s="217" t="s">
        <v>1126</v>
      </c>
      <c r="F69" s="250"/>
      <c r="G69" s="251"/>
      <c r="H69" s="217"/>
      <c r="I69" s="217" t="s">
        <v>1051</v>
      </c>
      <c r="J69" s="217" t="s">
        <v>1087</v>
      </c>
      <c r="K69" s="217"/>
      <c r="L69" s="253"/>
      <c r="M69" s="253">
        <v>40000</v>
      </c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5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15"/>
      <c r="D70" s="251"/>
      <c r="E70" s="217"/>
      <c r="F70" s="250"/>
      <c r="G70" s="416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15"/>
      <c r="D71" s="251"/>
      <c r="E71" s="217"/>
      <c r="F71" s="250"/>
      <c r="G71" s="416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610000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16</v>
      </c>
      <c r="AQ73" s="22">
        <f t="shared" si="10"/>
        <v>325000</v>
      </c>
      <c r="AR73" s="23">
        <f t="shared" si="10"/>
        <v>292500</v>
      </c>
      <c r="AS73" s="24">
        <f t="shared" si="10"/>
        <v>325000</v>
      </c>
      <c r="AT73" s="25">
        <f t="shared" si="10"/>
        <v>292500</v>
      </c>
      <c r="AU73" s="692" t="s">
        <v>58</v>
      </c>
      <c r="AV73" s="693"/>
      <c r="AW73" s="693"/>
      <c r="AX73" s="693"/>
      <c r="AY73" s="694"/>
      <c r="AZ73" s="695">
        <f>AS58+AT73</f>
        <v>292500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6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8">
    <cfRule type="cellIs" dxfId="223" priority="1" operator="equal">
      <formula>"여기어때"</formula>
    </cfRule>
    <cfRule type="cellIs" dxfId="222" priority="2" operator="equal">
      <formula>"야놀자"</formula>
    </cfRule>
  </conditionalFormatting>
  <conditionalFormatting sqref="R8:R66">
    <cfRule type="cellIs" dxfId="221" priority="51" operator="equal">
      <formula>"여기어때"</formula>
    </cfRule>
    <cfRule type="cellIs" dxfId="220" priority="52" operator="equal">
      <formula>"야놀자"</formula>
    </cfRule>
  </conditionalFormatting>
  <conditionalFormatting sqref="R73">
    <cfRule type="cellIs" dxfId="219" priority="619" operator="equal">
      <formula>"여기어때"</formula>
    </cfRule>
    <cfRule type="cellIs" dxfId="218" priority="620" operator="equal">
      <formula>"야놀자"</formula>
    </cfRule>
  </conditionalFormatting>
  <conditionalFormatting sqref="AL30:AM30">
    <cfRule type="cellIs" dxfId="217" priority="604" operator="greaterThan">
      <formula>$AL$29</formula>
    </cfRule>
    <cfRule type="cellIs" dxfId="216" priority="612" operator="equal">
      <formula>$AL$29</formula>
    </cfRule>
  </conditionalFormatting>
  <conditionalFormatting sqref="AN30:AO30">
    <cfRule type="cellIs" dxfId="215" priority="603" operator="greaterThan">
      <formula>$AN$29</formula>
    </cfRule>
    <cfRule type="cellIs" dxfId="214" priority="611" operator="equal">
      <formula>$AN$29</formula>
    </cfRule>
  </conditionalFormatting>
  <conditionalFormatting sqref="AP30:AQ30">
    <cfRule type="cellIs" dxfId="213" priority="602" operator="greaterThan">
      <formula>$AP$29</formula>
    </cfRule>
    <cfRule type="cellIs" dxfId="212" priority="610" operator="equal">
      <formula>$AP$29</formula>
    </cfRule>
  </conditionalFormatting>
  <conditionalFormatting sqref="AR30">
    <cfRule type="cellIs" dxfId="211" priority="601" operator="greaterThan">
      <formula>$AR$29</formula>
    </cfRule>
    <cfRule type="cellIs" dxfId="210" priority="609" operator="equal">
      <formula>$AR$29</formula>
    </cfRule>
  </conditionalFormatting>
  <conditionalFormatting sqref="AS30:AT30">
    <cfRule type="cellIs" dxfId="209" priority="600" operator="greaterThan">
      <formula>$AS$29</formula>
    </cfRule>
    <cfRule type="cellIs" dxfId="208" priority="608" operator="equal">
      <formula>$AS$29</formula>
    </cfRule>
  </conditionalFormatting>
  <conditionalFormatting sqref="AU30:AV30">
    <cfRule type="cellIs" dxfId="207" priority="599" operator="greaterThan">
      <formula>$AU$29</formula>
    </cfRule>
    <cfRule type="cellIs" dxfId="206" priority="607" operator="equal">
      <formula>$AU$29</formula>
    </cfRule>
  </conditionalFormatting>
  <conditionalFormatting sqref="AW30">
    <cfRule type="cellIs" dxfId="205" priority="598" operator="greaterThan">
      <formula>$AW$29</formula>
    </cfRule>
    <cfRule type="cellIs" dxfId="204" priority="606" operator="equal">
      <formula>$AW$29</formula>
    </cfRule>
  </conditionalFormatting>
  <conditionalFormatting sqref="AX30:AY30">
    <cfRule type="cellIs" dxfId="203" priority="597" operator="greaterThan">
      <formula>$AX$29</formula>
    </cfRule>
    <cfRule type="cellIs" dxfId="202" priority="605" operator="equal">
      <formula>$AX$29</formula>
    </cfRule>
  </conditionalFormatting>
  <dataValidations disablePrompts="1" count="1">
    <dataValidation type="list" allowBlank="1" showInputMessage="1" showErrorMessage="1" sqref="A8:A67 C72:C73 C75:C76 P8:P67" xr:uid="{D282A2EB-CEBD-4145-879B-F9F330288821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rowBreaks count="1" manualBreakCount="1">
    <brk id="46" max="32" man="1"/>
  </rowBreaks>
  <colBreaks count="1" manualBreakCount="1">
    <brk id="18" max="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C2AC-3EB4-487D-B0EA-90CC8F3AFE4A}">
  <sheetPr codeName="Sheet24"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H40" sqref="H40:I40"/>
      <selection pane="bottomLeft" activeCell="U30" sqref="U30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359</v>
      </c>
      <c r="T1" s="834"/>
      <c r="U1" s="834"/>
      <c r="V1" s="834"/>
      <c r="W1" s="834"/>
      <c r="X1" s="834"/>
      <c r="Y1" s="835"/>
      <c r="Z1" s="1" t="s">
        <v>2</v>
      </c>
      <c r="AA1" s="873">
        <v>45924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1996911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31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419500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'24'!AA1</f>
        <v>45924</v>
      </c>
      <c r="AM2" s="863"/>
      <c r="AN2" s="863"/>
      <c r="AO2" s="864"/>
      <c r="AP2" s="865" t="s">
        <v>10</v>
      </c>
      <c r="AQ2" s="866"/>
      <c r="AR2" s="866"/>
      <c r="AS2" s="863">
        <f>AA1+1</f>
        <v>45925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주간/양동건 대체/황경현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1996911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419500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7</v>
      </c>
      <c r="O4" s="299">
        <f>SUM(COUNTIF(B8:B67,{201,202,203,205,206,207,208,209,506,507,508,509,601,602,603,605,606,607,608,609}))</f>
        <v>0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1</v>
      </c>
      <c r="D6" s="356">
        <f>AN31</f>
        <v>1</v>
      </c>
      <c r="E6" s="356">
        <f>AP31</f>
        <v>0</v>
      </c>
      <c r="F6" s="356">
        <f>AR31</f>
        <v>0</v>
      </c>
      <c r="G6" s="356">
        <f>AS31</f>
        <v>5</v>
      </c>
      <c r="H6" s="356">
        <f>AU31</f>
        <v>1</v>
      </c>
      <c r="I6" s="356">
        <f>AW31</f>
        <v>3</v>
      </c>
      <c r="J6" s="356">
        <f>AX31</f>
        <v>0</v>
      </c>
      <c r="K6" s="606"/>
      <c r="L6" s="607"/>
      <c r="M6" s="356"/>
      <c r="N6" s="606">
        <f>C6+D6+E6+F6+G6+H6+I6+J6+K6</f>
        <v>11</v>
      </c>
      <c r="O6" s="602"/>
      <c r="P6" s="599">
        <f>C2</f>
        <v>1996911</v>
      </c>
      <c r="Q6" s="600"/>
      <c r="R6" s="300">
        <f>AN14+AN15</f>
        <v>0</v>
      </c>
      <c r="S6" s="300">
        <f>AZ14+AZ15</f>
        <v>0</v>
      </c>
      <c r="T6" s="300">
        <f>AR14+AR15</f>
        <v>69000</v>
      </c>
      <c r="U6" s="609">
        <f>AS60</f>
        <v>375000</v>
      </c>
      <c r="V6" s="600"/>
      <c r="W6" s="609">
        <f>AS61</f>
        <v>80000</v>
      </c>
      <c r="X6" s="600"/>
      <c r="Y6" s="609">
        <f>AS62</f>
        <v>691600</v>
      </c>
      <c r="Z6" s="600"/>
      <c r="AA6" s="300">
        <f>AS63</f>
        <v>0</v>
      </c>
      <c r="AB6" s="300">
        <f>AS66</f>
        <v>273000</v>
      </c>
      <c r="AC6" s="300">
        <f>AS67</f>
        <v>0</v>
      </c>
      <c r="AD6" s="300">
        <f>SUMIFS(O7:O47,C7:C47,"트립")</f>
        <v>0</v>
      </c>
      <c r="AE6" s="300">
        <f>AS65</f>
        <v>508311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309</v>
      </c>
      <c r="C8" s="230" t="s">
        <v>655</v>
      </c>
      <c r="D8" s="231" t="s">
        <v>656</v>
      </c>
      <c r="E8" s="215"/>
      <c r="F8" s="231" t="s">
        <v>619</v>
      </c>
      <c r="G8" s="232" t="s">
        <v>657</v>
      </c>
      <c r="H8" s="215" t="s">
        <v>646</v>
      </c>
      <c r="I8" s="215" t="s">
        <v>647</v>
      </c>
      <c r="J8" s="233" t="s">
        <v>648</v>
      </c>
      <c r="K8" s="215"/>
      <c r="L8" s="234"/>
      <c r="M8" s="234"/>
      <c r="N8" s="234"/>
      <c r="O8" s="219">
        <v>691600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1004</v>
      </c>
      <c r="C9" s="230" t="s">
        <v>736</v>
      </c>
      <c r="D9" s="231" t="s">
        <v>740</v>
      </c>
      <c r="E9" s="215" t="s">
        <v>868</v>
      </c>
      <c r="F9" s="231" t="s">
        <v>1057</v>
      </c>
      <c r="G9" s="232" t="s">
        <v>688</v>
      </c>
      <c r="H9" s="215" t="s">
        <v>164</v>
      </c>
      <c r="I9" s="215" t="s">
        <v>165</v>
      </c>
      <c r="J9" s="233" t="s">
        <v>189</v>
      </c>
      <c r="K9" s="215"/>
      <c r="L9" s="234"/>
      <c r="M9" s="234"/>
      <c r="N9" s="234"/>
      <c r="O9" s="220">
        <v>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406</v>
      </c>
      <c r="C10" s="230" t="s">
        <v>686</v>
      </c>
      <c r="D10" s="231" t="s">
        <v>797</v>
      </c>
      <c r="E10" s="215"/>
      <c r="F10" s="231" t="s">
        <v>751</v>
      </c>
      <c r="G10" s="232" t="s">
        <v>741</v>
      </c>
      <c r="H10" s="215" t="s">
        <v>164</v>
      </c>
      <c r="I10" s="215" t="s">
        <v>165</v>
      </c>
      <c r="J10" s="233" t="s">
        <v>733</v>
      </c>
      <c r="K10" s="215"/>
      <c r="L10" s="234"/>
      <c r="M10" s="234"/>
      <c r="N10" s="234"/>
      <c r="O10" s="218">
        <v>245000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65000</v>
      </c>
      <c r="AS10" s="627"/>
      <c r="AT10" s="625">
        <f>COUNTA($O$8:$O$67)</f>
        <v>30</v>
      </c>
      <c r="AU10" s="625"/>
      <c r="AV10" s="625">
        <f>SUM(O8:O67)</f>
        <v>1927911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31</v>
      </c>
      <c r="BC10" s="799"/>
      <c r="BD10" s="800">
        <f>SUM(AN10+AR10+AV10+AZ10)</f>
        <v>1992911</v>
      </c>
      <c r="BE10" s="801"/>
    </row>
    <row r="11" spans="1:58" ht="64.5" customHeight="1" x14ac:dyDescent="0.3">
      <c r="A11" s="228">
        <v>4</v>
      </c>
      <c r="B11" s="229">
        <v>1006</v>
      </c>
      <c r="C11" s="230" t="s">
        <v>736</v>
      </c>
      <c r="D11" s="251" t="s">
        <v>800</v>
      </c>
      <c r="E11" s="215" t="s">
        <v>869</v>
      </c>
      <c r="F11" s="231" t="s">
        <v>1057</v>
      </c>
      <c r="G11" s="232" t="s">
        <v>688</v>
      </c>
      <c r="H11" s="215" t="s">
        <v>164</v>
      </c>
      <c r="I11" s="215" t="s">
        <v>165</v>
      </c>
      <c r="J11" s="233" t="s">
        <v>189</v>
      </c>
      <c r="K11" s="215"/>
      <c r="L11" s="234"/>
      <c r="M11" s="234"/>
      <c r="N11" s="234"/>
      <c r="O11" s="218">
        <v>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308</v>
      </c>
      <c r="C12" s="230" t="s">
        <v>686</v>
      </c>
      <c r="D12" s="251" t="s">
        <v>839</v>
      </c>
      <c r="E12" s="215"/>
      <c r="F12" s="231" t="s">
        <v>55</v>
      </c>
      <c r="G12" s="232" t="s">
        <v>720</v>
      </c>
      <c r="H12" s="215" t="s">
        <v>164</v>
      </c>
      <c r="I12" s="215" t="s">
        <v>165</v>
      </c>
      <c r="J12" s="215" t="s">
        <v>713</v>
      </c>
      <c r="K12" s="215" t="s">
        <v>1049</v>
      </c>
      <c r="L12" s="234"/>
      <c r="M12" s="234"/>
      <c r="N12" s="234"/>
      <c r="O12" s="218">
        <v>130000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911</v>
      </c>
      <c r="C13" s="230" t="s">
        <v>693</v>
      </c>
      <c r="D13" s="251" t="s">
        <v>887</v>
      </c>
      <c r="E13" s="215"/>
      <c r="F13" s="231" t="s">
        <v>690</v>
      </c>
      <c r="G13" s="232" t="s">
        <v>688</v>
      </c>
      <c r="H13" s="215" t="s">
        <v>164</v>
      </c>
      <c r="I13" s="215" t="s">
        <v>165</v>
      </c>
      <c r="J13" s="233" t="s">
        <v>886</v>
      </c>
      <c r="K13" s="215"/>
      <c r="L13" s="234"/>
      <c r="M13" s="234"/>
      <c r="N13" s="234"/>
      <c r="O13" s="218">
        <v>68250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305</v>
      </c>
      <c r="C14" s="230" t="s">
        <v>775</v>
      </c>
      <c r="D14" s="251" t="s">
        <v>1094</v>
      </c>
      <c r="E14" s="215" t="s">
        <v>890</v>
      </c>
      <c r="F14" s="231" t="s">
        <v>700</v>
      </c>
      <c r="G14" s="232" t="s">
        <v>688</v>
      </c>
      <c r="H14" s="215" t="s">
        <v>164</v>
      </c>
      <c r="I14" s="215" t="s">
        <v>165</v>
      </c>
      <c r="J14" s="215" t="s">
        <v>733</v>
      </c>
      <c r="K14" s="215"/>
      <c r="L14" s="254"/>
      <c r="M14" s="254">
        <v>65000</v>
      </c>
      <c r="N14" s="234"/>
      <c r="O14" s="218"/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65000</v>
      </c>
      <c r="AS14" s="653"/>
      <c r="AT14" s="653">
        <f t="shared" ref="AT14" si="1">SUM(AT10:AU11)</f>
        <v>30</v>
      </c>
      <c r="AU14" s="653"/>
      <c r="AV14" s="653">
        <f>SUM(AV10:AW13)</f>
        <v>1927911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31</v>
      </c>
      <c r="BC14" s="655"/>
      <c r="BD14" s="782">
        <f>SUM(BD10:BE13)</f>
        <v>1992911</v>
      </c>
      <c r="BE14" s="783"/>
    </row>
    <row r="15" spans="1:58" ht="64.5" customHeight="1" thickBot="1" x14ac:dyDescent="0.35">
      <c r="A15" s="228">
        <v>8</v>
      </c>
      <c r="B15" s="229">
        <v>805</v>
      </c>
      <c r="C15" s="230" t="s">
        <v>925</v>
      </c>
      <c r="D15" s="251" t="s">
        <v>926</v>
      </c>
      <c r="E15" s="215" t="s">
        <v>318</v>
      </c>
      <c r="F15" s="231" t="s">
        <v>167</v>
      </c>
      <c r="G15" s="232" t="s">
        <v>891</v>
      </c>
      <c r="H15" s="215" t="s">
        <v>164</v>
      </c>
      <c r="I15" s="215" t="s">
        <v>165</v>
      </c>
      <c r="J15" s="233" t="s">
        <v>189</v>
      </c>
      <c r="K15" s="215"/>
      <c r="L15" s="234"/>
      <c r="M15" s="234"/>
      <c r="N15" s="234"/>
      <c r="O15" s="218">
        <v>508311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2</v>
      </c>
      <c r="BC15" s="633"/>
      <c r="BD15" s="776">
        <f>SUM(AN15+AR15+AV15+AZ15)</f>
        <v>4000</v>
      </c>
      <c r="BE15" s="777"/>
    </row>
    <row r="16" spans="1:58" ht="64.5" customHeight="1" thickBot="1" x14ac:dyDescent="0.35">
      <c r="A16" s="228">
        <v>9</v>
      </c>
      <c r="B16" s="229">
        <v>404</v>
      </c>
      <c r="C16" s="230" t="s">
        <v>693</v>
      </c>
      <c r="D16" s="251" t="s">
        <v>1150</v>
      </c>
      <c r="E16" s="215" t="s">
        <v>714</v>
      </c>
      <c r="F16" s="231" t="s">
        <v>692</v>
      </c>
      <c r="G16" s="232" t="s">
        <v>688</v>
      </c>
      <c r="H16" s="215" t="s">
        <v>164</v>
      </c>
      <c r="I16" s="215" t="s">
        <v>165</v>
      </c>
      <c r="J16" s="233" t="s">
        <v>189</v>
      </c>
      <c r="K16" s="266"/>
      <c r="L16" s="257"/>
      <c r="M16" s="257"/>
      <c r="N16" s="257"/>
      <c r="O16" s="218">
        <v>68250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1996911</v>
      </c>
      <c r="BE16" s="652"/>
      <c r="BF16" s="10"/>
    </row>
    <row r="17" spans="1:62" ht="64.5" customHeight="1" thickBot="1" x14ac:dyDescent="0.35">
      <c r="A17" s="228">
        <v>10</v>
      </c>
      <c r="B17" s="229">
        <v>1216</v>
      </c>
      <c r="C17" s="230" t="s">
        <v>775</v>
      </c>
      <c r="D17" s="231" t="s">
        <v>934</v>
      </c>
      <c r="E17" s="215" t="s">
        <v>936</v>
      </c>
      <c r="F17" s="231" t="s">
        <v>696</v>
      </c>
      <c r="G17" s="232" t="s">
        <v>688</v>
      </c>
      <c r="H17" s="215" t="s">
        <v>164</v>
      </c>
      <c r="I17" s="215" t="s">
        <v>165</v>
      </c>
      <c r="J17" s="233" t="s">
        <v>1087</v>
      </c>
      <c r="K17" s="215"/>
      <c r="L17" s="234"/>
      <c r="M17" s="234"/>
      <c r="N17" s="234"/>
      <c r="O17" s="218">
        <v>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1215</v>
      </c>
      <c r="C18" s="230" t="s">
        <v>775</v>
      </c>
      <c r="D18" s="231" t="s">
        <v>934</v>
      </c>
      <c r="E18" s="215" t="s">
        <v>936</v>
      </c>
      <c r="F18" s="231" t="s">
        <v>696</v>
      </c>
      <c r="G18" s="232" t="s">
        <v>688</v>
      </c>
      <c r="H18" s="215" t="s">
        <v>164</v>
      </c>
      <c r="I18" s="215" t="s">
        <v>165</v>
      </c>
      <c r="J18" s="233" t="s">
        <v>1087</v>
      </c>
      <c r="K18" s="215"/>
      <c r="L18" s="234"/>
      <c r="M18" s="234"/>
      <c r="N18" s="234"/>
      <c r="O18" s="218">
        <v>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1214</v>
      </c>
      <c r="C19" s="230" t="s">
        <v>775</v>
      </c>
      <c r="D19" s="231" t="s">
        <v>934</v>
      </c>
      <c r="E19" s="215" t="s">
        <v>936</v>
      </c>
      <c r="F19" s="231" t="s">
        <v>696</v>
      </c>
      <c r="G19" s="232" t="s">
        <v>688</v>
      </c>
      <c r="H19" s="215" t="s">
        <v>164</v>
      </c>
      <c r="I19" s="215" t="s">
        <v>165</v>
      </c>
      <c r="J19" s="233" t="s">
        <v>1087</v>
      </c>
      <c r="K19" s="215"/>
      <c r="L19" s="234"/>
      <c r="M19" s="234"/>
      <c r="N19" s="234"/>
      <c r="O19" s="218">
        <v>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1116</v>
      </c>
      <c r="C20" s="230" t="s">
        <v>775</v>
      </c>
      <c r="D20" s="231" t="s">
        <v>934</v>
      </c>
      <c r="E20" s="215" t="s">
        <v>936</v>
      </c>
      <c r="F20" s="231" t="s">
        <v>696</v>
      </c>
      <c r="G20" s="232" t="s">
        <v>688</v>
      </c>
      <c r="H20" s="215" t="s">
        <v>164</v>
      </c>
      <c r="I20" s="215" t="s">
        <v>165</v>
      </c>
      <c r="J20" s="233" t="s">
        <v>1087</v>
      </c>
      <c r="K20" s="215"/>
      <c r="L20" s="234"/>
      <c r="M20" s="234"/>
      <c r="N20" s="234"/>
      <c r="O20" s="218">
        <v>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2</v>
      </c>
      <c r="AY20" s="647"/>
      <c r="AZ20" s="648">
        <f>SUM(AJ20+AN20+AR20+AV20)</f>
        <v>4000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1115</v>
      </c>
      <c r="C21" s="230" t="s">
        <v>775</v>
      </c>
      <c r="D21" s="231" t="s">
        <v>934</v>
      </c>
      <c r="E21" s="215" t="s">
        <v>936</v>
      </c>
      <c r="F21" s="231" t="s">
        <v>696</v>
      </c>
      <c r="G21" s="232" t="s">
        <v>688</v>
      </c>
      <c r="H21" s="215" t="s">
        <v>164</v>
      </c>
      <c r="I21" s="215" t="s">
        <v>165</v>
      </c>
      <c r="J21" s="233" t="s">
        <v>1087</v>
      </c>
      <c r="K21" s="215"/>
      <c r="L21" s="234"/>
      <c r="M21" s="234"/>
      <c r="N21" s="234"/>
      <c r="O21" s="218">
        <v>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>
        <v>1114</v>
      </c>
      <c r="C22" s="230" t="s">
        <v>775</v>
      </c>
      <c r="D22" s="231" t="s">
        <v>934</v>
      </c>
      <c r="E22" s="215" t="s">
        <v>936</v>
      </c>
      <c r="F22" s="231" t="s">
        <v>696</v>
      </c>
      <c r="G22" s="232" t="s">
        <v>688</v>
      </c>
      <c r="H22" s="215" t="s">
        <v>164</v>
      </c>
      <c r="I22" s="215" t="s">
        <v>165</v>
      </c>
      <c r="J22" s="233" t="s">
        <v>1087</v>
      </c>
      <c r="K22" s="238"/>
      <c r="L22" s="234"/>
      <c r="M22" s="234"/>
      <c r="N22" s="234"/>
      <c r="O22" s="218">
        <v>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>
        <v>1112</v>
      </c>
      <c r="C23" s="230" t="s">
        <v>775</v>
      </c>
      <c r="D23" s="231" t="s">
        <v>934</v>
      </c>
      <c r="E23" s="215" t="s">
        <v>936</v>
      </c>
      <c r="F23" s="231" t="s">
        <v>696</v>
      </c>
      <c r="G23" s="232" t="s">
        <v>688</v>
      </c>
      <c r="H23" s="215" t="s">
        <v>164</v>
      </c>
      <c r="I23" s="215" t="s">
        <v>165</v>
      </c>
      <c r="J23" s="233" t="s">
        <v>1087</v>
      </c>
      <c r="K23" s="215"/>
      <c r="L23" s="234"/>
      <c r="M23" s="234"/>
      <c r="N23" s="234"/>
      <c r="O23" s="218">
        <v>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>
        <v>715</v>
      </c>
      <c r="C24" s="230" t="s">
        <v>775</v>
      </c>
      <c r="D24" s="231" t="s">
        <v>934</v>
      </c>
      <c r="E24" s="215" t="s">
        <v>936</v>
      </c>
      <c r="F24" s="231" t="s">
        <v>696</v>
      </c>
      <c r="G24" s="232" t="s">
        <v>688</v>
      </c>
      <c r="H24" s="215" t="s">
        <v>164</v>
      </c>
      <c r="I24" s="215" t="s">
        <v>165</v>
      </c>
      <c r="J24" s="233" t="s">
        <v>1087</v>
      </c>
      <c r="K24" s="217"/>
      <c r="L24" s="254"/>
      <c r="M24" s="254"/>
      <c r="N24" s="234"/>
      <c r="O24" s="218">
        <v>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2</v>
      </c>
      <c r="AY24" s="647"/>
      <c r="AZ24" s="648">
        <f>SUM(AZ20:BA23)</f>
        <v>4000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>
        <v>713</v>
      </c>
      <c r="C25" s="230" t="s">
        <v>775</v>
      </c>
      <c r="D25" s="231" t="s">
        <v>934</v>
      </c>
      <c r="E25" s="215" t="s">
        <v>936</v>
      </c>
      <c r="F25" s="231" t="s">
        <v>696</v>
      </c>
      <c r="G25" s="232" t="s">
        <v>688</v>
      </c>
      <c r="H25" s="215" t="s">
        <v>164</v>
      </c>
      <c r="I25" s="215" t="s">
        <v>165</v>
      </c>
      <c r="J25" s="233" t="s">
        <v>1087</v>
      </c>
      <c r="K25" s="367"/>
      <c r="L25" s="364"/>
      <c r="M25" s="254"/>
      <c r="N25" s="234"/>
      <c r="O25" s="218">
        <v>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>
        <v>615</v>
      </c>
      <c r="C26" s="230" t="s">
        <v>775</v>
      </c>
      <c r="D26" s="231" t="s">
        <v>934</v>
      </c>
      <c r="E26" s="215" t="s">
        <v>936</v>
      </c>
      <c r="F26" s="231" t="s">
        <v>696</v>
      </c>
      <c r="G26" s="232" t="s">
        <v>688</v>
      </c>
      <c r="H26" s="215" t="s">
        <v>164</v>
      </c>
      <c r="I26" s="215" t="s">
        <v>165</v>
      </c>
      <c r="J26" s="233" t="s">
        <v>1087</v>
      </c>
      <c r="K26" s="410"/>
      <c r="L26" s="252"/>
      <c r="M26" s="252"/>
      <c r="N26" s="234"/>
      <c r="O26" s="218">
        <v>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>
        <v>702</v>
      </c>
      <c r="C27" s="230" t="s">
        <v>775</v>
      </c>
      <c r="D27" s="231" t="s">
        <v>934</v>
      </c>
      <c r="E27" s="215" t="s">
        <v>936</v>
      </c>
      <c r="F27" s="231" t="s">
        <v>751</v>
      </c>
      <c r="G27" s="232" t="s">
        <v>688</v>
      </c>
      <c r="H27" s="215" t="s">
        <v>164</v>
      </c>
      <c r="I27" s="215" t="s">
        <v>165</v>
      </c>
      <c r="J27" s="233" t="s">
        <v>1087</v>
      </c>
      <c r="K27" s="217"/>
      <c r="L27" s="254"/>
      <c r="M27" s="254"/>
      <c r="N27" s="234"/>
      <c r="O27" s="218">
        <v>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>
        <v>1011</v>
      </c>
      <c r="C28" s="318" t="s">
        <v>693</v>
      </c>
      <c r="D28" s="251" t="s">
        <v>943</v>
      </c>
      <c r="E28" s="217"/>
      <c r="F28" s="251" t="s">
        <v>690</v>
      </c>
      <c r="G28" s="331" t="s">
        <v>720</v>
      </c>
      <c r="H28" s="215" t="s">
        <v>164</v>
      </c>
      <c r="I28" s="215" t="s">
        <v>165</v>
      </c>
      <c r="J28" s="233" t="s">
        <v>189</v>
      </c>
      <c r="K28" s="217"/>
      <c r="L28" s="254"/>
      <c r="M28" s="254"/>
      <c r="N28" s="234"/>
      <c r="O28" s="218">
        <v>136500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>
        <v>1111</v>
      </c>
      <c r="C29" s="318" t="s">
        <v>1043</v>
      </c>
      <c r="D29" s="251" t="s">
        <v>1071</v>
      </c>
      <c r="E29" s="217" t="s">
        <v>1072</v>
      </c>
      <c r="F29" s="251" t="s">
        <v>1067</v>
      </c>
      <c r="G29" s="331" t="s">
        <v>1046</v>
      </c>
      <c r="H29" s="215" t="s">
        <v>164</v>
      </c>
      <c r="I29" s="215" t="s">
        <v>165</v>
      </c>
      <c r="J29" s="233" t="s">
        <v>189</v>
      </c>
      <c r="K29" s="217" t="s">
        <v>1049</v>
      </c>
      <c r="L29" s="254"/>
      <c r="M29" s="254"/>
      <c r="N29" s="234"/>
      <c r="O29" s="218">
        <v>80000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>
        <v>709</v>
      </c>
      <c r="C30" s="318" t="s">
        <v>1121</v>
      </c>
      <c r="D30" s="251" t="s">
        <v>1147</v>
      </c>
      <c r="E30" s="217" t="s">
        <v>1127</v>
      </c>
      <c r="F30" s="251" t="s">
        <v>1074</v>
      </c>
      <c r="G30" s="331" t="s">
        <v>1095</v>
      </c>
      <c r="H30" s="215" t="s">
        <v>164</v>
      </c>
      <c r="I30" s="215" t="s">
        <v>165</v>
      </c>
      <c r="J30" s="217" t="s">
        <v>1087</v>
      </c>
      <c r="K30" s="217"/>
      <c r="L30" s="254"/>
      <c r="M30" s="254"/>
      <c r="N30" s="234"/>
      <c r="O30" s="218">
        <v>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4</v>
      </c>
      <c r="AM30" s="828"/>
      <c r="AN30" s="829">
        <f>COUNTIF(F8:F67,"b")</f>
        <v>3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6</v>
      </c>
      <c r="AT30" s="830"/>
      <c r="AU30" s="830">
        <f>COUNTIF(F8:F67,"st")</f>
        <v>4</v>
      </c>
      <c r="AV30" s="830"/>
      <c r="AW30" s="324">
        <f>COUNTIF(F8:F67,"v")</f>
        <v>2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318"/>
      <c r="D31" s="251"/>
      <c r="E31" s="217"/>
      <c r="F31" s="231"/>
      <c r="G31" s="232"/>
      <c r="H31" s="215"/>
      <c r="I31" s="215"/>
      <c r="J31" s="233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1</v>
      </c>
      <c r="AM31" s="815"/>
      <c r="AN31" s="816">
        <f>AN29-AN30</f>
        <v>1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5</v>
      </c>
      <c r="AT31" s="817"/>
      <c r="AU31" s="817">
        <f>AU29-AU30</f>
        <v>1</v>
      </c>
      <c r="AV31" s="817"/>
      <c r="AW31" s="322">
        <f>AW29-AW30</f>
        <v>3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318"/>
      <c r="D32" s="251"/>
      <c r="E32" s="217"/>
      <c r="F32" s="231"/>
      <c r="G32" s="331"/>
      <c r="H32" s="217"/>
      <c r="I32" s="217"/>
      <c r="J32" s="217"/>
      <c r="K32" s="217"/>
      <c r="L32" s="254"/>
      <c r="M32" s="254"/>
      <c r="N32" s="25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318"/>
      <c r="D33" s="251"/>
      <c r="E33" s="217"/>
      <c r="F33" s="231"/>
      <c r="G33" s="331"/>
      <c r="H33" s="217"/>
      <c r="I33" s="217"/>
      <c r="J33" s="217"/>
      <c r="K33" s="217"/>
      <c r="L33" s="254"/>
      <c r="M33" s="254"/>
      <c r="N33" s="25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331"/>
      <c r="H34" s="217"/>
      <c r="I34" s="217"/>
      <c r="J34" s="368"/>
      <c r="K34" s="217"/>
      <c r="L34" s="254"/>
      <c r="M34" s="254"/>
      <c r="N34" s="25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331"/>
      <c r="H35" s="217"/>
      <c r="I35" s="217"/>
      <c r="J35" s="369"/>
      <c r="K35" s="367"/>
      <c r="L35" s="254"/>
      <c r="M35" s="254"/>
      <c r="N35" s="25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331"/>
      <c r="H36" s="217"/>
      <c r="I36" s="217"/>
      <c r="J36" s="217"/>
      <c r="K36" s="217"/>
      <c r="L36" s="254"/>
      <c r="M36" s="254"/>
      <c r="N36" s="25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331"/>
      <c r="H37" s="217"/>
      <c r="I37" s="217"/>
      <c r="J37" s="368"/>
      <c r="K37" s="217"/>
      <c r="L37" s="254"/>
      <c r="M37" s="254"/>
      <c r="N37" s="25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331"/>
      <c r="H38" s="217"/>
      <c r="I38" s="217"/>
      <c r="J38" s="217"/>
      <c r="K38" s="217"/>
      <c r="L38" s="254"/>
      <c r="M38" s="254"/>
      <c r="N38" s="25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545"/>
      <c r="C39" s="546"/>
      <c r="D39" s="547"/>
      <c r="E39" s="548"/>
      <c r="F39" s="547"/>
      <c r="G39" s="549"/>
      <c r="H39" s="548"/>
      <c r="I39" s="548"/>
      <c r="J39" s="550"/>
      <c r="K39" s="551"/>
      <c r="L39" s="552"/>
      <c r="M39" s="552"/>
      <c r="N39" s="552"/>
      <c r="O39" s="553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368"/>
      <c r="K40" s="217"/>
      <c r="L40" s="254"/>
      <c r="M40" s="254"/>
      <c r="N40" s="25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thickBot="1" x14ac:dyDescent="0.35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33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thickTop="1" x14ac:dyDescent="0.3">
      <c r="A42" s="228">
        <v>35</v>
      </c>
      <c r="B42" s="527">
        <v>501</v>
      </c>
      <c r="C42" s="515" t="s">
        <v>74</v>
      </c>
      <c r="D42" s="517" t="s">
        <v>1023</v>
      </c>
      <c r="E42" s="516"/>
      <c r="F42" s="517" t="s">
        <v>161</v>
      </c>
      <c r="G42" s="518" t="s">
        <v>174</v>
      </c>
      <c r="H42" s="516" t="s">
        <v>164</v>
      </c>
      <c r="I42" s="516" t="s">
        <v>165</v>
      </c>
      <c r="J42" s="529" t="s">
        <v>190</v>
      </c>
      <c r="K42" s="530"/>
      <c r="L42" s="531"/>
      <c r="M42" s="531"/>
      <c r="N42" s="531"/>
      <c r="O42" s="520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705</v>
      </c>
      <c r="C43" s="230" t="s">
        <v>176</v>
      </c>
      <c r="D43" s="231" t="s">
        <v>993</v>
      </c>
      <c r="E43" s="215"/>
      <c r="F43" s="231" t="s">
        <v>168</v>
      </c>
      <c r="G43" s="232" t="s">
        <v>199</v>
      </c>
      <c r="H43" s="215" t="s">
        <v>164</v>
      </c>
      <c r="I43" s="215" t="s">
        <v>165</v>
      </c>
      <c r="J43" s="233" t="s">
        <v>193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902</v>
      </c>
      <c r="C44" s="230" t="s">
        <v>176</v>
      </c>
      <c r="D44" s="231" t="s">
        <v>994</v>
      </c>
      <c r="E44" s="215"/>
      <c r="F44" s="231" t="s">
        <v>167</v>
      </c>
      <c r="G44" s="232" t="s">
        <v>199</v>
      </c>
      <c r="H44" s="215" t="s">
        <v>164</v>
      </c>
      <c r="I44" s="215" t="s">
        <v>165</v>
      </c>
      <c r="J44" s="233" t="s">
        <v>193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907</v>
      </c>
      <c r="C45" s="230" t="s">
        <v>176</v>
      </c>
      <c r="D45" s="231" t="s">
        <v>995</v>
      </c>
      <c r="E45" s="215"/>
      <c r="F45" s="231" t="s">
        <v>167</v>
      </c>
      <c r="G45" s="232" t="s">
        <v>199</v>
      </c>
      <c r="H45" s="215" t="s">
        <v>164</v>
      </c>
      <c r="I45" s="215" t="s">
        <v>165</v>
      </c>
      <c r="J45" s="233" t="s">
        <v>193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1105</v>
      </c>
      <c r="C46" s="230" t="s">
        <v>176</v>
      </c>
      <c r="D46" s="231" t="s">
        <v>996</v>
      </c>
      <c r="E46" s="215"/>
      <c r="F46" s="231" t="s">
        <v>160</v>
      </c>
      <c r="G46" s="232" t="s">
        <v>199</v>
      </c>
      <c r="H46" s="215" t="s">
        <v>164</v>
      </c>
      <c r="I46" s="215" t="s">
        <v>165</v>
      </c>
      <c r="J46" s="233" t="s">
        <v>193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1206</v>
      </c>
      <c r="C47" s="230" t="s">
        <v>176</v>
      </c>
      <c r="D47" s="231" t="s">
        <v>307</v>
      </c>
      <c r="E47" s="215"/>
      <c r="F47" s="231" t="s">
        <v>160</v>
      </c>
      <c r="G47" s="232" t="s">
        <v>175</v>
      </c>
      <c r="H47" s="215" t="s">
        <v>164</v>
      </c>
      <c r="I47" s="215" t="s">
        <v>165</v>
      </c>
      <c r="J47" s="237" t="s">
        <v>189</v>
      </c>
      <c r="K47" s="215"/>
      <c r="L47" s="234"/>
      <c r="M47" s="234"/>
      <c r="N47" s="234"/>
      <c r="O47" s="218">
        <v>0</v>
      </c>
      <c r="P47" s="540">
        <v>40</v>
      </c>
      <c r="Q47" s="514"/>
      <c r="R47" s="425"/>
      <c r="S47" s="427"/>
      <c r="T47" s="427"/>
      <c r="U47" s="426"/>
      <c r="V47" s="427"/>
      <c r="W47" s="427"/>
      <c r="X47" s="429"/>
      <c r="Y47" s="541"/>
      <c r="Z47" s="542"/>
      <c r="AA47" s="542"/>
      <c r="AB47" s="430"/>
      <c r="AC47" s="430"/>
      <c r="AD47" s="430"/>
      <c r="AE47" s="542"/>
      <c r="AF47" s="543"/>
      <c r="AG47" s="544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1208</v>
      </c>
      <c r="C48" s="230" t="s">
        <v>70</v>
      </c>
      <c r="D48" s="231" t="s">
        <v>902</v>
      </c>
      <c r="E48" s="215"/>
      <c r="F48" s="231" t="s">
        <v>55</v>
      </c>
      <c r="G48" s="232" t="s">
        <v>904</v>
      </c>
      <c r="H48" s="215" t="s">
        <v>164</v>
      </c>
      <c r="I48" s="215" t="s">
        <v>165</v>
      </c>
      <c r="J48" s="233" t="s">
        <v>247</v>
      </c>
      <c r="K48" s="215"/>
      <c r="L48" s="234"/>
      <c r="M48" s="234"/>
      <c r="N48" s="234"/>
      <c r="O48" s="218">
        <v>0</v>
      </c>
      <c r="P48" s="228">
        <v>41</v>
      </c>
      <c r="Q48" s="242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514">
        <v>1110</v>
      </c>
      <c r="C49" s="539" t="s">
        <v>70</v>
      </c>
      <c r="D49" s="426" t="s">
        <v>885</v>
      </c>
      <c r="E49" s="427"/>
      <c r="F49" s="426" t="s">
        <v>161</v>
      </c>
      <c r="G49" s="428" t="s">
        <v>175</v>
      </c>
      <c r="H49" s="427" t="s">
        <v>164</v>
      </c>
      <c r="I49" s="427" t="s">
        <v>165</v>
      </c>
      <c r="J49" s="427" t="s">
        <v>193</v>
      </c>
      <c r="K49" s="427"/>
      <c r="L49" s="430"/>
      <c r="M49" s="430"/>
      <c r="N49" s="430"/>
      <c r="O49" s="361">
        <v>0</v>
      </c>
      <c r="P49" s="483">
        <v>42</v>
      </c>
      <c r="Q49" s="478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333"/>
      <c r="C50" s="334"/>
      <c r="D50" s="335"/>
      <c r="E50" s="336"/>
      <c r="F50" s="335"/>
      <c r="G50" s="337"/>
      <c r="H50" s="336"/>
      <c r="I50" s="336"/>
      <c r="J50" s="336"/>
      <c r="K50" s="336"/>
      <c r="L50" s="554"/>
      <c r="M50" s="554"/>
      <c r="N50" s="554"/>
      <c r="O50" s="555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2</v>
      </c>
      <c r="BB54" s="681"/>
      <c r="BC54" s="679">
        <f>AZ24</f>
        <v>4000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2</v>
      </c>
      <c r="BB55" s="681"/>
      <c r="BC55" s="679">
        <f>SUM(BC53:BE54)</f>
        <v>4000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3</v>
      </c>
      <c r="AQ60" s="56">
        <f>SUMIF($C$8:$C$72, $AK60, $L$8:$L$72)+SUMIF($C$8:$C$72, $AK60, $M$8:$M$72)+SUMIF($C$8:$C$72, $AK60, $N$8:$N$72)+SUMIF($C$8:$C$72, $AK60, $O$8:$O$72)</f>
        <v>375000</v>
      </c>
      <c r="AR60" s="57">
        <f>AQ60*0.9</f>
        <v>337500</v>
      </c>
      <c r="AS60" s="58">
        <f t="shared" ref="AS60:AS70" si="4">SUM(AN60+AQ60)</f>
        <v>375000</v>
      </c>
      <c r="AT60" s="59">
        <f t="shared" ref="AT60:AT70" si="5">AO60+AR60</f>
        <v>337500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1</v>
      </c>
      <c r="AQ61" s="56">
        <f t="shared" ref="AQ61:AQ70" si="8">SUMIF($C$8:$C$72, $AK61, $L$8:$L$72)+SUMIF($C$8:$C$72, $AK61, $M$8:$M$72)+SUMIF($C$8:$C$72, $AK61, $N$8:$N$72)+SUMIF($C$8:$C$72, $AK61, $O$8:$O$72)</f>
        <v>80000</v>
      </c>
      <c r="AR61" s="57">
        <f t="shared" ref="AR61:AR70" si="9">AQ61*0.9</f>
        <v>72000</v>
      </c>
      <c r="AS61" s="58">
        <f t="shared" si="4"/>
        <v>80000</v>
      </c>
      <c r="AT61" s="59">
        <f t="shared" si="5"/>
        <v>72000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691600</v>
      </c>
      <c r="AR62" s="57">
        <f t="shared" si="9"/>
        <v>622440</v>
      </c>
      <c r="AS62" s="58">
        <f t="shared" si="4"/>
        <v>691600</v>
      </c>
      <c r="AT62" s="59">
        <f t="shared" si="5"/>
        <v>622440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508311</v>
      </c>
      <c r="AR65" s="57">
        <f t="shared" si="9"/>
        <v>457479.9</v>
      </c>
      <c r="AS65" s="58">
        <f t="shared" si="4"/>
        <v>508311</v>
      </c>
      <c r="AT65" s="59">
        <f t="shared" si="5"/>
        <v>457479.9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5</v>
      </c>
      <c r="AQ66" s="56">
        <f t="shared" si="8"/>
        <v>273000</v>
      </c>
      <c r="AR66" s="57">
        <f t="shared" si="9"/>
        <v>245700</v>
      </c>
      <c r="AS66" s="58">
        <f t="shared" si="4"/>
        <v>273000</v>
      </c>
      <c r="AT66" s="59">
        <f t="shared" si="5"/>
        <v>245700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0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30"/>
      <c r="D68" s="231"/>
      <c r="E68" s="215"/>
      <c r="F68" s="231"/>
      <c r="G68" s="232"/>
      <c r="H68" s="266"/>
      <c r="I68" s="266"/>
      <c r="J68" s="266"/>
      <c r="K68" s="266"/>
      <c r="L68" s="257"/>
      <c r="M68" s="257"/>
      <c r="N68" s="257"/>
      <c r="O68" s="223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1927911</v>
      </c>
      <c r="BD68" s="656"/>
      <c r="BE68" s="655"/>
    </row>
    <row r="69" spans="1:57" ht="64.5" customHeight="1" x14ac:dyDescent="0.3">
      <c r="A69" s="659"/>
      <c r="B69" s="660"/>
      <c r="C69" s="230"/>
      <c r="D69" s="231"/>
      <c r="E69" s="215"/>
      <c r="F69" s="231"/>
      <c r="G69" s="232"/>
      <c r="H69" s="215"/>
      <c r="I69" s="215"/>
      <c r="J69" s="233"/>
      <c r="K69" s="215"/>
      <c r="L69" s="234"/>
      <c r="M69" s="234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5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30"/>
      <c r="D70" s="231"/>
      <c r="E70" s="215"/>
      <c r="F70" s="231"/>
      <c r="G70" s="232"/>
      <c r="H70" s="215"/>
      <c r="I70" s="215"/>
      <c r="J70" s="215"/>
      <c r="K70" s="215"/>
      <c r="L70" s="234"/>
      <c r="M70" s="23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4000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1996911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16</v>
      </c>
      <c r="AQ73" s="22">
        <f t="shared" si="10"/>
        <v>1927911</v>
      </c>
      <c r="AR73" s="23">
        <f t="shared" si="10"/>
        <v>1735119.9</v>
      </c>
      <c r="AS73" s="24">
        <f t="shared" si="10"/>
        <v>1927911</v>
      </c>
      <c r="AT73" s="25">
        <f t="shared" si="10"/>
        <v>1735119.9</v>
      </c>
      <c r="AU73" s="692" t="s">
        <v>58</v>
      </c>
      <c r="AV73" s="693"/>
      <c r="AW73" s="693"/>
      <c r="AX73" s="693"/>
      <c r="AY73" s="694"/>
      <c r="AZ73" s="695">
        <f>AS58+AT73</f>
        <v>1735119.9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7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70">
    <cfRule type="cellIs" dxfId="201" priority="1" operator="equal">
      <formula>"여기어때"</formula>
    </cfRule>
    <cfRule type="cellIs" dxfId="200" priority="2" operator="equal">
      <formula>"야놀자"</formula>
    </cfRule>
  </conditionalFormatting>
  <conditionalFormatting sqref="R8:R66">
    <cfRule type="cellIs" dxfId="199" priority="185" operator="equal">
      <formula>"여기어때"</formula>
    </cfRule>
    <cfRule type="cellIs" dxfId="198" priority="186" operator="equal">
      <formula>"야놀자"</formula>
    </cfRule>
  </conditionalFormatting>
  <conditionalFormatting sqref="R73">
    <cfRule type="cellIs" dxfId="197" priority="187" operator="equal">
      <formula>"여기어때"</formula>
    </cfRule>
    <cfRule type="cellIs" dxfId="196" priority="188" operator="equal">
      <formula>"야놀자"</formula>
    </cfRule>
  </conditionalFormatting>
  <conditionalFormatting sqref="AL30:AM30">
    <cfRule type="cellIs" dxfId="195" priority="172" operator="greaterThan">
      <formula>$AL$29</formula>
    </cfRule>
    <cfRule type="cellIs" dxfId="194" priority="180" operator="equal">
      <formula>$AL$29</formula>
    </cfRule>
  </conditionalFormatting>
  <conditionalFormatting sqref="AN30:AO30">
    <cfRule type="cellIs" dxfId="193" priority="171" operator="greaterThan">
      <formula>$AN$29</formula>
    </cfRule>
    <cfRule type="cellIs" dxfId="192" priority="179" operator="equal">
      <formula>$AN$29</formula>
    </cfRule>
  </conditionalFormatting>
  <conditionalFormatting sqref="AP30:AQ30">
    <cfRule type="cellIs" dxfId="191" priority="170" operator="greaterThan">
      <formula>$AP$29</formula>
    </cfRule>
    <cfRule type="cellIs" dxfId="190" priority="178" operator="equal">
      <formula>$AP$29</formula>
    </cfRule>
  </conditionalFormatting>
  <conditionalFormatting sqref="AR30">
    <cfRule type="cellIs" dxfId="189" priority="169" operator="greaterThan">
      <formula>$AR$29</formula>
    </cfRule>
    <cfRule type="cellIs" dxfId="188" priority="177" operator="equal">
      <formula>$AR$29</formula>
    </cfRule>
  </conditionalFormatting>
  <conditionalFormatting sqref="AS30:AT30">
    <cfRule type="cellIs" dxfId="187" priority="168" operator="greaterThan">
      <formula>$AS$29</formula>
    </cfRule>
    <cfRule type="cellIs" dxfId="186" priority="176" operator="equal">
      <formula>$AS$29</formula>
    </cfRule>
  </conditionalFormatting>
  <conditionalFormatting sqref="AU30:AV30">
    <cfRule type="cellIs" dxfId="185" priority="167" operator="greaterThan">
      <formula>$AU$29</formula>
    </cfRule>
    <cfRule type="cellIs" dxfId="184" priority="175" operator="equal">
      <formula>$AU$29</formula>
    </cfRule>
  </conditionalFormatting>
  <conditionalFormatting sqref="AW30">
    <cfRule type="cellIs" dxfId="183" priority="166" operator="greaterThan">
      <formula>$AW$29</formula>
    </cfRule>
    <cfRule type="cellIs" dxfId="182" priority="174" operator="equal">
      <formula>$AW$29</formula>
    </cfRule>
  </conditionalFormatting>
  <conditionalFormatting sqref="AX30:AY30">
    <cfRule type="cellIs" dxfId="181" priority="165" operator="greaterThan">
      <formula>$AX$29</formula>
    </cfRule>
    <cfRule type="cellIs" dxfId="180" priority="173" operator="equal">
      <formula>$AX$29</formula>
    </cfRule>
  </conditionalFormatting>
  <dataValidations disablePrompts="1" count="1">
    <dataValidation type="list" allowBlank="1" showInputMessage="1" showErrorMessage="1" sqref="A8:A67 C71:C73 C75:C76 P8:P67" xr:uid="{9389E3AC-1839-4C6A-8D73-2FE120329D50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504D-65D5-45B0-B7B3-2BC1282D9C2E}">
  <sheetPr codeName="Sheet25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C8" sqref="C8"/>
      <selection pane="bottomLeft" activeCell="B10" sqref="B10:E16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2" width="32.625" customWidth="1"/>
    <col min="33" max="33" width="23.1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360</v>
      </c>
      <c r="T1" s="834"/>
      <c r="U1" s="834"/>
      <c r="V1" s="834"/>
      <c r="W1" s="834"/>
      <c r="X1" s="834"/>
      <c r="Y1" s="835"/>
      <c r="Z1" s="1" t="s">
        <v>2</v>
      </c>
      <c r="AA1" s="873">
        <v>45925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3936313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37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419500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'25'!AA1</f>
        <v>45925</v>
      </c>
      <c r="AM2" s="863"/>
      <c r="AN2" s="863"/>
      <c r="AO2" s="864"/>
      <c r="AP2" s="865" t="s">
        <v>10</v>
      </c>
      <c r="AQ2" s="866"/>
      <c r="AR2" s="866"/>
      <c r="AS2" s="863">
        <f>AA1+1</f>
        <v>45926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주간/양동건 대체/김선우 야간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3936313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421500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8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-1</v>
      </c>
      <c r="F6" s="356">
        <f>AR31</f>
        <v>0</v>
      </c>
      <c r="G6" s="356">
        <f>AS31</f>
        <v>0</v>
      </c>
      <c r="H6" s="356">
        <f>AU31</f>
        <v>0</v>
      </c>
      <c r="I6" s="356">
        <f>AW31</f>
        <v>2</v>
      </c>
      <c r="J6" s="356">
        <f>AX31</f>
        <v>0</v>
      </c>
      <c r="K6" s="606"/>
      <c r="L6" s="607"/>
      <c r="M6" s="356"/>
      <c r="N6" s="606">
        <f>C6+D6+E6+F6+G6+H6+I6+J6+K6</f>
        <v>1</v>
      </c>
      <c r="O6" s="602"/>
      <c r="P6" s="599">
        <f>C2</f>
        <v>3936313</v>
      </c>
      <c r="Q6" s="600"/>
      <c r="R6" s="300">
        <f>AN14+AN15</f>
        <v>2000</v>
      </c>
      <c r="S6" s="300">
        <f>AZ14+AZ15</f>
        <v>0</v>
      </c>
      <c r="T6" s="300">
        <f>AR14+AR15</f>
        <v>2484000</v>
      </c>
      <c r="U6" s="609">
        <f>AS60</f>
        <v>685000</v>
      </c>
      <c r="V6" s="600"/>
      <c r="W6" s="609">
        <f>AS61</f>
        <v>255000</v>
      </c>
      <c r="X6" s="600"/>
      <c r="Y6" s="609">
        <f>AS62</f>
        <v>0</v>
      </c>
      <c r="Z6" s="600"/>
      <c r="AA6" s="300">
        <f>AS63</f>
        <v>0</v>
      </c>
      <c r="AB6" s="300">
        <f>AS66</f>
        <v>153000</v>
      </c>
      <c r="AC6" s="300">
        <f>AS67</f>
        <v>263813</v>
      </c>
      <c r="AD6" s="300">
        <f>SUMIFS(O7:O47,C7:C47,"트립")</f>
        <v>0</v>
      </c>
      <c r="AE6" s="300">
        <f>AS65</f>
        <v>0</v>
      </c>
      <c r="AF6" s="300">
        <f>AS69</f>
        <v>0</v>
      </c>
      <c r="AG6" s="300">
        <f>AS70</f>
        <v>93500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464">
        <v>1206</v>
      </c>
      <c r="C8" s="230" t="s">
        <v>81</v>
      </c>
      <c r="D8" s="231" t="s">
        <v>999</v>
      </c>
      <c r="E8" s="215"/>
      <c r="F8" s="231" t="s">
        <v>160</v>
      </c>
      <c r="G8" s="232" t="s">
        <v>173</v>
      </c>
      <c r="H8" s="215" t="s">
        <v>164</v>
      </c>
      <c r="I8" s="215" t="s">
        <v>165</v>
      </c>
      <c r="J8" s="237" t="s">
        <v>189</v>
      </c>
      <c r="K8" s="238"/>
      <c r="L8" s="234"/>
      <c r="M8" s="234"/>
      <c r="N8" s="234"/>
      <c r="O8" s="218">
        <v>263813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464">
        <v>307</v>
      </c>
      <c r="C9" s="230" t="s">
        <v>70</v>
      </c>
      <c r="D9" s="231" t="s">
        <v>537</v>
      </c>
      <c r="E9" s="215"/>
      <c r="F9" s="231" t="s">
        <v>55</v>
      </c>
      <c r="G9" s="232" t="s">
        <v>171</v>
      </c>
      <c r="H9" s="215" t="s">
        <v>164</v>
      </c>
      <c r="I9" s="215" t="s">
        <v>165</v>
      </c>
      <c r="J9" s="233" t="s">
        <v>247</v>
      </c>
      <c r="K9" s="215"/>
      <c r="L9" s="234"/>
      <c r="M9" s="234"/>
      <c r="N9" s="234"/>
      <c r="O9" s="218">
        <v>153000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464">
        <v>1107</v>
      </c>
      <c r="C10" s="230" t="s">
        <v>248</v>
      </c>
      <c r="D10" s="231" t="s">
        <v>582</v>
      </c>
      <c r="E10" s="215" t="s">
        <v>577</v>
      </c>
      <c r="F10" s="231" t="s">
        <v>167</v>
      </c>
      <c r="G10" s="232" t="s">
        <v>163</v>
      </c>
      <c r="H10" s="215" t="s">
        <v>164</v>
      </c>
      <c r="I10" s="215" t="s">
        <v>165</v>
      </c>
      <c r="J10" s="233" t="s">
        <v>190</v>
      </c>
      <c r="K10" s="215"/>
      <c r="L10" s="234"/>
      <c r="M10" s="234">
        <v>75000</v>
      </c>
      <c r="N10" s="411"/>
      <c r="O10" s="218"/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8</v>
      </c>
      <c r="AQ10" s="627"/>
      <c r="AR10" s="626">
        <f>SUM(M8:M67)</f>
        <v>590000</v>
      </c>
      <c r="AS10" s="627"/>
      <c r="AT10" s="625">
        <f>COUNTA($O$8:$O$67)</f>
        <v>29</v>
      </c>
      <c r="AU10" s="625"/>
      <c r="AV10" s="625">
        <f>SUM(O8:O67)</f>
        <v>1450313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37</v>
      </c>
      <c r="BC10" s="799"/>
      <c r="BD10" s="800">
        <f>SUM(AN10+AR10+AV10+AZ10)</f>
        <v>2040313</v>
      </c>
      <c r="BE10" s="801"/>
    </row>
    <row r="11" spans="1:58" ht="64.5" customHeight="1" x14ac:dyDescent="0.3">
      <c r="A11" s="228">
        <v>4</v>
      </c>
      <c r="B11" s="464">
        <v>809</v>
      </c>
      <c r="C11" s="230" t="s">
        <v>248</v>
      </c>
      <c r="D11" s="231" t="s">
        <v>583</v>
      </c>
      <c r="E11" s="215" t="s">
        <v>394</v>
      </c>
      <c r="F11" s="231" t="s">
        <v>167</v>
      </c>
      <c r="G11" s="232" t="s">
        <v>163</v>
      </c>
      <c r="H11" s="215" t="s">
        <v>164</v>
      </c>
      <c r="I11" s="215" t="s">
        <v>165</v>
      </c>
      <c r="J11" s="233" t="s">
        <v>190</v>
      </c>
      <c r="K11" s="215"/>
      <c r="L11" s="234"/>
      <c r="M11" s="234">
        <v>75000</v>
      </c>
      <c r="N11" s="411"/>
      <c r="O11" s="218"/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464">
        <v>1006</v>
      </c>
      <c r="C12" s="230" t="s">
        <v>248</v>
      </c>
      <c r="D12" s="231" t="s">
        <v>584</v>
      </c>
      <c r="E12" s="215" t="s">
        <v>394</v>
      </c>
      <c r="F12" s="231" t="s">
        <v>167</v>
      </c>
      <c r="G12" s="232" t="s">
        <v>163</v>
      </c>
      <c r="H12" s="215" t="s">
        <v>164</v>
      </c>
      <c r="I12" s="215" t="s">
        <v>165</v>
      </c>
      <c r="J12" s="233" t="s">
        <v>190</v>
      </c>
      <c r="K12" s="215"/>
      <c r="L12" s="234"/>
      <c r="M12" s="234">
        <v>75000</v>
      </c>
      <c r="N12" s="411"/>
      <c r="O12" s="218"/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1</v>
      </c>
      <c r="AQ12" s="785"/>
      <c r="AR12" s="784">
        <f>SUM(M68:M76)</f>
        <v>1890000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1</v>
      </c>
      <c r="BC12" s="785"/>
      <c r="BD12" s="780">
        <f>SUM(AN12+AR12+AV12+AZ12)</f>
        <v>1890000</v>
      </c>
      <c r="BE12" s="781"/>
    </row>
    <row r="13" spans="1:58" ht="64.5" customHeight="1" x14ac:dyDescent="0.3">
      <c r="A13" s="228">
        <v>6</v>
      </c>
      <c r="B13" s="464">
        <v>609</v>
      </c>
      <c r="C13" s="230" t="s">
        <v>248</v>
      </c>
      <c r="D13" s="231" t="s">
        <v>585</v>
      </c>
      <c r="E13" s="215" t="s">
        <v>394</v>
      </c>
      <c r="F13" s="231" t="s">
        <v>167</v>
      </c>
      <c r="G13" s="232" t="s">
        <v>163</v>
      </c>
      <c r="H13" s="215" t="s">
        <v>164</v>
      </c>
      <c r="I13" s="215" t="s">
        <v>165</v>
      </c>
      <c r="J13" s="233" t="s">
        <v>190</v>
      </c>
      <c r="K13" s="215"/>
      <c r="L13" s="234"/>
      <c r="M13" s="234">
        <v>75000</v>
      </c>
      <c r="N13" s="411"/>
      <c r="O13" s="218"/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464">
        <v>506</v>
      </c>
      <c r="C14" s="230" t="s">
        <v>248</v>
      </c>
      <c r="D14" s="231" t="s">
        <v>586</v>
      </c>
      <c r="E14" s="215" t="s">
        <v>394</v>
      </c>
      <c r="F14" s="231" t="s">
        <v>167</v>
      </c>
      <c r="G14" s="232" t="s">
        <v>163</v>
      </c>
      <c r="H14" s="215" t="s">
        <v>164</v>
      </c>
      <c r="I14" s="215" t="s">
        <v>165</v>
      </c>
      <c r="J14" s="233" t="s">
        <v>190</v>
      </c>
      <c r="K14" s="215"/>
      <c r="L14" s="234"/>
      <c r="M14" s="234">
        <v>75000</v>
      </c>
      <c r="N14" s="234"/>
      <c r="O14" s="218"/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8</v>
      </c>
      <c r="AQ14" s="653"/>
      <c r="AR14" s="653">
        <f>SUM(AR10:AS13)</f>
        <v>2480000</v>
      </c>
      <c r="AS14" s="653"/>
      <c r="AT14" s="653">
        <f t="shared" ref="AT14" si="1">SUM(AT10:AU11)</f>
        <v>29</v>
      </c>
      <c r="AU14" s="653"/>
      <c r="AV14" s="653">
        <f>SUM(AV10:AW13)</f>
        <v>1450313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37</v>
      </c>
      <c r="BC14" s="655"/>
      <c r="BD14" s="782">
        <f>SUM(BD10:BE13)</f>
        <v>3930313</v>
      </c>
      <c r="BE14" s="783"/>
    </row>
    <row r="15" spans="1:58" ht="64.5" customHeight="1" thickBot="1" x14ac:dyDescent="0.35">
      <c r="A15" s="228">
        <v>8</v>
      </c>
      <c r="B15" s="464">
        <v>409</v>
      </c>
      <c r="C15" s="230" t="s">
        <v>248</v>
      </c>
      <c r="D15" s="231" t="s">
        <v>587</v>
      </c>
      <c r="E15" s="215" t="s">
        <v>394</v>
      </c>
      <c r="F15" s="231" t="s">
        <v>167</v>
      </c>
      <c r="G15" s="232" t="s">
        <v>163</v>
      </c>
      <c r="H15" s="215" t="s">
        <v>164</v>
      </c>
      <c r="I15" s="215" t="s">
        <v>165</v>
      </c>
      <c r="J15" s="233" t="s">
        <v>190</v>
      </c>
      <c r="K15" s="215"/>
      <c r="L15" s="234"/>
      <c r="M15" s="234">
        <v>75000</v>
      </c>
      <c r="N15" s="234"/>
      <c r="O15" s="218"/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1</v>
      </c>
      <c r="AM15" s="881"/>
      <c r="AN15" s="632">
        <f>AN24</f>
        <v>2000</v>
      </c>
      <c r="AO15" s="633"/>
      <c r="AP15" s="632">
        <f>AP24</f>
        <v>2</v>
      </c>
      <c r="AQ15" s="633"/>
      <c r="AR15" s="632">
        <f>AR24</f>
        <v>4000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3</v>
      </c>
      <c r="BC15" s="633"/>
      <c r="BD15" s="776">
        <f>SUM(AN15+AR15+AV15+AZ15)</f>
        <v>6000</v>
      </c>
      <c r="BE15" s="777"/>
    </row>
    <row r="16" spans="1:58" ht="64.5" customHeight="1" thickBot="1" x14ac:dyDescent="0.35">
      <c r="A16" s="228">
        <v>9</v>
      </c>
      <c r="B16" s="464">
        <v>401</v>
      </c>
      <c r="C16" s="230" t="s">
        <v>248</v>
      </c>
      <c r="D16" s="231" t="s">
        <v>588</v>
      </c>
      <c r="E16" s="215" t="s">
        <v>394</v>
      </c>
      <c r="F16" s="231" t="s">
        <v>161</v>
      </c>
      <c r="G16" s="232" t="s">
        <v>163</v>
      </c>
      <c r="H16" s="215" t="s">
        <v>164</v>
      </c>
      <c r="I16" s="215" t="s">
        <v>165</v>
      </c>
      <c r="J16" s="233" t="s">
        <v>190</v>
      </c>
      <c r="K16" s="215"/>
      <c r="L16" s="234"/>
      <c r="M16" s="234">
        <v>75000</v>
      </c>
      <c r="N16" s="234"/>
      <c r="O16" s="218"/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3936313</v>
      </c>
      <c r="BE16" s="652"/>
      <c r="BF16" s="10"/>
    </row>
    <row r="17" spans="1:62" ht="64.5" customHeight="1" thickBot="1" x14ac:dyDescent="0.35">
      <c r="A17" s="228">
        <v>10</v>
      </c>
      <c r="B17" s="464">
        <v>906</v>
      </c>
      <c r="C17" s="230" t="s">
        <v>74</v>
      </c>
      <c r="D17" s="231" t="s">
        <v>792</v>
      </c>
      <c r="E17" s="215" t="s">
        <v>477</v>
      </c>
      <c r="F17" s="231" t="s">
        <v>168</v>
      </c>
      <c r="G17" s="331" t="s">
        <v>173</v>
      </c>
      <c r="H17" s="215" t="s">
        <v>164</v>
      </c>
      <c r="I17" s="215" t="s">
        <v>165</v>
      </c>
      <c r="J17" s="368" t="s">
        <v>247</v>
      </c>
      <c r="K17" s="215"/>
      <c r="L17" s="234"/>
      <c r="M17" s="234"/>
      <c r="N17" s="234"/>
      <c r="O17" s="218">
        <v>290000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493">
        <v>305</v>
      </c>
      <c r="C18" s="230" t="s">
        <v>248</v>
      </c>
      <c r="D18" s="231" t="s">
        <v>1094</v>
      </c>
      <c r="E18" s="215" t="s">
        <v>890</v>
      </c>
      <c r="F18" s="231" t="s">
        <v>55</v>
      </c>
      <c r="G18" s="232" t="s">
        <v>163</v>
      </c>
      <c r="H18" s="215" t="s">
        <v>164</v>
      </c>
      <c r="I18" s="215" t="s">
        <v>165</v>
      </c>
      <c r="J18" s="215" t="s">
        <v>190</v>
      </c>
      <c r="K18" s="215"/>
      <c r="L18" s="254"/>
      <c r="M18" s="254">
        <v>65000</v>
      </c>
      <c r="N18" s="234"/>
      <c r="O18" s="218"/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464">
        <v>1210</v>
      </c>
      <c r="C19" s="230" t="s">
        <v>1043</v>
      </c>
      <c r="D19" s="231" t="s">
        <v>1104</v>
      </c>
      <c r="E19" s="231" t="s">
        <v>1092</v>
      </c>
      <c r="F19" s="231" t="s">
        <v>1089</v>
      </c>
      <c r="G19" s="232" t="s">
        <v>1046</v>
      </c>
      <c r="H19" s="215" t="s">
        <v>164</v>
      </c>
      <c r="I19" s="215" t="s">
        <v>165</v>
      </c>
      <c r="J19" s="237" t="s">
        <v>1087</v>
      </c>
      <c r="K19" s="238"/>
      <c r="L19" s="234"/>
      <c r="M19" s="234"/>
      <c r="N19" s="234"/>
      <c r="O19" s="218">
        <v>75000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464">
        <v>1004</v>
      </c>
      <c r="C20" s="230" t="s">
        <v>1062</v>
      </c>
      <c r="D20" s="231" t="s">
        <v>1119</v>
      </c>
      <c r="E20" s="215"/>
      <c r="F20" s="231" t="s">
        <v>1057</v>
      </c>
      <c r="G20" s="232" t="s">
        <v>1095</v>
      </c>
      <c r="H20" s="215" t="s">
        <v>164</v>
      </c>
      <c r="I20" s="215" t="s">
        <v>165</v>
      </c>
      <c r="J20" s="237" t="s">
        <v>1087</v>
      </c>
      <c r="K20" s="238"/>
      <c r="L20" s="234"/>
      <c r="M20" s="234"/>
      <c r="N20" s="234"/>
      <c r="O20" s="218">
        <v>210000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1</v>
      </c>
      <c r="AM20" s="653"/>
      <c r="AN20" s="654">
        <f>AL20*2000</f>
        <v>2000</v>
      </c>
      <c r="AO20" s="655"/>
      <c r="AP20" s="656">
        <f>COUNTIF(K7:K67,2)</f>
        <v>2</v>
      </c>
      <c r="AQ20" s="655"/>
      <c r="AR20" s="654">
        <f>AP20*2000</f>
        <v>4000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3</v>
      </c>
      <c r="AY20" s="647"/>
      <c r="AZ20" s="648">
        <f>SUM(AJ20+AN20+AR20+AV20)</f>
        <v>6000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464">
        <v>1111</v>
      </c>
      <c r="C21" s="230" t="s">
        <v>1101</v>
      </c>
      <c r="D21" s="231" t="s">
        <v>1133</v>
      </c>
      <c r="E21" s="215"/>
      <c r="F21" s="231" t="s">
        <v>1067</v>
      </c>
      <c r="G21" s="232" t="s">
        <v>1046</v>
      </c>
      <c r="H21" s="215" t="s">
        <v>1134</v>
      </c>
      <c r="I21" s="215" t="s">
        <v>1135</v>
      </c>
      <c r="J21" s="237" t="s">
        <v>1087</v>
      </c>
      <c r="K21" s="238">
        <v>1</v>
      </c>
      <c r="L21" s="234"/>
      <c r="M21" s="234"/>
      <c r="N21" s="234"/>
      <c r="O21" s="218">
        <v>93500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464">
        <v>811</v>
      </c>
      <c r="C22" s="230" t="s">
        <v>1062</v>
      </c>
      <c r="D22" s="231" t="s">
        <v>1136</v>
      </c>
      <c r="E22" s="215"/>
      <c r="F22" s="231" t="s">
        <v>1067</v>
      </c>
      <c r="G22" s="232" t="s">
        <v>1046</v>
      </c>
      <c r="H22" s="215" t="s">
        <v>1134</v>
      </c>
      <c r="I22" s="215" t="s">
        <v>1135</v>
      </c>
      <c r="J22" s="237" t="s">
        <v>1087</v>
      </c>
      <c r="K22" s="238"/>
      <c r="L22" s="234"/>
      <c r="M22" s="234"/>
      <c r="N22" s="234"/>
      <c r="O22" s="218">
        <v>85000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464">
        <v>911</v>
      </c>
      <c r="C23" s="230" t="s">
        <v>1043</v>
      </c>
      <c r="D23" s="231" t="s">
        <v>1149</v>
      </c>
      <c r="E23" s="215"/>
      <c r="F23" s="231" t="s">
        <v>1067</v>
      </c>
      <c r="G23" s="232" t="s">
        <v>1046</v>
      </c>
      <c r="H23" s="215" t="s">
        <v>1134</v>
      </c>
      <c r="I23" s="215" t="s">
        <v>1135</v>
      </c>
      <c r="J23" s="237" t="s">
        <v>1151</v>
      </c>
      <c r="K23" s="238"/>
      <c r="L23" s="234"/>
      <c r="M23" s="234"/>
      <c r="N23" s="234"/>
      <c r="O23" s="218">
        <v>85000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464">
        <v>404</v>
      </c>
      <c r="C24" s="230" t="s">
        <v>73</v>
      </c>
      <c r="D24" s="231" t="s">
        <v>1162</v>
      </c>
      <c r="E24" s="215"/>
      <c r="F24" s="231" t="s">
        <v>1156</v>
      </c>
      <c r="G24" s="232" t="s">
        <v>163</v>
      </c>
      <c r="H24" s="215" t="s">
        <v>164</v>
      </c>
      <c r="I24" s="215" t="s">
        <v>165</v>
      </c>
      <c r="J24" s="215" t="s">
        <v>1161</v>
      </c>
      <c r="K24" s="215" t="s">
        <v>1164</v>
      </c>
      <c r="L24" s="234"/>
      <c r="M24" s="234"/>
      <c r="N24" s="234"/>
      <c r="O24" s="218">
        <v>95000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1</v>
      </c>
      <c r="AM24" s="653"/>
      <c r="AN24" s="654">
        <f>SUM(AN20:AO23)</f>
        <v>2000</v>
      </c>
      <c r="AO24" s="655"/>
      <c r="AP24" s="656">
        <f>SUM(AP20:AQ23)</f>
        <v>2</v>
      </c>
      <c r="AQ24" s="655"/>
      <c r="AR24" s="654">
        <f>SUM(AR20:AS23)</f>
        <v>4000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3</v>
      </c>
      <c r="AY24" s="647"/>
      <c r="AZ24" s="648">
        <f>SUM(AZ20:BA23)</f>
        <v>6000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31"/>
      <c r="E25" s="215"/>
      <c r="F25" s="231"/>
      <c r="G25" s="232"/>
      <c r="H25" s="215"/>
      <c r="I25" s="215"/>
      <c r="J25" s="215"/>
      <c r="K25" s="215"/>
      <c r="L25" s="234"/>
      <c r="M25" s="234"/>
      <c r="N25" s="234"/>
      <c r="O25" s="218"/>
      <c r="P25" s="228">
        <v>18</v>
      </c>
      <c r="Q25" s="229"/>
      <c r="R25" s="230"/>
      <c r="S25" s="231"/>
      <c r="T25" s="215"/>
      <c r="U25" s="231"/>
      <c r="V25" s="232"/>
      <c r="W25" s="215"/>
      <c r="X25" s="215"/>
      <c r="Y25" s="215"/>
      <c r="Z25" s="215"/>
      <c r="AA25" s="234"/>
      <c r="AB25" s="234"/>
      <c r="AC25" s="234"/>
      <c r="AD25" s="234"/>
      <c r="AE25" s="521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533"/>
      <c r="C26" s="534"/>
      <c r="D26" s="535"/>
      <c r="E26" s="536"/>
      <c r="F26" s="535"/>
      <c r="G26" s="556"/>
      <c r="H26" s="557"/>
      <c r="I26" s="557"/>
      <c r="J26" s="557"/>
      <c r="K26" s="536"/>
      <c r="L26" s="537"/>
      <c r="M26" s="537"/>
      <c r="N26" s="537"/>
      <c r="O26" s="53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Top="1" thickBot="1" x14ac:dyDescent="0.35">
      <c r="A27" s="228">
        <v>20</v>
      </c>
      <c r="B27" s="512">
        <v>1216</v>
      </c>
      <c r="C27" s="255" t="s">
        <v>248</v>
      </c>
      <c r="D27" s="265" t="s">
        <v>934</v>
      </c>
      <c r="E27" s="266" t="s">
        <v>936</v>
      </c>
      <c r="F27" s="265" t="s">
        <v>159</v>
      </c>
      <c r="G27" s="267" t="s">
        <v>163</v>
      </c>
      <c r="H27" s="266" t="s">
        <v>164</v>
      </c>
      <c r="I27" s="266" t="s">
        <v>165</v>
      </c>
      <c r="J27" s="266" t="s">
        <v>190</v>
      </c>
      <c r="K27" s="266"/>
      <c r="L27" s="257"/>
      <c r="M27" s="257"/>
      <c r="N27" s="257"/>
      <c r="O27" s="223">
        <v>0</v>
      </c>
      <c r="P27" s="228">
        <v>20</v>
      </c>
      <c r="Q27" s="229"/>
      <c r="R27" s="230"/>
      <c r="S27" s="230"/>
      <c r="T27" s="231"/>
      <c r="U27" s="231"/>
      <c r="V27" s="231"/>
      <c r="W27" s="232"/>
      <c r="X27" s="215"/>
      <c r="Y27" s="215"/>
      <c r="Z27" s="237"/>
      <c r="AA27" s="238"/>
      <c r="AB27" s="234"/>
      <c r="AC27" s="234"/>
      <c r="AD27" s="234"/>
      <c r="AE27" s="234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440">
        <v>1215</v>
      </c>
      <c r="C28" s="230" t="s">
        <v>248</v>
      </c>
      <c r="D28" s="231" t="s">
        <v>934</v>
      </c>
      <c r="E28" s="215" t="s">
        <v>936</v>
      </c>
      <c r="F28" s="231" t="s">
        <v>159</v>
      </c>
      <c r="G28" s="232" t="s">
        <v>163</v>
      </c>
      <c r="H28" s="215" t="s">
        <v>164</v>
      </c>
      <c r="I28" s="215" t="s">
        <v>165</v>
      </c>
      <c r="J28" s="215" t="s">
        <v>190</v>
      </c>
      <c r="K28" s="215"/>
      <c r="L28" s="234"/>
      <c r="M28" s="234"/>
      <c r="N28" s="234"/>
      <c r="O28" s="218">
        <v>0</v>
      </c>
      <c r="P28" s="228">
        <v>21</v>
      </c>
      <c r="Q28" s="229"/>
      <c r="R28" s="230"/>
      <c r="S28" s="230"/>
      <c r="T28" s="231"/>
      <c r="U28" s="215"/>
      <c r="V28" s="231"/>
      <c r="W28" s="232"/>
      <c r="X28" s="215"/>
      <c r="Y28" s="215"/>
      <c r="Z28" s="237"/>
      <c r="AA28" s="238"/>
      <c r="AB28" s="234"/>
      <c r="AC28" s="234"/>
      <c r="AD28" s="234"/>
      <c r="AE28" s="234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440">
        <v>1214</v>
      </c>
      <c r="C29" s="230" t="s">
        <v>248</v>
      </c>
      <c r="D29" s="231" t="s">
        <v>934</v>
      </c>
      <c r="E29" s="215" t="s">
        <v>936</v>
      </c>
      <c r="F29" s="231" t="s">
        <v>159</v>
      </c>
      <c r="G29" s="232" t="s">
        <v>163</v>
      </c>
      <c r="H29" s="215" t="s">
        <v>164</v>
      </c>
      <c r="I29" s="215" t="s">
        <v>165</v>
      </c>
      <c r="J29" s="215" t="s">
        <v>190</v>
      </c>
      <c r="K29" s="215"/>
      <c r="L29" s="234"/>
      <c r="M29" s="234"/>
      <c r="N29" s="234"/>
      <c r="O29" s="218">
        <v>0</v>
      </c>
      <c r="P29" s="228">
        <v>22</v>
      </c>
      <c r="Q29" s="229"/>
      <c r="R29" s="230"/>
      <c r="S29" s="230"/>
      <c r="T29" s="231"/>
      <c r="U29" s="215"/>
      <c r="V29" s="231"/>
      <c r="W29" s="232"/>
      <c r="X29" s="215"/>
      <c r="Y29" s="215"/>
      <c r="Z29" s="237"/>
      <c r="AA29" s="238"/>
      <c r="AB29" s="234"/>
      <c r="AC29" s="234"/>
      <c r="AD29" s="234"/>
      <c r="AE29" s="234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440">
        <v>1116</v>
      </c>
      <c r="C30" s="230" t="s">
        <v>248</v>
      </c>
      <c r="D30" s="231" t="s">
        <v>934</v>
      </c>
      <c r="E30" s="215" t="s">
        <v>936</v>
      </c>
      <c r="F30" s="231" t="s">
        <v>159</v>
      </c>
      <c r="G30" s="232" t="s">
        <v>163</v>
      </c>
      <c r="H30" s="215" t="s">
        <v>164</v>
      </c>
      <c r="I30" s="215" t="s">
        <v>165</v>
      </c>
      <c r="J30" s="215" t="s">
        <v>190</v>
      </c>
      <c r="K30" s="215"/>
      <c r="L30" s="234"/>
      <c r="M30" s="234"/>
      <c r="N30" s="234"/>
      <c r="O30" s="218">
        <v>0</v>
      </c>
      <c r="P30" s="228">
        <v>23</v>
      </c>
      <c r="Q30" s="229"/>
      <c r="R30" s="230"/>
      <c r="S30" s="230"/>
      <c r="T30" s="231"/>
      <c r="U30" s="215"/>
      <c r="V30" s="231"/>
      <c r="W30" s="232"/>
      <c r="X30" s="215"/>
      <c r="Y30" s="215"/>
      <c r="Z30" s="237"/>
      <c r="AA30" s="238"/>
      <c r="AB30" s="234"/>
      <c r="AC30" s="234"/>
      <c r="AD30" s="234"/>
      <c r="AE30" s="234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11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5</v>
      </c>
      <c r="AV30" s="830"/>
      <c r="AW30" s="324">
        <f>COUNTIF(F8:F67,"v")</f>
        <v>3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440">
        <v>1115</v>
      </c>
      <c r="C31" s="230" t="s">
        <v>248</v>
      </c>
      <c r="D31" s="231" t="s">
        <v>934</v>
      </c>
      <c r="E31" s="215" t="s">
        <v>936</v>
      </c>
      <c r="F31" s="231" t="s">
        <v>159</v>
      </c>
      <c r="G31" s="232" t="s">
        <v>163</v>
      </c>
      <c r="H31" s="215" t="s">
        <v>164</v>
      </c>
      <c r="I31" s="215" t="s">
        <v>165</v>
      </c>
      <c r="J31" s="215" t="s">
        <v>190</v>
      </c>
      <c r="K31" s="238"/>
      <c r="L31" s="234"/>
      <c r="M31" s="234"/>
      <c r="N31" s="234"/>
      <c r="O31" s="218">
        <v>0</v>
      </c>
      <c r="P31" s="228">
        <v>24</v>
      </c>
      <c r="Q31" s="229"/>
      <c r="R31" s="230"/>
      <c r="S31" s="230"/>
      <c r="T31" s="231"/>
      <c r="U31" s="215"/>
      <c r="V31" s="231"/>
      <c r="W31" s="232"/>
      <c r="X31" s="215"/>
      <c r="Y31" s="215"/>
      <c r="Z31" s="237"/>
      <c r="AA31" s="238"/>
      <c r="AB31" s="234"/>
      <c r="AC31" s="234"/>
      <c r="AD31" s="234"/>
      <c r="AE31" s="234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-1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0</v>
      </c>
      <c r="AV31" s="817"/>
      <c r="AW31" s="322">
        <f>AW29-AW30</f>
        <v>2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440">
        <v>1114</v>
      </c>
      <c r="C32" s="230" t="s">
        <v>248</v>
      </c>
      <c r="D32" s="231" t="s">
        <v>934</v>
      </c>
      <c r="E32" s="215" t="s">
        <v>936</v>
      </c>
      <c r="F32" s="231" t="s">
        <v>159</v>
      </c>
      <c r="G32" s="232" t="s">
        <v>163</v>
      </c>
      <c r="H32" s="215" t="s">
        <v>164</v>
      </c>
      <c r="I32" s="215" t="s">
        <v>165</v>
      </c>
      <c r="J32" s="215" t="s">
        <v>190</v>
      </c>
      <c r="K32" s="215"/>
      <c r="L32" s="234"/>
      <c r="M32" s="234"/>
      <c r="N32" s="234"/>
      <c r="O32" s="218">
        <v>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440">
        <v>1112</v>
      </c>
      <c r="C33" s="230" t="s">
        <v>248</v>
      </c>
      <c r="D33" s="231" t="s">
        <v>934</v>
      </c>
      <c r="E33" s="215" t="s">
        <v>936</v>
      </c>
      <c r="F33" s="231" t="s">
        <v>159</v>
      </c>
      <c r="G33" s="232" t="s">
        <v>163</v>
      </c>
      <c r="H33" s="215" t="s">
        <v>164</v>
      </c>
      <c r="I33" s="215" t="s">
        <v>165</v>
      </c>
      <c r="J33" s="215" t="s">
        <v>190</v>
      </c>
      <c r="K33" s="215"/>
      <c r="L33" s="234"/>
      <c r="M33" s="234"/>
      <c r="N33" s="234"/>
      <c r="O33" s="218">
        <v>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440">
        <v>715</v>
      </c>
      <c r="C34" s="230" t="s">
        <v>248</v>
      </c>
      <c r="D34" s="231" t="s">
        <v>934</v>
      </c>
      <c r="E34" s="215" t="s">
        <v>936</v>
      </c>
      <c r="F34" s="231" t="s">
        <v>159</v>
      </c>
      <c r="G34" s="232" t="s">
        <v>163</v>
      </c>
      <c r="H34" s="215" t="s">
        <v>164</v>
      </c>
      <c r="I34" s="215" t="s">
        <v>165</v>
      </c>
      <c r="J34" s="215" t="s">
        <v>190</v>
      </c>
      <c r="K34" s="215"/>
      <c r="L34" s="234"/>
      <c r="M34" s="234"/>
      <c r="N34" s="234"/>
      <c r="O34" s="218">
        <v>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440">
        <v>713</v>
      </c>
      <c r="C35" s="230" t="s">
        <v>248</v>
      </c>
      <c r="D35" s="231" t="s">
        <v>934</v>
      </c>
      <c r="E35" s="215" t="s">
        <v>936</v>
      </c>
      <c r="F35" s="231" t="s">
        <v>159</v>
      </c>
      <c r="G35" s="232" t="s">
        <v>163</v>
      </c>
      <c r="H35" s="215" t="s">
        <v>164</v>
      </c>
      <c r="I35" s="215" t="s">
        <v>165</v>
      </c>
      <c r="J35" s="215" t="s">
        <v>190</v>
      </c>
      <c r="K35" s="367"/>
      <c r="L35" s="254"/>
      <c r="M35" s="254"/>
      <c r="N35" s="254"/>
      <c r="O35" s="224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440">
        <v>615</v>
      </c>
      <c r="C36" s="230" t="s">
        <v>248</v>
      </c>
      <c r="D36" s="231" t="s">
        <v>934</v>
      </c>
      <c r="E36" s="215" t="s">
        <v>936</v>
      </c>
      <c r="F36" s="231" t="s">
        <v>159</v>
      </c>
      <c r="G36" s="232" t="s">
        <v>163</v>
      </c>
      <c r="H36" s="215" t="s">
        <v>164</v>
      </c>
      <c r="I36" s="215" t="s">
        <v>165</v>
      </c>
      <c r="J36" s="215" t="s">
        <v>190</v>
      </c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440">
        <v>702</v>
      </c>
      <c r="C37" s="230" t="s">
        <v>248</v>
      </c>
      <c r="D37" s="231" t="s">
        <v>934</v>
      </c>
      <c r="E37" s="215" t="s">
        <v>936</v>
      </c>
      <c r="F37" s="231" t="s">
        <v>168</v>
      </c>
      <c r="G37" s="232" t="s">
        <v>163</v>
      </c>
      <c r="H37" s="215" t="s">
        <v>164</v>
      </c>
      <c r="I37" s="215" t="s">
        <v>165</v>
      </c>
      <c r="J37" s="215" t="s">
        <v>190</v>
      </c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440">
        <v>709</v>
      </c>
      <c r="C38" s="318" t="s">
        <v>1121</v>
      </c>
      <c r="D38" s="251" t="s">
        <v>1122</v>
      </c>
      <c r="E38" s="217" t="s">
        <v>1123</v>
      </c>
      <c r="F38" s="251" t="s">
        <v>1074</v>
      </c>
      <c r="G38" s="331" t="s">
        <v>1096</v>
      </c>
      <c r="H38" s="215" t="s">
        <v>164</v>
      </c>
      <c r="I38" s="215" t="s">
        <v>165</v>
      </c>
      <c r="J38" s="217" t="s">
        <v>1087</v>
      </c>
      <c r="K38" s="215"/>
      <c r="L38" s="234"/>
      <c r="M38" s="234"/>
      <c r="N38" s="234"/>
      <c r="O38" s="218">
        <v>0</v>
      </c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440">
        <v>501</v>
      </c>
      <c r="C39" s="230" t="s">
        <v>971</v>
      </c>
      <c r="D39" s="231" t="s">
        <v>1023</v>
      </c>
      <c r="E39" s="215"/>
      <c r="F39" s="231" t="s">
        <v>991</v>
      </c>
      <c r="G39" s="232" t="s">
        <v>987</v>
      </c>
      <c r="H39" s="215" t="s">
        <v>164</v>
      </c>
      <c r="I39" s="215" t="s">
        <v>165</v>
      </c>
      <c r="J39" s="368" t="s">
        <v>1015</v>
      </c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440">
        <v>705</v>
      </c>
      <c r="C40" s="230" t="s">
        <v>176</v>
      </c>
      <c r="D40" s="231" t="s">
        <v>993</v>
      </c>
      <c r="E40" s="215"/>
      <c r="F40" s="231" t="s">
        <v>168</v>
      </c>
      <c r="G40" s="232" t="s">
        <v>200</v>
      </c>
      <c r="H40" s="215" t="s">
        <v>164</v>
      </c>
      <c r="I40" s="215" t="s">
        <v>165</v>
      </c>
      <c r="J40" s="233" t="s">
        <v>193</v>
      </c>
      <c r="K40" s="215"/>
      <c r="L40" s="234"/>
      <c r="M40" s="234"/>
      <c r="N40" s="234"/>
      <c r="O40" s="218">
        <v>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440">
        <v>902</v>
      </c>
      <c r="C41" s="230" t="s">
        <v>176</v>
      </c>
      <c r="D41" s="231" t="s">
        <v>994</v>
      </c>
      <c r="E41" s="215"/>
      <c r="F41" s="231" t="s">
        <v>167</v>
      </c>
      <c r="G41" s="232" t="s">
        <v>200</v>
      </c>
      <c r="H41" s="215" t="s">
        <v>164</v>
      </c>
      <c r="I41" s="215" t="s">
        <v>165</v>
      </c>
      <c r="J41" s="233" t="s">
        <v>193</v>
      </c>
      <c r="K41" s="215"/>
      <c r="L41" s="234"/>
      <c r="M41" s="234"/>
      <c r="N41" s="234"/>
      <c r="O41" s="220">
        <v>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440">
        <v>907</v>
      </c>
      <c r="C42" s="230" t="s">
        <v>176</v>
      </c>
      <c r="D42" s="231" t="s">
        <v>995</v>
      </c>
      <c r="E42" s="215"/>
      <c r="F42" s="231" t="s">
        <v>167</v>
      </c>
      <c r="G42" s="232" t="s">
        <v>200</v>
      </c>
      <c r="H42" s="215" t="s">
        <v>164</v>
      </c>
      <c r="I42" s="215" t="s">
        <v>165</v>
      </c>
      <c r="J42" s="233" t="s">
        <v>193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440">
        <v>1105</v>
      </c>
      <c r="C43" s="230" t="s">
        <v>176</v>
      </c>
      <c r="D43" s="231" t="s">
        <v>996</v>
      </c>
      <c r="E43" s="215"/>
      <c r="F43" s="231" t="s">
        <v>160</v>
      </c>
      <c r="G43" s="232" t="s">
        <v>200</v>
      </c>
      <c r="H43" s="215" t="s">
        <v>164</v>
      </c>
      <c r="I43" s="215" t="s">
        <v>165</v>
      </c>
      <c r="J43" s="233" t="s">
        <v>193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440">
        <v>1011</v>
      </c>
      <c r="C44" s="318" t="s">
        <v>70</v>
      </c>
      <c r="D44" s="251" t="s">
        <v>943</v>
      </c>
      <c r="E44" s="217"/>
      <c r="F44" s="251" t="s">
        <v>158</v>
      </c>
      <c r="G44" s="331" t="s">
        <v>172</v>
      </c>
      <c r="H44" s="215" t="s">
        <v>164</v>
      </c>
      <c r="I44" s="215" t="s">
        <v>165</v>
      </c>
      <c r="J44" s="233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31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440">
        <v>805</v>
      </c>
      <c r="C45" s="230" t="s">
        <v>135</v>
      </c>
      <c r="D45" s="231" t="s">
        <v>926</v>
      </c>
      <c r="E45" s="215" t="s">
        <v>1106</v>
      </c>
      <c r="F45" s="231" t="s">
        <v>167</v>
      </c>
      <c r="G45" s="232" t="s">
        <v>197</v>
      </c>
      <c r="H45" s="215" t="s">
        <v>164</v>
      </c>
      <c r="I45" s="215" t="s">
        <v>165</v>
      </c>
      <c r="J45" s="233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440">
        <v>1208</v>
      </c>
      <c r="C46" s="230" t="s">
        <v>70</v>
      </c>
      <c r="D46" s="231" t="s">
        <v>902</v>
      </c>
      <c r="E46" s="215"/>
      <c r="F46" s="231" t="s">
        <v>55</v>
      </c>
      <c r="G46" s="232" t="s">
        <v>905</v>
      </c>
      <c r="H46" s="215" t="s">
        <v>164</v>
      </c>
      <c r="I46" s="215" t="s">
        <v>165</v>
      </c>
      <c r="J46" s="233" t="s">
        <v>247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440">
        <v>308</v>
      </c>
      <c r="C47" s="230" t="s">
        <v>74</v>
      </c>
      <c r="D47" s="231" t="s">
        <v>839</v>
      </c>
      <c r="E47" s="215"/>
      <c r="F47" s="231" t="s">
        <v>55</v>
      </c>
      <c r="G47" s="232" t="s">
        <v>172</v>
      </c>
      <c r="H47" s="215" t="s">
        <v>164</v>
      </c>
      <c r="I47" s="215" t="s">
        <v>165</v>
      </c>
      <c r="J47" s="215" t="s">
        <v>713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440">
        <v>406</v>
      </c>
      <c r="C48" s="230" t="s">
        <v>686</v>
      </c>
      <c r="D48" s="231" t="s">
        <v>797</v>
      </c>
      <c r="E48" s="215"/>
      <c r="F48" s="231" t="s">
        <v>751</v>
      </c>
      <c r="G48" s="232" t="s">
        <v>742</v>
      </c>
      <c r="H48" s="215" t="s">
        <v>164</v>
      </c>
      <c r="I48" s="215" t="s">
        <v>165</v>
      </c>
      <c r="J48" s="233" t="s">
        <v>733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84">
        <v>309</v>
      </c>
      <c r="C49" s="285" t="s">
        <v>52</v>
      </c>
      <c r="D49" s="275" t="s">
        <v>656</v>
      </c>
      <c r="E49" s="276"/>
      <c r="F49" s="275" t="s">
        <v>55</v>
      </c>
      <c r="G49" s="277" t="s">
        <v>562</v>
      </c>
      <c r="H49" s="276" t="s">
        <v>164</v>
      </c>
      <c r="I49" s="276" t="s">
        <v>165</v>
      </c>
      <c r="J49" s="278" t="s">
        <v>189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85"/>
      <c r="S49" s="275"/>
      <c r="T49" s="276"/>
      <c r="U49" s="275"/>
      <c r="V49" s="277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558">
        <v>1215</v>
      </c>
      <c r="C50" s="334" t="s">
        <v>74</v>
      </c>
      <c r="D50" s="335" t="s">
        <v>1166</v>
      </c>
      <c r="E50" s="336"/>
      <c r="F50" s="335" t="s">
        <v>1154</v>
      </c>
      <c r="G50" s="337" t="s">
        <v>163</v>
      </c>
      <c r="H50" s="336" t="s">
        <v>164</v>
      </c>
      <c r="I50" s="336" t="s">
        <v>165</v>
      </c>
      <c r="J50" s="336" t="s">
        <v>1161</v>
      </c>
      <c r="K50" s="336" t="s">
        <v>1164</v>
      </c>
      <c r="L50" s="554"/>
      <c r="M50" s="554"/>
      <c r="N50" s="554"/>
      <c r="O50" s="555">
        <v>100000</v>
      </c>
      <c r="P50" s="268">
        <v>43</v>
      </c>
      <c r="Q50" s="264"/>
      <c r="R50" s="255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64"/>
      <c r="C51" s="255"/>
      <c r="D51" s="265"/>
      <c r="E51" s="266"/>
      <c r="F51" s="265"/>
      <c r="G51" s="265"/>
      <c r="H51" s="266"/>
      <c r="I51" s="266"/>
      <c r="J51" s="266"/>
      <c r="K51" s="266"/>
      <c r="L51" s="257"/>
      <c r="M51" s="257"/>
      <c r="N51" s="257"/>
      <c r="O51" s="223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43"/>
      <c r="D52" s="231"/>
      <c r="E52" s="215"/>
      <c r="F52" s="231"/>
      <c r="G52" s="233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3</v>
      </c>
      <c r="BB54" s="681"/>
      <c r="BC54" s="679">
        <f>AZ24</f>
        <v>6000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3</v>
      </c>
      <c r="BB55" s="681"/>
      <c r="BC55" s="679">
        <f>SUM(BC53:BE54)</f>
        <v>6000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7</v>
      </c>
      <c r="AQ60" s="56">
        <f>SUMIF($C$8:$C$72, $AK60, $L$8:$L$72)+SUMIF($C$8:$C$72, $AK60, $M$8:$M$72)+SUMIF($C$8:$C$72, $AK60, $N$8:$N$72)+SUMIF($C$8:$C$72, $AK60, $O$8:$O$72)</f>
        <v>685000</v>
      </c>
      <c r="AR60" s="57">
        <f>AQ60*0.9</f>
        <v>616500</v>
      </c>
      <c r="AS60" s="58">
        <f t="shared" ref="AS60:AS70" si="4">SUM(AN60+AQ60)</f>
        <v>685000</v>
      </c>
      <c r="AT60" s="59">
        <f t="shared" ref="AT60:AT70" si="5">AO60+AR60</f>
        <v>616500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3</v>
      </c>
      <c r="AQ61" s="56">
        <f t="shared" ref="AQ61:AQ70" si="8">SUMIF($C$8:$C$72, $AK61, $L$8:$L$72)+SUMIF($C$8:$C$72, $AK61, $M$8:$M$72)+SUMIF($C$8:$C$72, $AK61, $N$8:$N$72)+SUMIF($C$8:$C$72, $AK61, $O$8:$O$72)</f>
        <v>255000</v>
      </c>
      <c r="AR61" s="57">
        <f t="shared" ref="AR61:AR70" si="9">AQ61*0.9</f>
        <v>229500</v>
      </c>
      <c r="AS61" s="58">
        <f t="shared" si="4"/>
        <v>255000</v>
      </c>
      <c r="AT61" s="59">
        <f t="shared" si="5"/>
        <v>229500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1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153000</v>
      </c>
      <c r="AR66" s="57">
        <f t="shared" si="9"/>
        <v>137700</v>
      </c>
      <c r="AS66" s="58">
        <f t="shared" si="4"/>
        <v>153000</v>
      </c>
      <c r="AT66" s="59">
        <f t="shared" si="5"/>
        <v>137700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1</v>
      </c>
      <c r="AQ67" s="56">
        <f t="shared" si="8"/>
        <v>263813</v>
      </c>
      <c r="AR67" s="57">
        <f t="shared" si="9"/>
        <v>237431.7</v>
      </c>
      <c r="AS67" s="58">
        <f t="shared" si="4"/>
        <v>263813</v>
      </c>
      <c r="AT67" s="59">
        <f t="shared" si="5"/>
        <v>237431.7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55" t="s">
        <v>1159</v>
      </c>
      <c r="D68" s="265" t="s">
        <v>1160</v>
      </c>
      <c r="E68" s="266"/>
      <c r="F68" s="265"/>
      <c r="G68" s="267"/>
      <c r="H68" s="266"/>
      <c r="I68" s="266"/>
      <c r="J68" s="266"/>
      <c r="K68" s="266"/>
      <c r="L68" s="257"/>
      <c r="M68" s="257">
        <v>1890000</v>
      </c>
      <c r="N68" s="257"/>
      <c r="O68" s="223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1450313</v>
      </c>
      <c r="BD68" s="656"/>
      <c r="BE68" s="655"/>
    </row>
    <row r="69" spans="1:57" ht="64.5" customHeight="1" x14ac:dyDescent="0.3">
      <c r="A69" s="659"/>
      <c r="B69" s="660"/>
      <c r="C69" s="230"/>
      <c r="D69" s="231"/>
      <c r="E69" s="215"/>
      <c r="F69" s="231"/>
      <c r="G69" s="232"/>
      <c r="H69" s="215"/>
      <c r="I69" s="215"/>
      <c r="J69" s="215"/>
      <c r="K69" s="215"/>
      <c r="L69" s="234"/>
      <c r="M69" s="234"/>
      <c r="N69" s="234"/>
      <c r="O69" s="218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4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1</v>
      </c>
      <c r="AQ70" s="56">
        <f t="shared" si="8"/>
        <v>93500</v>
      </c>
      <c r="AR70" s="57">
        <f t="shared" si="9"/>
        <v>84150</v>
      </c>
      <c r="AS70" s="58">
        <f t="shared" si="4"/>
        <v>93500</v>
      </c>
      <c r="AT70" s="59">
        <f t="shared" si="5"/>
        <v>84150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6000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3936313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21</v>
      </c>
      <c r="AQ73" s="22">
        <f t="shared" si="10"/>
        <v>1450313</v>
      </c>
      <c r="AR73" s="23">
        <f t="shared" si="10"/>
        <v>1305281.7</v>
      </c>
      <c r="AS73" s="24">
        <f t="shared" si="10"/>
        <v>1450313</v>
      </c>
      <c r="AT73" s="25">
        <f t="shared" si="10"/>
        <v>1305281.7</v>
      </c>
      <c r="AU73" s="692" t="s">
        <v>58</v>
      </c>
      <c r="AV73" s="693"/>
      <c r="AW73" s="693"/>
      <c r="AX73" s="693"/>
      <c r="AY73" s="694"/>
      <c r="AZ73" s="695">
        <f>AS58+AT73</f>
        <v>1305281.7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8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9">
    <cfRule type="cellIs" dxfId="179" priority="1" operator="equal">
      <formula>"여기어때"</formula>
    </cfRule>
    <cfRule type="cellIs" dxfId="178" priority="2" operator="equal">
      <formula>"야놀자"</formula>
    </cfRule>
  </conditionalFormatting>
  <conditionalFormatting sqref="R8:R66">
    <cfRule type="cellIs" dxfId="177" priority="1841" operator="equal">
      <formula>"여기어때"</formula>
    </cfRule>
    <cfRule type="cellIs" dxfId="176" priority="1842" operator="equal">
      <formula>"야놀자"</formula>
    </cfRule>
  </conditionalFormatting>
  <conditionalFormatting sqref="R73">
    <cfRule type="cellIs" dxfId="175" priority="2235" operator="equal">
      <formula>"여기어때"</formula>
    </cfRule>
    <cfRule type="cellIs" dxfId="174" priority="2236" operator="equal">
      <formula>"야놀자"</formula>
    </cfRule>
  </conditionalFormatting>
  <conditionalFormatting sqref="S27:S31">
    <cfRule type="cellIs" dxfId="173" priority="1209" operator="equal">
      <formula>"여기어때"</formula>
    </cfRule>
    <cfRule type="cellIs" dxfId="172" priority="1210" operator="equal">
      <formula>"야놀자"</formula>
    </cfRule>
  </conditionalFormatting>
  <conditionalFormatting sqref="AL30:AM30">
    <cfRule type="cellIs" dxfId="171" priority="2220" operator="greaterThan">
      <formula>$AL$29</formula>
    </cfRule>
    <cfRule type="cellIs" dxfId="170" priority="2228" operator="equal">
      <formula>$AL$29</formula>
    </cfRule>
  </conditionalFormatting>
  <conditionalFormatting sqref="AN30:AO30">
    <cfRule type="cellIs" dxfId="169" priority="2219" operator="greaterThan">
      <formula>$AN$29</formula>
    </cfRule>
    <cfRule type="cellIs" dxfId="168" priority="2227" operator="equal">
      <formula>$AN$29</formula>
    </cfRule>
  </conditionalFormatting>
  <conditionalFormatting sqref="AP30:AQ30">
    <cfRule type="cellIs" dxfId="167" priority="2218" operator="greaterThan">
      <formula>$AP$29</formula>
    </cfRule>
    <cfRule type="cellIs" dxfId="166" priority="2226" operator="equal">
      <formula>$AP$29</formula>
    </cfRule>
  </conditionalFormatting>
  <conditionalFormatting sqref="AR30">
    <cfRule type="cellIs" dxfId="165" priority="2217" operator="greaterThan">
      <formula>$AR$29</formula>
    </cfRule>
    <cfRule type="cellIs" dxfId="164" priority="2225" operator="equal">
      <formula>$AR$29</formula>
    </cfRule>
  </conditionalFormatting>
  <conditionalFormatting sqref="AS30:AT30">
    <cfRule type="cellIs" dxfId="163" priority="2216" operator="greaterThan">
      <formula>$AS$29</formula>
    </cfRule>
    <cfRule type="cellIs" dxfId="162" priority="2224" operator="equal">
      <formula>$AS$29</formula>
    </cfRule>
  </conditionalFormatting>
  <conditionalFormatting sqref="AU30:AV30">
    <cfRule type="cellIs" dxfId="161" priority="2215" operator="greaterThan">
      <formula>$AU$29</formula>
    </cfRule>
    <cfRule type="cellIs" dxfId="160" priority="2223" operator="equal">
      <formula>$AU$29</formula>
    </cfRule>
  </conditionalFormatting>
  <conditionalFormatting sqref="AW30">
    <cfRule type="cellIs" dxfId="159" priority="2214" operator="greaterThan">
      <formula>$AW$29</formula>
    </cfRule>
    <cfRule type="cellIs" dxfId="158" priority="2222" operator="equal">
      <formula>$AW$29</formula>
    </cfRule>
  </conditionalFormatting>
  <conditionalFormatting sqref="AX30:AY30">
    <cfRule type="cellIs" dxfId="157" priority="2213" operator="greaterThan">
      <formula>$AX$29</formula>
    </cfRule>
    <cfRule type="cellIs" dxfId="156" priority="2221" operator="equal">
      <formula>$AX$29</formula>
    </cfRule>
  </conditionalFormatting>
  <dataValidations count="1">
    <dataValidation type="list" allowBlank="1" showInputMessage="1" showErrorMessage="1" sqref="A8:A67 C70:C73 C75:C76 P8:P67" xr:uid="{EBC44825-6C09-417E-B522-94B955D382CB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CC0A-06BA-4E39-A824-C49EB2BA6CDC}">
  <sheetPr codeName="Sheet26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C8" sqref="C8"/>
      <selection pane="bottomLeft" activeCell="G41" sqref="G41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45926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5625888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42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421500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'26'!AA1</f>
        <v>45926</v>
      </c>
      <c r="AM2" s="863"/>
      <c r="AN2" s="863"/>
      <c r="AO2" s="864"/>
      <c r="AP2" s="865" t="s">
        <v>10</v>
      </c>
      <c r="AQ2" s="866"/>
      <c r="AR2" s="866"/>
      <c r="AS2" s="863">
        <f>AA1+1</f>
        <v>45927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5625888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421500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889"/>
      <c r="N4" s="298">
        <f>SUM(COUNTIF(B8:B67,{301,302,303,305,306,307,308,309,501,502,503,505,701,702,703,705,706,707,708,709}))</f>
        <v>9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0</v>
      </c>
      <c r="F6" s="356">
        <f>AR31</f>
        <v>0</v>
      </c>
      <c r="G6" s="356">
        <f>AS31</f>
        <v>0</v>
      </c>
      <c r="H6" s="356">
        <f>AU31</f>
        <v>0</v>
      </c>
      <c r="I6" s="356">
        <f>AW31</f>
        <v>0</v>
      </c>
      <c r="J6" s="356">
        <f>AX31</f>
        <v>0</v>
      </c>
      <c r="K6" s="606"/>
      <c r="L6" s="607"/>
      <c r="M6" s="356"/>
      <c r="N6" s="606">
        <f>C6+D6+E6+F6+G6+H6+I6+J6+K6</f>
        <v>0</v>
      </c>
      <c r="O6" s="602"/>
      <c r="P6" s="599">
        <f>C2</f>
        <v>5625888</v>
      </c>
      <c r="Q6" s="600"/>
      <c r="R6" s="300">
        <f>AN14+AN15</f>
        <v>0</v>
      </c>
      <c r="S6" s="300">
        <f>AZ14+AZ15</f>
        <v>0</v>
      </c>
      <c r="T6" s="300">
        <f>AR14+AR15</f>
        <v>321000</v>
      </c>
      <c r="U6" s="609">
        <f>AS60</f>
        <v>760000</v>
      </c>
      <c r="V6" s="600"/>
      <c r="W6" s="609">
        <f>AS61</f>
        <v>700000</v>
      </c>
      <c r="X6" s="600"/>
      <c r="Y6" s="609">
        <f>AS62</f>
        <v>1877800</v>
      </c>
      <c r="Z6" s="600"/>
      <c r="AA6" s="300">
        <f>AS63</f>
        <v>0</v>
      </c>
      <c r="AB6" s="300">
        <f>AS66</f>
        <v>940350</v>
      </c>
      <c r="AC6" s="300">
        <f>AS67</f>
        <v>218300</v>
      </c>
      <c r="AD6" s="300">
        <f>SUMIFS(O7:O47,C7:C47,"트립")</f>
        <v>126438</v>
      </c>
      <c r="AE6" s="300">
        <f>AS65</f>
        <v>0</v>
      </c>
      <c r="AF6" s="300">
        <f>AS69</f>
        <v>99000</v>
      </c>
      <c r="AG6" s="300">
        <f>AS70</f>
        <v>583000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319">
        <v>308</v>
      </c>
      <c r="C8" s="230" t="s">
        <v>354</v>
      </c>
      <c r="D8" s="251" t="s">
        <v>355</v>
      </c>
      <c r="E8" s="215"/>
      <c r="F8" s="231" t="s">
        <v>55</v>
      </c>
      <c r="G8" s="232" t="s">
        <v>173</v>
      </c>
      <c r="H8" s="215" t="s">
        <v>164</v>
      </c>
      <c r="I8" s="215" t="s">
        <v>165</v>
      </c>
      <c r="J8" s="233" t="s">
        <v>299</v>
      </c>
      <c r="K8" s="215"/>
      <c r="L8" s="234"/>
      <c r="M8" s="234"/>
      <c r="N8" s="234"/>
      <c r="O8" s="220">
        <v>265400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319">
        <v>902</v>
      </c>
      <c r="C9" s="230" t="s">
        <v>300</v>
      </c>
      <c r="D9" s="251" t="s">
        <v>406</v>
      </c>
      <c r="E9" s="215" t="s">
        <v>714</v>
      </c>
      <c r="F9" s="231" t="s">
        <v>167</v>
      </c>
      <c r="G9" s="232" t="s">
        <v>163</v>
      </c>
      <c r="H9" s="215" t="s">
        <v>164</v>
      </c>
      <c r="I9" s="215" t="s">
        <v>165</v>
      </c>
      <c r="J9" s="215" t="s">
        <v>299</v>
      </c>
      <c r="K9" s="215"/>
      <c r="L9" s="234"/>
      <c r="M9" s="234"/>
      <c r="N9" s="234"/>
      <c r="O9" s="218">
        <v>86700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319">
        <v>1215</v>
      </c>
      <c r="C10" s="230" t="s">
        <v>680</v>
      </c>
      <c r="D10" s="251" t="s">
        <v>681</v>
      </c>
      <c r="E10" s="215" t="s">
        <v>1177</v>
      </c>
      <c r="F10" s="231" t="s">
        <v>159</v>
      </c>
      <c r="G10" s="232" t="s">
        <v>675</v>
      </c>
      <c r="H10" s="215" t="s">
        <v>164</v>
      </c>
      <c r="I10" s="215" t="s">
        <v>165</v>
      </c>
      <c r="J10" s="215" t="s">
        <v>682</v>
      </c>
      <c r="K10" s="215"/>
      <c r="L10" s="234"/>
      <c r="M10" s="234"/>
      <c r="N10" s="234"/>
      <c r="O10" s="218">
        <v>428400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1</v>
      </c>
      <c r="AQ10" s="627"/>
      <c r="AR10" s="626">
        <f>SUM(M8:M67)</f>
        <v>305000</v>
      </c>
      <c r="AS10" s="627"/>
      <c r="AT10" s="625">
        <f>COUNTA($O$8:$O$67)</f>
        <v>41</v>
      </c>
      <c r="AU10" s="625"/>
      <c r="AV10" s="625">
        <f>SUM(O8:O67)</f>
        <v>5304888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42</v>
      </c>
      <c r="BC10" s="799"/>
      <c r="BD10" s="800">
        <f>SUM(AN10+AR10+AV10+AZ10)</f>
        <v>5609888</v>
      </c>
      <c r="BE10" s="801"/>
    </row>
    <row r="11" spans="1:58" ht="64.5" customHeight="1" x14ac:dyDescent="0.3">
      <c r="A11" s="228">
        <v>4</v>
      </c>
      <c r="B11" s="319">
        <v>1216</v>
      </c>
      <c r="C11" s="230" t="s">
        <v>680</v>
      </c>
      <c r="D11" s="251" t="s">
        <v>683</v>
      </c>
      <c r="E11" s="215" t="s">
        <v>1177</v>
      </c>
      <c r="F11" s="231" t="s">
        <v>159</v>
      </c>
      <c r="G11" s="232" t="s">
        <v>675</v>
      </c>
      <c r="H11" s="215" t="s">
        <v>164</v>
      </c>
      <c r="I11" s="215" t="s">
        <v>165</v>
      </c>
      <c r="J11" s="215" t="s">
        <v>682</v>
      </c>
      <c r="K11" s="215"/>
      <c r="L11" s="234"/>
      <c r="M11" s="234"/>
      <c r="N11" s="234"/>
      <c r="O11" s="218">
        <v>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319">
        <v>1210</v>
      </c>
      <c r="C12" s="230" t="s">
        <v>707</v>
      </c>
      <c r="D12" s="569" t="s">
        <v>779</v>
      </c>
      <c r="E12" s="215"/>
      <c r="F12" s="231" t="s">
        <v>704</v>
      </c>
      <c r="G12" s="232" t="s">
        <v>720</v>
      </c>
      <c r="H12" s="215" t="s">
        <v>164</v>
      </c>
      <c r="I12" s="215" t="s">
        <v>165</v>
      </c>
      <c r="J12" s="233" t="s">
        <v>713</v>
      </c>
      <c r="K12" s="215"/>
      <c r="L12" s="432"/>
      <c r="M12" s="234"/>
      <c r="N12" s="234"/>
      <c r="O12" s="220">
        <v>218300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319">
        <v>1107</v>
      </c>
      <c r="C13" s="318" t="s">
        <v>775</v>
      </c>
      <c r="D13" s="251" t="s">
        <v>853</v>
      </c>
      <c r="E13" s="217" t="s">
        <v>854</v>
      </c>
      <c r="F13" s="251" t="s">
        <v>692</v>
      </c>
      <c r="G13" s="331" t="s">
        <v>741</v>
      </c>
      <c r="H13" s="217" t="s">
        <v>164</v>
      </c>
      <c r="I13" s="217" t="s">
        <v>165</v>
      </c>
      <c r="J13" s="217" t="s">
        <v>733</v>
      </c>
      <c r="K13" s="217"/>
      <c r="L13" s="254"/>
      <c r="M13" s="254">
        <v>305000</v>
      </c>
      <c r="N13" s="254"/>
      <c r="O13" s="224"/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319">
        <v>709</v>
      </c>
      <c r="C14" s="230" t="s">
        <v>686</v>
      </c>
      <c r="D14" s="251" t="s">
        <v>882</v>
      </c>
      <c r="E14" s="215"/>
      <c r="F14" s="231" t="s">
        <v>751</v>
      </c>
      <c r="G14" s="232" t="s">
        <v>688</v>
      </c>
      <c r="H14" s="215" t="s">
        <v>164</v>
      </c>
      <c r="I14" s="215" t="s">
        <v>165</v>
      </c>
      <c r="J14" s="215" t="s">
        <v>247</v>
      </c>
      <c r="K14" s="215" t="s">
        <v>1196</v>
      </c>
      <c r="L14" s="234"/>
      <c r="M14" s="234"/>
      <c r="N14" s="234"/>
      <c r="O14" s="218">
        <v>95000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1</v>
      </c>
      <c r="AQ14" s="653"/>
      <c r="AR14" s="653">
        <f>SUM(AR10:AS13)</f>
        <v>305000</v>
      </c>
      <c r="AS14" s="653"/>
      <c r="AT14" s="653">
        <f t="shared" ref="AT14" si="1">SUM(AT10:AU11)</f>
        <v>41</v>
      </c>
      <c r="AU14" s="653"/>
      <c r="AV14" s="653">
        <f>SUM(AV10:AW13)</f>
        <v>5304888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42</v>
      </c>
      <c r="BC14" s="655"/>
      <c r="BD14" s="782">
        <f>SUM(BD10:BE13)</f>
        <v>5609888</v>
      </c>
      <c r="BE14" s="783"/>
    </row>
    <row r="15" spans="1:58" ht="64.5" customHeight="1" thickBot="1" x14ac:dyDescent="0.35">
      <c r="A15" s="228">
        <v>8</v>
      </c>
      <c r="B15" s="319">
        <v>404</v>
      </c>
      <c r="C15" s="230" t="s">
        <v>693</v>
      </c>
      <c r="D15" s="251" t="s">
        <v>917</v>
      </c>
      <c r="E15" s="215" t="s">
        <v>1186</v>
      </c>
      <c r="F15" s="231" t="s">
        <v>167</v>
      </c>
      <c r="G15" s="232" t="s">
        <v>720</v>
      </c>
      <c r="H15" s="215" t="s">
        <v>164</v>
      </c>
      <c r="I15" s="215" t="s">
        <v>165</v>
      </c>
      <c r="J15" s="215" t="s">
        <v>247</v>
      </c>
      <c r="K15" s="238"/>
      <c r="L15" s="234"/>
      <c r="M15" s="234"/>
      <c r="N15" s="234"/>
      <c r="O15" s="218">
        <v>220500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8</v>
      </c>
      <c r="AQ15" s="633"/>
      <c r="AR15" s="632">
        <f>AR24</f>
        <v>16000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8</v>
      </c>
      <c r="BC15" s="633"/>
      <c r="BD15" s="776">
        <f>SUM(AN15+AR15+AV15+AZ15)</f>
        <v>16000</v>
      </c>
      <c r="BE15" s="777"/>
    </row>
    <row r="16" spans="1:58" ht="64.5" customHeight="1" thickBot="1" x14ac:dyDescent="0.35">
      <c r="A16" s="228">
        <v>9</v>
      </c>
      <c r="B16" s="319">
        <v>506</v>
      </c>
      <c r="C16" s="318" t="s">
        <v>775</v>
      </c>
      <c r="D16" s="251" t="s">
        <v>934</v>
      </c>
      <c r="E16" s="217" t="s">
        <v>936</v>
      </c>
      <c r="F16" s="251" t="s">
        <v>167</v>
      </c>
      <c r="G16" s="331" t="s">
        <v>688</v>
      </c>
      <c r="H16" s="217" t="s">
        <v>164</v>
      </c>
      <c r="I16" s="217" t="s">
        <v>165</v>
      </c>
      <c r="J16" s="217" t="s">
        <v>1158</v>
      </c>
      <c r="K16" s="217"/>
      <c r="L16" s="254"/>
      <c r="M16" s="254"/>
      <c r="N16" s="254"/>
      <c r="O16" s="317">
        <v>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5625888</v>
      </c>
      <c r="BE16" s="652"/>
      <c r="BF16" s="10"/>
    </row>
    <row r="17" spans="1:62" ht="64.5" customHeight="1" thickBot="1" x14ac:dyDescent="0.35">
      <c r="A17" s="228">
        <v>10</v>
      </c>
      <c r="B17" s="319">
        <v>811</v>
      </c>
      <c r="C17" s="230" t="s">
        <v>952</v>
      </c>
      <c r="D17" s="251" t="s">
        <v>953</v>
      </c>
      <c r="E17" s="215" t="s">
        <v>954</v>
      </c>
      <c r="F17" s="231" t="s">
        <v>158</v>
      </c>
      <c r="G17" s="232" t="s">
        <v>951</v>
      </c>
      <c r="H17" s="215" t="s">
        <v>164</v>
      </c>
      <c r="I17" s="215" t="s">
        <v>165</v>
      </c>
      <c r="J17" s="215" t="s">
        <v>189</v>
      </c>
      <c r="K17" s="215"/>
      <c r="L17" s="234"/>
      <c r="M17" s="234"/>
      <c r="N17" s="234"/>
      <c r="O17" s="218">
        <v>80000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319">
        <v>1112</v>
      </c>
      <c r="C18" s="230" t="s">
        <v>74</v>
      </c>
      <c r="D18" s="251" t="s">
        <v>974</v>
      </c>
      <c r="E18" s="215" t="s">
        <v>1177</v>
      </c>
      <c r="F18" s="231" t="s">
        <v>159</v>
      </c>
      <c r="G18" s="232" t="s">
        <v>951</v>
      </c>
      <c r="H18" s="215" t="s">
        <v>164</v>
      </c>
      <c r="I18" s="217" t="s">
        <v>165</v>
      </c>
      <c r="J18" s="215" t="s">
        <v>189</v>
      </c>
      <c r="K18" s="215"/>
      <c r="L18" s="234"/>
      <c r="M18" s="234"/>
      <c r="N18" s="234"/>
      <c r="O18" s="220">
        <v>85000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319">
        <v>1006</v>
      </c>
      <c r="C19" s="230" t="s">
        <v>74</v>
      </c>
      <c r="D19" s="251" t="s">
        <v>940</v>
      </c>
      <c r="E19" s="215" t="s">
        <v>318</v>
      </c>
      <c r="F19" s="231" t="s">
        <v>167</v>
      </c>
      <c r="G19" s="232" t="s">
        <v>163</v>
      </c>
      <c r="H19" s="215" t="s">
        <v>164</v>
      </c>
      <c r="I19" s="215" t="s">
        <v>165</v>
      </c>
      <c r="J19" s="237" t="s">
        <v>189</v>
      </c>
      <c r="K19" s="238"/>
      <c r="L19" s="234"/>
      <c r="M19" s="234"/>
      <c r="N19" s="234"/>
      <c r="O19" s="218">
        <v>85000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319">
        <v>907</v>
      </c>
      <c r="C20" s="230" t="s">
        <v>74</v>
      </c>
      <c r="D20" s="251" t="s">
        <v>1018</v>
      </c>
      <c r="E20" s="215" t="s">
        <v>553</v>
      </c>
      <c r="F20" s="231" t="s">
        <v>167</v>
      </c>
      <c r="G20" s="232" t="s">
        <v>163</v>
      </c>
      <c r="H20" s="215" t="s">
        <v>164</v>
      </c>
      <c r="I20" s="215" t="s">
        <v>165</v>
      </c>
      <c r="J20" s="237" t="s">
        <v>189</v>
      </c>
      <c r="K20" s="215" t="s">
        <v>1196</v>
      </c>
      <c r="L20" s="234"/>
      <c r="M20" s="234"/>
      <c r="N20" s="234"/>
      <c r="O20" s="218">
        <v>90000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8</v>
      </c>
      <c r="AQ20" s="655"/>
      <c r="AR20" s="654">
        <f>AP20*2000</f>
        <v>16000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8</v>
      </c>
      <c r="AY20" s="647"/>
      <c r="AZ20" s="648">
        <f>SUM(AJ20+AN20+AR20+AV20)</f>
        <v>16000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319">
        <v>305</v>
      </c>
      <c r="C21" s="230" t="s">
        <v>1043</v>
      </c>
      <c r="D21" s="251" t="s">
        <v>1044</v>
      </c>
      <c r="E21" s="215"/>
      <c r="F21" s="231" t="s">
        <v>1045</v>
      </c>
      <c r="G21" s="232" t="s">
        <v>1046</v>
      </c>
      <c r="H21" s="215" t="s">
        <v>164</v>
      </c>
      <c r="I21" s="215" t="s">
        <v>165</v>
      </c>
      <c r="J21" s="237" t="s">
        <v>189</v>
      </c>
      <c r="K21" s="215"/>
      <c r="L21" s="234"/>
      <c r="M21" s="234"/>
      <c r="N21" s="234"/>
      <c r="O21" s="218">
        <v>85000</v>
      </c>
      <c r="P21" s="228">
        <v>14</v>
      </c>
      <c r="Q21" s="229"/>
      <c r="R21" s="230"/>
      <c r="S21" s="251"/>
      <c r="T21" s="215"/>
      <c r="U21" s="231"/>
      <c r="V21" s="232"/>
      <c r="W21" s="215"/>
      <c r="X21" s="215"/>
      <c r="Y21" s="215"/>
      <c r="Z21" s="215"/>
      <c r="AA21" s="234"/>
      <c r="AB21" s="234"/>
      <c r="AC21" s="234"/>
      <c r="AD21" s="234"/>
      <c r="AE21" s="521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319">
        <v>409</v>
      </c>
      <c r="C22" s="230" t="s">
        <v>1064</v>
      </c>
      <c r="D22" s="251" t="s">
        <v>1065</v>
      </c>
      <c r="E22" s="215" t="s">
        <v>318</v>
      </c>
      <c r="F22" s="231" t="s">
        <v>1057</v>
      </c>
      <c r="G22" s="232" t="s">
        <v>1046</v>
      </c>
      <c r="H22" s="215" t="s">
        <v>164</v>
      </c>
      <c r="I22" s="215" t="s">
        <v>165</v>
      </c>
      <c r="J22" s="237" t="s">
        <v>189</v>
      </c>
      <c r="K22" s="215"/>
      <c r="L22" s="234"/>
      <c r="M22" s="234"/>
      <c r="N22" s="234"/>
      <c r="O22" s="218">
        <v>126438</v>
      </c>
      <c r="P22" s="228">
        <v>15</v>
      </c>
      <c r="Q22" s="229"/>
      <c r="R22" s="230"/>
      <c r="S22" s="251"/>
      <c r="T22" s="215"/>
      <c r="U22" s="231"/>
      <c r="V22" s="232"/>
      <c r="W22" s="215"/>
      <c r="X22" s="215"/>
      <c r="Y22" s="215"/>
      <c r="Z22" s="215"/>
      <c r="AA22" s="234"/>
      <c r="AB22" s="234"/>
      <c r="AC22" s="234"/>
      <c r="AD22" s="234"/>
      <c r="AE22" s="521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319">
        <v>705</v>
      </c>
      <c r="C23" s="230" t="s">
        <v>70</v>
      </c>
      <c r="D23" s="251" t="s">
        <v>1073</v>
      </c>
      <c r="E23" s="215"/>
      <c r="F23" s="231" t="s">
        <v>1074</v>
      </c>
      <c r="G23" s="232" t="s">
        <v>1046</v>
      </c>
      <c r="H23" s="215" t="s">
        <v>164</v>
      </c>
      <c r="I23" s="215" t="s">
        <v>165</v>
      </c>
      <c r="J23" s="237" t="s">
        <v>189</v>
      </c>
      <c r="K23" s="238"/>
      <c r="L23" s="234"/>
      <c r="M23" s="234"/>
      <c r="N23" s="234"/>
      <c r="O23" s="218">
        <v>99750</v>
      </c>
      <c r="P23" s="228">
        <v>16</v>
      </c>
      <c r="Q23" s="229"/>
      <c r="R23" s="230"/>
      <c r="S23" s="251"/>
      <c r="T23" s="215"/>
      <c r="U23" s="231"/>
      <c r="V23" s="232"/>
      <c r="W23" s="215"/>
      <c r="X23" s="215"/>
      <c r="Y23" s="215"/>
      <c r="Z23" s="215"/>
      <c r="AA23" s="234"/>
      <c r="AB23" s="234"/>
      <c r="AC23" s="234"/>
      <c r="AD23" s="234"/>
      <c r="AE23" s="521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319">
        <v>1111</v>
      </c>
      <c r="C24" s="230" t="s">
        <v>73</v>
      </c>
      <c r="D24" s="251" t="s">
        <v>1086</v>
      </c>
      <c r="E24" s="215" t="s">
        <v>166</v>
      </c>
      <c r="F24" s="231" t="s">
        <v>1067</v>
      </c>
      <c r="G24" s="232" t="s">
        <v>1046</v>
      </c>
      <c r="H24" s="215" t="s">
        <v>164</v>
      </c>
      <c r="I24" s="215" t="s">
        <v>165</v>
      </c>
      <c r="J24" s="237" t="s">
        <v>1087</v>
      </c>
      <c r="K24" s="238"/>
      <c r="L24" s="234"/>
      <c r="M24" s="234"/>
      <c r="N24" s="234"/>
      <c r="O24" s="218">
        <v>80000</v>
      </c>
      <c r="P24" s="228">
        <v>17</v>
      </c>
      <c r="Q24" s="229"/>
      <c r="R24" s="230"/>
      <c r="S24" s="251"/>
      <c r="T24" s="215"/>
      <c r="U24" s="231"/>
      <c r="V24" s="232"/>
      <c r="W24" s="215"/>
      <c r="X24" s="215"/>
      <c r="Y24" s="237"/>
      <c r="Z24" s="215"/>
      <c r="AA24" s="234"/>
      <c r="AB24" s="234"/>
      <c r="AC24" s="234"/>
      <c r="AD24" s="234"/>
      <c r="AE24" s="521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8</v>
      </c>
      <c r="AQ24" s="655"/>
      <c r="AR24" s="654">
        <f>SUM(AR20:AS23)</f>
        <v>16000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8</v>
      </c>
      <c r="AY24" s="647"/>
      <c r="AZ24" s="648">
        <f>SUM(AZ20:BA23)</f>
        <v>16000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319">
        <v>1110</v>
      </c>
      <c r="C25" s="230" t="s">
        <v>1043</v>
      </c>
      <c r="D25" s="360" t="s">
        <v>1097</v>
      </c>
      <c r="E25" s="305" t="s">
        <v>1188</v>
      </c>
      <c r="F25" s="304" t="s">
        <v>1089</v>
      </c>
      <c r="G25" s="232" t="s">
        <v>1046</v>
      </c>
      <c r="H25" s="215" t="s">
        <v>164</v>
      </c>
      <c r="I25" s="215" t="s">
        <v>165</v>
      </c>
      <c r="J25" s="237" t="s">
        <v>1060</v>
      </c>
      <c r="K25" s="215"/>
      <c r="L25" s="234"/>
      <c r="M25" s="234"/>
      <c r="N25" s="234"/>
      <c r="O25" s="218">
        <v>120000</v>
      </c>
      <c r="P25" s="228">
        <v>18</v>
      </c>
      <c r="Q25" s="229"/>
      <c r="R25" s="230"/>
      <c r="S25" s="251"/>
      <c r="T25" s="215"/>
      <c r="U25" s="231"/>
      <c r="V25" s="232"/>
      <c r="W25" s="215"/>
      <c r="X25" s="215"/>
      <c r="Y25" s="237"/>
      <c r="Z25" s="215"/>
      <c r="AA25" s="234"/>
      <c r="AB25" s="234"/>
      <c r="AC25" s="234"/>
      <c r="AD25" s="234"/>
      <c r="AE25" s="521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319">
        <v>609</v>
      </c>
      <c r="C26" s="230" t="s">
        <v>177</v>
      </c>
      <c r="D26" s="251" t="s">
        <v>1102</v>
      </c>
      <c r="E26" s="215" t="s">
        <v>318</v>
      </c>
      <c r="F26" s="231" t="s">
        <v>167</v>
      </c>
      <c r="G26" s="232" t="s">
        <v>163</v>
      </c>
      <c r="H26" s="215" t="s">
        <v>164</v>
      </c>
      <c r="I26" s="215" t="s">
        <v>165</v>
      </c>
      <c r="J26" s="215" t="s">
        <v>190</v>
      </c>
      <c r="K26" s="215" t="s">
        <v>1196</v>
      </c>
      <c r="L26" s="234"/>
      <c r="M26" s="234"/>
      <c r="N26" s="234"/>
      <c r="O26" s="218">
        <v>93500</v>
      </c>
      <c r="P26" s="228">
        <v>19</v>
      </c>
      <c r="Q26" s="229"/>
      <c r="R26" s="230"/>
      <c r="S26" s="251"/>
      <c r="T26" s="215"/>
      <c r="U26" s="231"/>
      <c r="V26" s="232"/>
      <c r="W26" s="215"/>
      <c r="X26" s="215"/>
      <c r="Y26" s="237"/>
      <c r="Z26" s="215"/>
      <c r="AA26" s="234"/>
      <c r="AB26" s="234"/>
      <c r="AC26" s="234"/>
      <c r="AD26" s="234"/>
      <c r="AE26" s="521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319">
        <v>615</v>
      </c>
      <c r="C27" s="230" t="s">
        <v>177</v>
      </c>
      <c r="D27" s="251" t="s">
        <v>1128</v>
      </c>
      <c r="E27" s="215"/>
      <c r="F27" s="231" t="s">
        <v>159</v>
      </c>
      <c r="G27" s="232" t="s">
        <v>171</v>
      </c>
      <c r="H27" s="215" t="s">
        <v>164</v>
      </c>
      <c r="I27" s="215" t="s">
        <v>165</v>
      </c>
      <c r="J27" s="215" t="s">
        <v>190</v>
      </c>
      <c r="K27" s="215"/>
      <c r="L27" s="234"/>
      <c r="M27" s="234"/>
      <c r="N27" s="234"/>
      <c r="O27" s="218">
        <v>264000</v>
      </c>
      <c r="P27" s="228">
        <v>20</v>
      </c>
      <c r="Q27" s="229"/>
      <c r="R27" s="230"/>
      <c r="S27" s="251"/>
      <c r="T27" s="215"/>
      <c r="U27" s="231"/>
      <c r="V27" s="232"/>
      <c r="W27" s="215"/>
      <c r="X27" s="215"/>
      <c r="Y27" s="215"/>
      <c r="Z27" s="215"/>
      <c r="AA27" s="234"/>
      <c r="AB27" s="234"/>
      <c r="AC27" s="234"/>
      <c r="AD27" s="234"/>
      <c r="AE27" s="521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319">
        <v>701</v>
      </c>
      <c r="C28" s="230" t="s">
        <v>177</v>
      </c>
      <c r="D28" s="251" t="s">
        <v>1130</v>
      </c>
      <c r="E28" s="215"/>
      <c r="F28" s="231" t="s">
        <v>161</v>
      </c>
      <c r="G28" s="232" t="s">
        <v>163</v>
      </c>
      <c r="H28" s="215" t="s">
        <v>164</v>
      </c>
      <c r="I28" s="215" t="s">
        <v>165</v>
      </c>
      <c r="J28" s="215" t="s">
        <v>193</v>
      </c>
      <c r="K28" s="215"/>
      <c r="L28" s="234"/>
      <c r="M28" s="234"/>
      <c r="N28" s="234"/>
      <c r="O28" s="218">
        <v>110000</v>
      </c>
      <c r="P28" s="228">
        <v>21</v>
      </c>
      <c r="Q28" s="229"/>
      <c r="R28" s="230"/>
      <c r="S28" s="251"/>
      <c r="T28" s="215"/>
      <c r="U28" s="231"/>
      <c r="V28" s="232"/>
      <c r="W28" s="215"/>
      <c r="X28" s="215"/>
      <c r="Y28" s="233"/>
      <c r="Z28" s="215"/>
      <c r="AA28" s="234"/>
      <c r="AB28" s="234"/>
      <c r="AC28" s="234"/>
      <c r="AD28" s="234"/>
      <c r="AE28" s="521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319">
        <v>1116</v>
      </c>
      <c r="C29" s="230" t="s">
        <v>52</v>
      </c>
      <c r="D29" s="251" t="s">
        <v>1137</v>
      </c>
      <c r="E29" s="215"/>
      <c r="F29" s="231" t="s">
        <v>159</v>
      </c>
      <c r="G29" s="232" t="s">
        <v>1139</v>
      </c>
      <c r="H29" s="215" t="s">
        <v>164</v>
      </c>
      <c r="I29" s="215" t="s">
        <v>165</v>
      </c>
      <c r="J29" s="237" t="s">
        <v>189</v>
      </c>
      <c r="K29" s="215"/>
      <c r="L29" s="234"/>
      <c r="M29" s="234"/>
      <c r="N29" s="234"/>
      <c r="O29" s="218">
        <v>1502400</v>
      </c>
      <c r="P29" s="228">
        <v>22</v>
      </c>
      <c r="Q29" s="229"/>
      <c r="R29" s="230"/>
      <c r="S29" s="251"/>
      <c r="T29" s="215"/>
      <c r="U29" s="231"/>
      <c r="V29" s="232"/>
      <c r="W29" s="215"/>
      <c r="X29" s="215"/>
      <c r="Y29" s="237"/>
      <c r="Z29" s="215"/>
      <c r="AA29" s="234"/>
      <c r="AB29" s="234"/>
      <c r="AC29" s="234"/>
      <c r="AD29" s="234"/>
      <c r="AE29" s="521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319">
        <v>1115</v>
      </c>
      <c r="C30" s="230" t="s">
        <v>52</v>
      </c>
      <c r="D30" s="251" t="s">
        <v>1138</v>
      </c>
      <c r="E30" s="215"/>
      <c r="F30" s="231" t="s">
        <v>159</v>
      </c>
      <c r="G30" s="232" t="s">
        <v>1139</v>
      </c>
      <c r="H30" s="215" t="s">
        <v>164</v>
      </c>
      <c r="I30" s="215" t="s">
        <v>165</v>
      </c>
      <c r="J30" s="237" t="s">
        <v>189</v>
      </c>
      <c r="K30" s="215"/>
      <c r="L30" s="234"/>
      <c r="M30" s="234"/>
      <c r="N30" s="234"/>
      <c r="O30" s="218">
        <v>0</v>
      </c>
      <c r="P30" s="228">
        <v>23</v>
      </c>
      <c r="Q30" s="229"/>
      <c r="R30" s="230"/>
      <c r="S30" s="251"/>
      <c r="T30" s="215"/>
      <c r="U30" s="231"/>
      <c r="V30" s="232"/>
      <c r="W30" s="215"/>
      <c r="X30" s="215"/>
      <c r="Y30" s="237"/>
      <c r="Z30" s="238"/>
      <c r="AA30" s="234"/>
      <c r="AB30" s="234"/>
      <c r="AC30" s="234"/>
      <c r="AD30" s="234"/>
      <c r="AE30" s="521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5</v>
      </c>
      <c r="AV30" s="830"/>
      <c r="AW30" s="324">
        <f>COUNTIF(F8:F67,"v")</f>
        <v>5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>
        <v>501</v>
      </c>
      <c r="C31" s="230" t="s">
        <v>73</v>
      </c>
      <c r="D31" s="251" t="s">
        <v>1146</v>
      </c>
      <c r="E31" s="215" t="s">
        <v>988</v>
      </c>
      <c r="F31" s="231" t="s">
        <v>161</v>
      </c>
      <c r="G31" s="232" t="s">
        <v>163</v>
      </c>
      <c r="H31" s="215" t="s">
        <v>164</v>
      </c>
      <c r="I31" s="215" t="s">
        <v>165</v>
      </c>
      <c r="J31" s="237" t="s">
        <v>189</v>
      </c>
      <c r="K31" s="215"/>
      <c r="L31" s="234"/>
      <c r="M31" s="234"/>
      <c r="N31" s="234"/>
      <c r="O31" s="218">
        <v>120000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521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0</v>
      </c>
      <c r="AV31" s="817"/>
      <c r="AW31" s="322">
        <f>AW29-AW30</f>
        <v>0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19">
        <v>715</v>
      </c>
      <c r="C32" s="230" t="s">
        <v>74</v>
      </c>
      <c r="D32" s="251" t="s">
        <v>1148</v>
      </c>
      <c r="E32" s="215" t="s">
        <v>166</v>
      </c>
      <c r="F32" s="231" t="s">
        <v>159</v>
      </c>
      <c r="G32" s="232" t="s">
        <v>163</v>
      </c>
      <c r="H32" s="215" t="s">
        <v>164</v>
      </c>
      <c r="I32" s="215" t="s">
        <v>165</v>
      </c>
      <c r="J32" s="215" t="s">
        <v>190</v>
      </c>
      <c r="K32" s="215" t="s">
        <v>1196</v>
      </c>
      <c r="L32" s="234"/>
      <c r="M32" s="234"/>
      <c r="N32" s="234"/>
      <c r="O32" s="218">
        <v>90000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>
        <v>911</v>
      </c>
      <c r="C33" s="230" t="s">
        <v>74</v>
      </c>
      <c r="D33" s="251" t="s">
        <v>1153</v>
      </c>
      <c r="E33" s="215" t="s">
        <v>166</v>
      </c>
      <c r="F33" s="231" t="s">
        <v>158</v>
      </c>
      <c r="G33" s="232" t="s">
        <v>163</v>
      </c>
      <c r="H33" s="215" t="s">
        <v>164</v>
      </c>
      <c r="I33" s="215" t="s">
        <v>165</v>
      </c>
      <c r="J33" s="233" t="s">
        <v>193</v>
      </c>
      <c r="K33" s="215"/>
      <c r="L33" s="234"/>
      <c r="M33" s="234"/>
      <c r="N33" s="234"/>
      <c r="O33" s="218">
        <v>90000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>
        <v>809</v>
      </c>
      <c r="C34" s="230" t="s">
        <v>1165</v>
      </c>
      <c r="D34" s="251" t="s">
        <v>1167</v>
      </c>
      <c r="E34" s="215" t="s">
        <v>318</v>
      </c>
      <c r="F34" s="231" t="s">
        <v>1156</v>
      </c>
      <c r="G34" s="232" t="s">
        <v>1157</v>
      </c>
      <c r="H34" s="215" t="s">
        <v>164</v>
      </c>
      <c r="I34" s="215" t="s">
        <v>165</v>
      </c>
      <c r="J34" s="237" t="s">
        <v>189</v>
      </c>
      <c r="K34" s="215"/>
      <c r="L34" s="234"/>
      <c r="M34" s="234"/>
      <c r="N34" s="234"/>
      <c r="O34" s="218">
        <v>105000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19">
        <v>401</v>
      </c>
      <c r="C35" s="230" t="s">
        <v>1155</v>
      </c>
      <c r="D35" s="251" t="s">
        <v>1168</v>
      </c>
      <c r="E35" s="215" t="s">
        <v>1178</v>
      </c>
      <c r="F35" s="231" t="s">
        <v>161</v>
      </c>
      <c r="G35" s="232" t="s">
        <v>1157</v>
      </c>
      <c r="H35" s="215" t="s">
        <v>164</v>
      </c>
      <c r="I35" s="215" t="s">
        <v>165</v>
      </c>
      <c r="J35" s="237" t="s">
        <v>189</v>
      </c>
      <c r="K35" s="215" t="s">
        <v>1196</v>
      </c>
      <c r="L35" s="234"/>
      <c r="M35" s="234"/>
      <c r="N35" s="234"/>
      <c r="O35" s="218">
        <v>115000</v>
      </c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319">
        <v>1011</v>
      </c>
      <c r="C36" s="230" t="s">
        <v>73</v>
      </c>
      <c r="D36" s="251" t="s">
        <v>1169</v>
      </c>
      <c r="E36" s="215" t="s">
        <v>166</v>
      </c>
      <c r="F36" s="231" t="s">
        <v>158</v>
      </c>
      <c r="G36" s="232" t="s">
        <v>1157</v>
      </c>
      <c r="H36" s="215" t="s">
        <v>164</v>
      </c>
      <c r="I36" s="215" t="s">
        <v>165</v>
      </c>
      <c r="J36" s="215" t="s">
        <v>1170</v>
      </c>
      <c r="K36" s="215"/>
      <c r="L36" s="234"/>
      <c r="M36" s="234"/>
      <c r="N36" s="234"/>
      <c r="O36" s="218">
        <v>100000</v>
      </c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319">
        <v>1105</v>
      </c>
      <c r="C37" s="230" t="s">
        <v>1172</v>
      </c>
      <c r="D37" s="251" t="s">
        <v>1173</v>
      </c>
      <c r="E37" s="215"/>
      <c r="F37" s="231" t="s">
        <v>1174</v>
      </c>
      <c r="G37" s="232" t="s">
        <v>1175</v>
      </c>
      <c r="H37" s="215" t="s">
        <v>164</v>
      </c>
      <c r="I37" s="215" t="s">
        <v>165</v>
      </c>
      <c r="J37" s="233" t="s">
        <v>1176</v>
      </c>
      <c r="K37" s="215" t="s">
        <v>1196</v>
      </c>
      <c r="L37" s="234"/>
      <c r="M37" s="234"/>
      <c r="N37" s="234"/>
      <c r="O37" s="218">
        <v>110000</v>
      </c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319">
        <v>1214</v>
      </c>
      <c r="C38" s="230" t="s">
        <v>1185</v>
      </c>
      <c r="D38" s="251" t="s">
        <v>1183</v>
      </c>
      <c r="E38" s="215" t="s">
        <v>1177</v>
      </c>
      <c r="F38" s="231" t="s">
        <v>1184</v>
      </c>
      <c r="G38" s="232" t="s">
        <v>1175</v>
      </c>
      <c r="H38" s="215" t="s">
        <v>164</v>
      </c>
      <c r="I38" s="215" t="s">
        <v>165</v>
      </c>
      <c r="J38" s="237" t="s">
        <v>189</v>
      </c>
      <c r="K38" s="215"/>
      <c r="L38" s="234"/>
      <c r="M38" s="234"/>
      <c r="N38" s="234"/>
      <c r="O38" s="218">
        <v>115500</v>
      </c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319">
        <v>713</v>
      </c>
      <c r="C39" s="230" t="s">
        <v>1179</v>
      </c>
      <c r="D39" s="251" t="s">
        <v>1189</v>
      </c>
      <c r="E39" s="215" t="s">
        <v>1177</v>
      </c>
      <c r="F39" s="231" t="s">
        <v>1184</v>
      </c>
      <c r="G39" s="232" t="s">
        <v>1175</v>
      </c>
      <c r="H39" s="215" t="s">
        <v>164</v>
      </c>
      <c r="I39" s="215" t="s">
        <v>165</v>
      </c>
      <c r="J39" s="237" t="s">
        <v>189</v>
      </c>
      <c r="K39" s="215" t="s">
        <v>1196</v>
      </c>
      <c r="L39" s="234"/>
      <c r="M39" s="234"/>
      <c r="N39" s="234"/>
      <c r="O39" s="218">
        <v>99000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319">
        <v>702</v>
      </c>
      <c r="C40" s="230" t="s">
        <v>1182</v>
      </c>
      <c r="D40" s="251" t="s">
        <v>1190</v>
      </c>
      <c r="E40" s="215"/>
      <c r="F40" s="231" t="s">
        <v>1191</v>
      </c>
      <c r="G40" s="232" t="s">
        <v>1175</v>
      </c>
      <c r="H40" s="215" t="s">
        <v>164</v>
      </c>
      <c r="I40" s="215" t="s">
        <v>165</v>
      </c>
      <c r="J40" s="237" t="s">
        <v>189</v>
      </c>
      <c r="K40" s="215" t="s">
        <v>1196</v>
      </c>
      <c r="L40" s="234"/>
      <c r="M40" s="234"/>
      <c r="N40" s="234"/>
      <c r="O40" s="218">
        <v>115000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 t="s">
        <v>1192</v>
      </c>
      <c r="D41" s="231" t="s">
        <v>1198</v>
      </c>
      <c r="E41" s="215" t="s">
        <v>1207</v>
      </c>
      <c r="F41" s="231" t="s">
        <v>1184</v>
      </c>
      <c r="G41" s="232" t="s">
        <v>1175</v>
      </c>
      <c r="H41" s="215" t="s">
        <v>164</v>
      </c>
      <c r="I41" s="215" t="s">
        <v>165</v>
      </c>
      <c r="J41" s="237" t="s">
        <v>189</v>
      </c>
      <c r="K41" s="215"/>
      <c r="L41" s="234"/>
      <c r="M41" s="234"/>
      <c r="N41" s="234"/>
      <c r="O41" s="220">
        <v>110000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440">
        <v>1004</v>
      </c>
      <c r="C42" s="230" t="s">
        <v>74</v>
      </c>
      <c r="D42" s="231" t="s">
        <v>1119</v>
      </c>
      <c r="E42" s="215"/>
      <c r="F42" s="231" t="s">
        <v>167</v>
      </c>
      <c r="G42" s="232" t="s">
        <v>172</v>
      </c>
      <c r="H42" s="215" t="s">
        <v>164</v>
      </c>
      <c r="I42" s="215" t="s">
        <v>165</v>
      </c>
      <c r="J42" s="237" t="s">
        <v>190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440">
        <v>1206</v>
      </c>
      <c r="C43" s="230" t="s">
        <v>81</v>
      </c>
      <c r="D43" s="231" t="s">
        <v>999</v>
      </c>
      <c r="E43" s="215"/>
      <c r="F43" s="231" t="s">
        <v>160</v>
      </c>
      <c r="G43" s="232" t="s">
        <v>174</v>
      </c>
      <c r="H43" s="215" t="s">
        <v>164</v>
      </c>
      <c r="I43" s="215" t="s">
        <v>165</v>
      </c>
      <c r="J43" s="237" t="s">
        <v>189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440">
        <v>805</v>
      </c>
      <c r="C44" s="230" t="s">
        <v>925</v>
      </c>
      <c r="D44" s="231" t="s">
        <v>926</v>
      </c>
      <c r="E44" s="215" t="s">
        <v>318</v>
      </c>
      <c r="F44" s="231" t="s">
        <v>167</v>
      </c>
      <c r="G44" s="232" t="s">
        <v>893</v>
      </c>
      <c r="H44" s="215" t="s">
        <v>164</v>
      </c>
      <c r="I44" s="215" t="s">
        <v>165</v>
      </c>
      <c r="J44" s="233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440">
        <v>1208</v>
      </c>
      <c r="C45" s="230" t="s">
        <v>693</v>
      </c>
      <c r="D45" s="231" t="s">
        <v>902</v>
      </c>
      <c r="E45" s="215"/>
      <c r="F45" s="231" t="s">
        <v>55</v>
      </c>
      <c r="G45" s="232" t="s">
        <v>906</v>
      </c>
      <c r="H45" s="215" t="s">
        <v>164</v>
      </c>
      <c r="I45" s="215" t="s">
        <v>165</v>
      </c>
      <c r="J45" s="233" t="s">
        <v>713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31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440">
        <v>406</v>
      </c>
      <c r="C46" s="230" t="s">
        <v>686</v>
      </c>
      <c r="D46" s="231" t="s">
        <v>797</v>
      </c>
      <c r="E46" s="215"/>
      <c r="F46" s="231" t="s">
        <v>751</v>
      </c>
      <c r="G46" s="232" t="s">
        <v>743</v>
      </c>
      <c r="H46" s="215" t="s">
        <v>164</v>
      </c>
      <c r="I46" s="215" t="s">
        <v>165</v>
      </c>
      <c r="J46" s="233" t="s">
        <v>733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440">
        <v>906</v>
      </c>
      <c r="C47" s="230" t="s">
        <v>686</v>
      </c>
      <c r="D47" s="231" t="s">
        <v>792</v>
      </c>
      <c r="E47" s="215"/>
      <c r="F47" s="231" t="s">
        <v>751</v>
      </c>
      <c r="G47" s="331" t="s">
        <v>174</v>
      </c>
      <c r="H47" s="215" t="s">
        <v>164</v>
      </c>
      <c r="I47" s="215" t="s">
        <v>165</v>
      </c>
      <c r="J47" s="368" t="s">
        <v>247</v>
      </c>
      <c r="K47" s="217"/>
      <c r="L47" s="254"/>
      <c r="M47" s="254"/>
      <c r="N47" s="254"/>
      <c r="O47" s="224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440">
        <v>309</v>
      </c>
      <c r="C48" s="230" t="s">
        <v>52</v>
      </c>
      <c r="D48" s="231" t="s">
        <v>656</v>
      </c>
      <c r="E48" s="215"/>
      <c r="F48" s="231" t="s">
        <v>55</v>
      </c>
      <c r="G48" s="232" t="s">
        <v>563</v>
      </c>
      <c r="H48" s="215" t="s">
        <v>164</v>
      </c>
      <c r="I48" s="215" t="s">
        <v>165</v>
      </c>
      <c r="J48" s="233" t="s">
        <v>189</v>
      </c>
      <c r="K48" s="217"/>
      <c r="L48" s="254"/>
      <c r="M48" s="254"/>
      <c r="N48" s="254"/>
      <c r="O48" s="224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484">
        <v>307</v>
      </c>
      <c r="C49" s="285" t="s">
        <v>70</v>
      </c>
      <c r="D49" s="275" t="s">
        <v>537</v>
      </c>
      <c r="E49" s="276"/>
      <c r="F49" s="275" t="s">
        <v>55</v>
      </c>
      <c r="G49" s="277" t="s">
        <v>172</v>
      </c>
      <c r="H49" s="276" t="s">
        <v>164</v>
      </c>
      <c r="I49" s="276" t="s">
        <v>165</v>
      </c>
      <c r="J49" s="276" t="s">
        <v>247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6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362"/>
      <c r="C50" s="255"/>
      <c r="D50" s="265"/>
      <c r="E50" s="266"/>
      <c r="F50" s="265"/>
      <c r="G50" s="267"/>
      <c r="H50" s="266"/>
      <c r="I50" s="266"/>
      <c r="J50" s="269"/>
      <c r="K50" s="266"/>
      <c r="L50" s="257"/>
      <c r="M50" s="257"/>
      <c r="N50" s="257"/>
      <c r="O50" s="223"/>
      <c r="P50" s="268">
        <v>43</v>
      </c>
      <c r="Q50" s="264"/>
      <c r="R50" s="255"/>
      <c r="S50" s="266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363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8</v>
      </c>
      <c r="BB54" s="681"/>
      <c r="BC54" s="679">
        <f>AZ24</f>
        <v>16000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8</v>
      </c>
      <c r="BB55" s="681"/>
      <c r="BC55" s="679">
        <f>SUM(BC53:BE54)</f>
        <v>16000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30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30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11</v>
      </c>
      <c r="AQ60" s="56">
        <f>SUMIF($C$8:$C$72, $AK60, $L$8:$L$72)+SUMIF($C$8:$C$72, $AK60, $M$8:$M$72)+SUMIF($C$8:$C$72, $AK60, $N$8:$N$72)+SUMIF($C$8:$C$72, $AK60, $O$8:$O$72)</f>
        <v>760000</v>
      </c>
      <c r="AR60" s="57">
        <f>AQ60*0.9</f>
        <v>684000</v>
      </c>
      <c r="AS60" s="58">
        <f t="shared" ref="AS60:AS70" si="4">SUM(AN60+AQ60)</f>
        <v>760000</v>
      </c>
      <c r="AT60" s="59">
        <f t="shared" ref="AT60:AT70" si="5">AO60+AR60</f>
        <v>684000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7</v>
      </c>
      <c r="AQ61" s="56">
        <f t="shared" ref="AQ61:AQ70" si="8">SUMIF($C$8:$C$72, $AK61, $L$8:$L$72)+SUMIF($C$8:$C$72, $AK61, $M$8:$M$72)+SUMIF($C$8:$C$72, $AK61, $N$8:$N$72)+SUMIF($C$8:$C$72, $AK61, $O$8:$O$72)</f>
        <v>700000</v>
      </c>
      <c r="AR61" s="57">
        <f t="shared" ref="AR61:AR70" si="9">AQ61*0.9</f>
        <v>630000</v>
      </c>
      <c r="AS61" s="58">
        <f t="shared" si="4"/>
        <v>700000</v>
      </c>
      <c r="AT61" s="59">
        <f t="shared" si="5"/>
        <v>630000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5</v>
      </c>
      <c r="AQ62" s="56">
        <f t="shared" si="8"/>
        <v>1877800</v>
      </c>
      <c r="AR62" s="57">
        <f t="shared" si="9"/>
        <v>1690020</v>
      </c>
      <c r="AS62" s="58">
        <f t="shared" si="4"/>
        <v>1877800</v>
      </c>
      <c r="AT62" s="59">
        <f t="shared" si="5"/>
        <v>1690020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8</v>
      </c>
      <c r="AQ66" s="56">
        <f t="shared" si="8"/>
        <v>940350</v>
      </c>
      <c r="AR66" s="57">
        <f t="shared" si="9"/>
        <v>846315</v>
      </c>
      <c r="AS66" s="58">
        <f t="shared" si="4"/>
        <v>940350</v>
      </c>
      <c r="AT66" s="59">
        <f t="shared" si="5"/>
        <v>846315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2</v>
      </c>
      <c r="AQ67" s="56">
        <f t="shared" si="8"/>
        <v>218300</v>
      </c>
      <c r="AR67" s="57">
        <f t="shared" si="9"/>
        <v>196470</v>
      </c>
      <c r="AS67" s="58">
        <f t="shared" si="4"/>
        <v>218300</v>
      </c>
      <c r="AT67" s="59">
        <f t="shared" si="5"/>
        <v>196470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43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126438</v>
      </c>
      <c r="AR68" s="57">
        <f t="shared" si="9"/>
        <v>113794.2</v>
      </c>
      <c r="AS68" s="58">
        <f t="shared" si="4"/>
        <v>126438</v>
      </c>
      <c r="AT68" s="59">
        <f t="shared" si="5"/>
        <v>113794.2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5304888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1</v>
      </c>
      <c r="AQ69" s="56">
        <f t="shared" si="8"/>
        <v>99000</v>
      </c>
      <c r="AR69" s="57">
        <f t="shared" si="9"/>
        <v>89100</v>
      </c>
      <c r="AS69" s="58">
        <f t="shared" si="4"/>
        <v>99000</v>
      </c>
      <c r="AT69" s="59">
        <f t="shared" si="5"/>
        <v>89100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4</v>
      </c>
      <c r="AQ70" s="56">
        <f t="shared" si="8"/>
        <v>583000</v>
      </c>
      <c r="AR70" s="57">
        <f t="shared" si="9"/>
        <v>524700</v>
      </c>
      <c r="AS70" s="58">
        <f t="shared" si="4"/>
        <v>583000</v>
      </c>
      <c r="AT70" s="59">
        <f t="shared" si="5"/>
        <v>524700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16000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5625888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40</v>
      </c>
      <c r="AQ73" s="22">
        <f t="shared" si="10"/>
        <v>5304888</v>
      </c>
      <c r="AR73" s="23">
        <f t="shared" si="10"/>
        <v>4774399.2</v>
      </c>
      <c r="AS73" s="24">
        <f t="shared" si="10"/>
        <v>5304888</v>
      </c>
      <c r="AT73" s="25">
        <f t="shared" si="10"/>
        <v>4774399.2</v>
      </c>
      <c r="AU73" s="692" t="s">
        <v>58</v>
      </c>
      <c r="AV73" s="693"/>
      <c r="AW73" s="693"/>
      <c r="AX73" s="693"/>
      <c r="AY73" s="694"/>
      <c r="AZ73" s="695">
        <f>AS58+AT73</f>
        <v>4774399.2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72:AL72"/>
    <mergeCell ref="AU72:AY72"/>
    <mergeCell ref="AZ72:BE72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K61:AL61"/>
    <mergeCell ref="AW61:BA61"/>
    <mergeCell ref="AZ67:BB67"/>
    <mergeCell ref="BB64:BE64"/>
    <mergeCell ref="AK65:AL65"/>
    <mergeCell ref="AW65:BA65"/>
    <mergeCell ref="BB65:BE65"/>
    <mergeCell ref="AK66:AL66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A4:M4"/>
    <mergeCell ref="P4:AE4"/>
    <mergeCell ref="AL4:AP4"/>
    <mergeCell ref="AA1:AG1"/>
    <mergeCell ref="AI1:BE1"/>
    <mergeCell ref="AB2:AG2"/>
    <mergeCell ref="AI2:AK2"/>
    <mergeCell ref="AL2:AO2"/>
    <mergeCell ref="AP2:AR2"/>
    <mergeCell ref="H3:L3"/>
    <mergeCell ref="N3:O3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</mergeCells>
  <phoneticPr fontId="2" type="noConversion"/>
  <conditionalFormatting sqref="C8:C68">
    <cfRule type="cellIs" dxfId="155" priority="1" operator="equal">
      <formula>"여기어때"</formula>
    </cfRule>
    <cfRule type="cellIs" dxfId="154" priority="2" operator="equal">
      <formula>"야놀자"</formula>
    </cfRule>
  </conditionalFormatting>
  <conditionalFormatting sqref="R8:R66">
    <cfRule type="cellIs" dxfId="153" priority="21" operator="equal">
      <formula>"여기어때"</formula>
    </cfRule>
    <cfRule type="cellIs" dxfId="152" priority="22" operator="equal">
      <formula>"야놀자"</formula>
    </cfRule>
  </conditionalFormatting>
  <conditionalFormatting sqref="R73">
    <cfRule type="cellIs" dxfId="151" priority="427" operator="equal">
      <formula>"여기어때"</formula>
    </cfRule>
    <cfRule type="cellIs" dxfId="150" priority="428" operator="equal">
      <formula>"야놀자"</formula>
    </cfRule>
  </conditionalFormatting>
  <conditionalFormatting sqref="AL30:AM30">
    <cfRule type="cellIs" dxfId="149" priority="412" operator="greaterThan">
      <formula>$AL$29</formula>
    </cfRule>
    <cfRule type="cellIs" dxfId="148" priority="420" operator="equal">
      <formula>$AL$29</formula>
    </cfRule>
  </conditionalFormatting>
  <conditionalFormatting sqref="AN30:AO30">
    <cfRule type="cellIs" dxfId="147" priority="411" operator="greaterThan">
      <formula>$AN$29</formula>
    </cfRule>
    <cfRule type="cellIs" dxfId="146" priority="419" operator="equal">
      <formula>$AN$29</formula>
    </cfRule>
  </conditionalFormatting>
  <conditionalFormatting sqref="AP30:AQ30">
    <cfRule type="cellIs" dxfId="145" priority="410" operator="greaterThan">
      <formula>$AP$29</formula>
    </cfRule>
    <cfRule type="cellIs" dxfId="144" priority="418" operator="equal">
      <formula>$AP$29</formula>
    </cfRule>
  </conditionalFormatting>
  <conditionalFormatting sqref="AR30">
    <cfRule type="cellIs" dxfId="143" priority="409" operator="greaterThan">
      <formula>$AR$29</formula>
    </cfRule>
    <cfRule type="cellIs" dxfId="142" priority="417" operator="equal">
      <formula>$AR$29</formula>
    </cfRule>
  </conditionalFormatting>
  <conditionalFormatting sqref="AS30:AT30">
    <cfRule type="cellIs" dxfId="141" priority="408" operator="greaterThan">
      <formula>$AS$29</formula>
    </cfRule>
    <cfRule type="cellIs" dxfId="140" priority="416" operator="equal">
      <formula>$AS$29</formula>
    </cfRule>
  </conditionalFormatting>
  <conditionalFormatting sqref="AU30:AV30">
    <cfRule type="cellIs" dxfId="139" priority="407" operator="greaterThan">
      <formula>$AU$29</formula>
    </cfRule>
    <cfRule type="cellIs" dxfId="138" priority="415" operator="equal">
      <formula>$AU$29</formula>
    </cfRule>
  </conditionalFormatting>
  <conditionalFormatting sqref="AW30">
    <cfRule type="cellIs" dxfId="137" priority="406" operator="greaterThan">
      <formula>$AW$29</formula>
    </cfRule>
    <cfRule type="cellIs" dxfId="136" priority="414" operator="equal">
      <formula>$AW$29</formula>
    </cfRule>
  </conditionalFormatting>
  <conditionalFormatting sqref="AX30:AY30">
    <cfRule type="cellIs" dxfId="135" priority="405" operator="greaterThan">
      <formula>$AX$29</formula>
    </cfRule>
    <cfRule type="cellIs" dxfId="134" priority="413" operator="equal">
      <formula>$AX$29</formula>
    </cfRule>
  </conditionalFormatting>
  <dataValidations count="1">
    <dataValidation type="list" allowBlank="1" showInputMessage="1" showErrorMessage="1" sqref="A8:A67 C69:C73 C75:C76 P8:P67" xr:uid="{16F49759-0BE9-426A-9AA5-895E245BA405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1E01-AE3F-4786-91D7-E0E2E6C34529}">
  <sheetPr codeName="Sheet27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8" activePane="bottomLeft" state="frozen"/>
      <selection activeCell="C8" sqref="C8"/>
      <selection pane="bottomLeft" activeCell="U24" sqref="U24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45927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4241102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42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421500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'27'!AA1</f>
        <v>45927</v>
      </c>
      <c r="AM2" s="863"/>
      <c r="AN2" s="863"/>
      <c r="AO2" s="864"/>
      <c r="AP2" s="865" t="s">
        <v>10</v>
      </c>
      <c r="AQ2" s="866"/>
      <c r="AR2" s="866"/>
      <c r="AS2" s="863">
        <f>AA1+1</f>
        <v>45928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4241102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421500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9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0</v>
      </c>
      <c r="F6" s="356">
        <f>AR31</f>
        <v>0</v>
      </c>
      <c r="G6" s="356">
        <f>AS31</f>
        <v>0</v>
      </c>
      <c r="H6" s="356">
        <f>AU31</f>
        <v>0</v>
      </c>
      <c r="I6" s="356">
        <f>AW31</f>
        <v>0</v>
      </c>
      <c r="J6" s="356">
        <f>AX31</f>
        <v>0</v>
      </c>
      <c r="K6" s="606"/>
      <c r="L6" s="607"/>
      <c r="M6" s="356"/>
      <c r="N6" s="606">
        <f>C6+D6+E6+F6+G6+H6+I6+J6+K6</f>
        <v>0</v>
      </c>
      <c r="O6" s="602"/>
      <c r="P6" s="599">
        <f>C2</f>
        <v>4241102</v>
      </c>
      <c r="Q6" s="600"/>
      <c r="R6" s="300">
        <f>AN14+AN15</f>
        <v>0</v>
      </c>
      <c r="S6" s="300">
        <f>AZ14+AZ15</f>
        <v>0</v>
      </c>
      <c r="T6" s="300">
        <f>AR14+AR15</f>
        <v>8000</v>
      </c>
      <c r="U6" s="609">
        <f>AS60</f>
        <v>1390000</v>
      </c>
      <c r="V6" s="600"/>
      <c r="W6" s="609">
        <f>AS61</f>
        <v>395000</v>
      </c>
      <c r="X6" s="600"/>
      <c r="Y6" s="609">
        <f>AS62</f>
        <v>615000</v>
      </c>
      <c r="Z6" s="600"/>
      <c r="AA6" s="300">
        <f>AS63</f>
        <v>0</v>
      </c>
      <c r="AB6" s="300">
        <f>AS66</f>
        <v>528000</v>
      </c>
      <c r="AC6" s="300">
        <f>AS67</f>
        <v>241027</v>
      </c>
      <c r="AD6" s="300">
        <f>SUMIFS(O7:O47,C7:C47,"트립")</f>
        <v>475575</v>
      </c>
      <c r="AE6" s="300">
        <f>AS65</f>
        <v>0</v>
      </c>
      <c r="AF6" s="300">
        <f>AS69</f>
        <v>308000</v>
      </c>
      <c r="AG6" s="300">
        <f>AS70</f>
        <v>280500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307</v>
      </c>
      <c r="C8" s="230" t="s">
        <v>170</v>
      </c>
      <c r="D8" s="231" t="s">
        <v>224</v>
      </c>
      <c r="E8" s="215"/>
      <c r="F8" s="231" t="s">
        <v>55</v>
      </c>
      <c r="G8" s="232" t="s">
        <v>163</v>
      </c>
      <c r="H8" s="215" t="s">
        <v>164</v>
      </c>
      <c r="I8" s="215" t="s">
        <v>165</v>
      </c>
      <c r="J8" s="233" t="s">
        <v>189</v>
      </c>
      <c r="K8" s="215"/>
      <c r="L8" s="234"/>
      <c r="M8" s="234"/>
      <c r="N8" s="234"/>
      <c r="O8" s="218">
        <v>141100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809</v>
      </c>
      <c r="C9" s="230" t="s">
        <v>170</v>
      </c>
      <c r="D9" s="231" t="s">
        <v>225</v>
      </c>
      <c r="E9" s="215" t="s">
        <v>714</v>
      </c>
      <c r="F9" s="231" t="s">
        <v>167</v>
      </c>
      <c r="G9" s="232" t="s">
        <v>163</v>
      </c>
      <c r="H9" s="215" t="s">
        <v>164</v>
      </c>
      <c r="I9" s="215" t="s">
        <v>165</v>
      </c>
      <c r="J9" s="233" t="s">
        <v>189</v>
      </c>
      <c r="K9" s="215"/>
      <c r="L9" s="234"/>
      <c r="M9" s="234"/>
      <c r="N9" s="234"/>
      <c r="O9" s="219">
        <v>141100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409</v>
      </c>
      <c r="C10" s="230" t="s">
        <v>245</v>
      </c>
      <c r="D10" s="231" t="s">
        <v>246</v>
      </c>
      <c r="E10" s="215" t="s">
        <v>714</v>
      </c>
      <c r="F10" s="231" t="s">
        <v>167</v>
      </c>
      <c r="G10" s="232" t="s">
        <v>163</v>
      </c>
      <c r="H10" s="215" t="s">
        <v>164</v>
      </c>
      <c r="I10" s="215" t="s">
        <v>165</v>
      </c>
      <c r="J10" s="233" t="s">
        <v>247</v>
      </c>
      <c r="K10" s="215"/>
      <c r="L10" s="234"/>
      <c r="M10" s="234"/>
      <c r="N10" s="234"/>
      <c r="O10" s="218">
        <v>125000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42</v>
      </c>
      <c r="AU10" s="625"/>
      <c r="AV10" s="625">
        <f>SUM(O8:O67)</f>
        <v>4233102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42</v>
      </c>
      <c r="BC10" s="799"/>
      <c r="BD10" s="800">
        <f>SUM(AN10+AR10+AV10+AZ10)</f>
        <v>4233102</v>
      </c>
      <c r="BE10" s="801"/>
    </row>
    <row r="11" spans="1:58" ht="64.5" customHeight="1" x14ac:dyDescent="0.3">
      <c r="A11" s="228">
        <v>4</v>
      </c>
      <c r="B11" s="229">
        <v>701</v>
      </c>
      <c r="C11" s="230" t="s">
        <v>74</v>
      </c>
      <c r="D11" s="304" t="s">
        <v>293</v>
      </c>
      <c r="E11" s="215" t="s">
        <v>1208</v>
      </c>
      <c r="F11" s="304" t="s">
        <v>294</v>
      </c>
      <c r="G11" s="232" t="s">
        <v>283</v>
      </c>
      <c r="H11" s="215" t="s">
        <v>164</v>
      </c>
      <c r="I11" s="215" t="s">
        <v>165</v>
      </c>
      <c r="J11" s="233" t="s">
        <v>189</v>
      </c>
      <c r="K11" s="215"/>
      <c r="L11" s="234"/>
      <c r="M11" s="234"/>
      <c r="N11" s="234"/>
      <c r="O11" s="218">
        <v>140000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406</v>
      </c>
      <c r="C12" s="230" t="s">
        <v>298</v>
      </c>
      <c r="D12" s="231" t="s">
        <v>405</v>
      </c>
      <c r="E12" s="215" t="s">
        <v>1145</v>
      </c>
      <c r="F12" s="231" t="s">
        <v>168</v>
      </c>
      <c r="G12" s="232" t="s">
        <v>163</v>
      </c>
      <c r="H12" s="215" t="s">
        <v>164</v>
      </c>
      <c r="I12" s="215" t="s">
        <v>165</v>
      </c>
      <c r="J12" s="233" t="s">
        <v>247</v>
      </c>
      <c r="K12" s="215"/>
      <c r="L12" s="234"/>
      <c r="M12" s="234"/>
      <c r="N12" s="234"/>
      <c r="O12" s="218">
        <v>118241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1111</v>
      </c>
      <c r="C13" s="230" t="s">
        <v>74</v>
      </c>
      <c r="D13" s="231" t="s">
        <v>626</v>
      </c>
      <c r="E13" s="215" t="s">
        <v>166</v>
      </c>
      <c r="F13" s="231" t="s">
        <v>690</v>
      </c>
      <c r="G13" s="232" t="s">
        <v>163</v>
      </c>
      <c r="H13" s="215" t="s">
        <v>164</v>
      </c>
      <c r="I13" s="215" t="s">
        <v>165</v>
      </c>
      <c r="J13" s="233" t="s">
        <v>189</v>
      </c>
      <c r="K13" s="215"/>
      <c r="L13" s="234"/>
      <c r="M13" s="234"/>
      <c r="N13" s="234"/>
      <c r="O13" s="218">
        <v>120000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609</v>
      </c>
      <c r="C14" s="230" t="s">
        <v>686</v>
      </c>
      <c r="D14" s="231" t="s">
        <v>801</v>
      </c>
      <c r="E14" s="215" t="s">
        <v>318</v>
      </c>
      <c r="F14" s="231" t="s">
        <v>692</v>
      </c>
      <c r="G14" s="232" t="s">
        <v>688</v>
      </c>
      <c r="H14" s="215" t="s">
        <v>164</v>
      </c>
      <c r="I14" s="215" t="s">
        <v>165</v>
      </c>
      <c r="J14" s="233" t="s">
        <v>189</v>
      </c>
      <c r="K14" s="215"/>
      <c r="L14" s="234"/>
      <c r="M14" s="234"/>
      <c r="N14" s="234"/>
      <c r="O14" s="218">
        <v>125000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42</v>
      </c>
      <c r="AU14" s="653"/>
      <c r="AV14" s="653">
        <f>SUM(AV10:AW13)</f>
        <v>4233102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42</v>
      </c>
      <c r="BC14" s="655"/>
      <c r="BD14" s="782">
        <f>SUM(BD10:BE13)</f>
        <v>4233102</v>
      </c>
      <c r="BE14" s="783"/>
    </row>
    <row r="15" spans="1:58" ht="64.5" customHeight="1" thickBot="1" x14ac:dyDescent="0.35">
      <c r="A15" s="228">
        <v>8</v>
      </c>
      <c r="B15" s="229">
        <v>1011</v>
      </c>
      <c r="C15" s="230" t="s">
        <v>693</v>
      </c>
      <c r="D15" s="231" t="s">
        <v>804</v>
      </c>
      <c r="E15" s="215"/>
      <c r="F15" s="231" t="s">
        <v>158</v>
      </c>
      <c r="G15" s="232" t="s">
        <v>688</v>
      </c>
      <c r="H15" s="215" t="s">
        <v>164</v>
      </c>
      <c r="I15" s="215" t="s">
        <v>165</v>
      </c>
      <c r="J15" s="233" t="s">
        <v>713</v>
      </c>
      <c r="K15" s="215" t="s">
        <v>1196</v>
      </c>
      <c r="L15" s="234"/>
      <c r="M15" s="234"/>
      <c r="N15" s="234"/>
      <c r="O15" s="218">
        <v>127500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4</v>
      </c>
      <c r="AQ15" s="633"/>
      <c r="AR15" s="632">
        <f>AR24</f>
        <v>8000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4</v>
      </c>
      <c r="BC15" s="633"/>
      <c r="BD15" s="776">
        <f>SUM(AN15+AR15+AV15+AZ15)</f>
        <v>8000</v>
      </c>
      <c r="BE15" s="777"/>
    </row>
    <row r="16" spans="1:58" ht="64.5" customHeight="1" thickBot="1" x14ac:dyDescent="0.35">
      <c r="A16" s="228">
        <v>9</v>
      </c>
      <c r="B16" s="229">
        <v>702</v>
      </c>
      <c r="C16" s="230" t="s">
        <v>707</v>
      </c>
      <c r="D16" s="231" t="s">
        <v>826</v>
      </c>
      <c r="E16" s="215"/>
      <c r="F16" s="231" t="s">
        <v>751</v>
      </c>
      <c r="G16" s="232" t="s">
        <v>688</v>
      </c>
      <c r="H16" s="215" t="s">
        <v>164</v>
      </c>
      <c r="I16" s="215" t="s">
        <v>165</v>
      </c>
      <c r="J16" s="233" t="s">
        <v>189</v>
      </c>
      <c r="K16" s="215"/>
      <c r="L16" s="234"/>
      <c r="M16" s="234"/>
      <c r="N16" s="234"/>
      <c r="O16" s="218">
        <v>122786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4241102</v>
      </c>
      <c r="BE16" s="652"/>
      <c r="BF16" s="10"/>
    </row>
    <row r="17" spans="1:62" ht="64.5" customHeight="1" thickBot="1" x14ac:dyDescent="0.35">
      <c r="A17" s="228">
        <v>10</v>
      </c>
      <c r="B17" s="229">
        <v>305</v>
      </c>
      <c r="C17" s="318" t="s">
        <v>693</v>
      </c>
      <c r="D17" s="360" t="s">
        <v>836</v>
      </c>
      <c r="E17" s="217"/>
      <c r="F17" s="251" t="s">
        <v>55</v>
      </c>
      <c r="G17" s="331" t="s">
        <v>688</v>
      </c>
      <c r="H17" s="217" t="s">
        <v>164</v>
      </c>
      <c r="I17" s="217" t="s">
        <v>165</v>
      </c>
      <c r="J17" s="368" t="s">
        <v>713</v>
      </c>
      <c r="K17" s="367"/>
      <c r="L17" s="254"/>
      <c r="M17" s="254"/>
      <c r="N17" s="234"/>
      <c r="O17" s="218">
        <v>127500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705</v>
      </c>
      <c r="C18" s="318" t="s">
        <v>702</v>
      </c>
      <c r="D18" s="360" t="s">
        <v>861</v>
      </c>
      <c r="E18" s="217"/>
      <c r="F18" s="360" t="s">
        <v>751</v>
      </c>
      <c r="G18" s="331" t="s">
        <v>688</v>
      </c>
      <c r="H18" s="217" t="s">
        <v>164</v>
      </c>
      <c r="I18" s="217" t="s">
        <v>165</v>
      </c>
      <c r="J18" s="368" t="s">
        <v>189</v>
      </c>
      <c r="K18" s="217"/>
      <c r="L18" s="254"/>
      <c r="M18" s="254"/>
      <c r="N18" s="234"/>
      <c r="O18" s="218">
        <v>148500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902</v>
      </c>
      <c r="C19" s="230" t="s">
        <v>730</v>
      </c>
      <c r="D19" s="304" t="s">
        <v>876</v>
      </c>
      <c r="E19" s="215" t="s">
        <v>714</v>
      </c>
      <c r="F19" s="304" t="s">
        <v>692</v>
      </c>
      <c r="G19" s="232" t="s">
        <v>688</v>
      </c>
      <c r="H19" s="215" t="s">
        <v>164</v>
      </c>
      <c r="I19" s="215" t="s">
        <v>165</v>
      </c>
      <c r="J19" s="233" t="s">
        <v>713</v>
      </c>
      <c r="K19" s="215"/>
      <c r="L19" s="234"/>
      <c r="M19" s="234"/>
      <c r="N19" s="234"/>
      <c r="O19" s="218">
        <v>137500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1214</v>
      </c>
      <c r="C20" s="230" t="s">
        <v>730</v>
      </c>
      <c r="D20" s="231" t="s">
        <v>919</v>
      </c>
      <c r="E20" s="215"/>
      <c r="F20" s="231" t="s">
        <v>696</v>
      </c>
      <c r="G20" s="232" t="s">
        <v>688</v>
      </c>
      <c r="H20" s="215" t="s">
        <v>164</v>
      </c>
      <c r="I20" s="215" t="s">
        <v>165</v>
      </c>
      <c r="J20" s="233" t="s">
        <v>713</v>
      </c>
      <c r="K20" s="215" t="s">
        <v>1196</v>
      </c>
      <c r="L20" s="234"/>
      <c r="M20" s="234"/>
      <c r="N20" s="234"/>
      <c r="O20" s="218">
        <v>143000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4</v>
      </c>
      <c r="AQ20" s="655"/>
      <c r="AR20" s="654">
        <f>AP20*2000</f>
        <v>8000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4</v>
      </c>
      <c r="AY20" s="647"/>
      <c r="AZ20" s="648">
        <f>SUM(AJ20+AN20+AR20+AV20)</f>
        <v>8000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907</v>
      </c>
      <c r="C21" s="230" t="s">
        <v>74</v>
      </c>
      <c r="D21" s="231" t="s">
        <v>921</v>
      </c>
      <c r="E21" s="215"/>
      <c r="F21" s="231" t="s">
        <v>167</v>
      </c>
      <c r="G21" s="232" t="s">
        <v>163</v>
      </c>
      <c r="H21" s="215" t="s">
        <v>164</v>
      </c>
      <c r="I21" s="215" t="s">
        <v>165</v>
      </c>
      <c r="J21" s="233" t="s">
        <v>189</v>
      </c>
      <c r="K21" s="238">
        <v>2</v>
      </c>
      <c r="L21" s="234"/>
      <c r="M21" s="234"/>
      <c r="N21" s="234"/>
      <c r="O21" s="218">
        <v>135000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>
        <v>709</v>
      </c>
      <c r="C22" s="230" t="s">
        <v>74</v>
      </c>
      <c r="D22" s="231" t="s">
        <v>1010</v>
      </c>
      <c r="E22" s="215"/>
      <c r="F22" s="231" t="s">
        <v>168</v>
      </c>
      <c r="G22" s="232" t="s">
        <v>163</v>
      </c>
      <c r="H22" s="215" t="s">
        <v>164</v>
      </c>
      <c r="I22" s="215" t="s">
        <v>165</v>
      </c>
      <c r="J22" s="215" t="s">
        <v>193</v>
      </c>
      <c r="K22" s="215"/>
      <c r="L22" s="234"/>
      <c r="M22" s="234"/>
      <c r="N22" s="234"/>
      <c r="O22" s="218">
        <v>135000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>
        <v>911</v>
      </c>
      <c r="C23" s="230" t="s">
        <v>70</v>
      </c>
      <c r="D23" s="231" t="s">
        <v>989</v>
      </c>
      <c r="E23" s="215"/>
      <c r="F23" s="231" t="s">
        <v>158</v>
      </c>
      <c r="G23" s="232" t="s">
        <v>163</v>
      </c>
      <c r="H23" s="215" t="s">
        <v>164</v>
      </c>
      <c r="I23" s="215" t="s">
        <v>165</v>
      </c>
      <c r="J23" s="233" t="s">
        <v>189</v>
      </c>
      <c r="K23" s="215"/>
      <c r="L23" s="234"/>
      <c r="M23" s="234"/>
      <c r="N23" s="234"/>
      <c r="O23" s="218">
        <v>131250</v>
      </c>
      <c r="P23" s="228">
        <v>16</v>
      </c>
      <c r="Q23" s="229"/>
      <c r="R23" s="230"/>
      <c r="S23" s="231"/>
      <c r="T23" s="215"/>
      <c r="U23" s="231"/>
      <c r="V23" s="232"/>
      <c r="W23" s="215"/>
      <c r="X23" s="215"/>
      <c r="Y23" s="233"/>
      <c r="Z23" s="215"/>
      <c r="AA23" s="234"/>
      <c r="AB23" s="234"/>
      <c r="AC23" s="234"/>
      <c r="AD23" s="234"/>
      <c r="AE23" s="521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>
        <v>715</v>
      </c>
      <c r="C24" s="318" t="s">
        <v>170</v>
      </c>
      <c r="D24" s="251" t="s">
        <v>1005</v>
      </c>
      <c r="E24" s="217"/>
      <c r="F24" s="251" t="s">
        <v>159</v>
      </c>
      <c r="G24" s="331" t="s">
        <v>163</v>
      </c>
      <c r="H24" s="217" t="s">
        <v>164</v>
      </c>
      <c r="I24" s="217" t="s">
        <v>165</v>
      </c>
      <c r="J24" s="369" t="s">
        <v>247</v>
      </c>
      <c r="K24" s="367"/>
      <c r="L24" s="254"/>
      <c r="M24" s="254"/>
      <c r="N24" s="234"/>
      <c r="O24" s="218">
        <v>193375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4</v>
      </c>
      <c r="AQ24" s="655"/>
      <c r="AR24" s="654">
        <f>SUM(AR20:AS23)</f>
        <v>8000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4</v>
      </c>
      <c r="AY24" s="647"/>
      <c r="AZ24" s="648">
        <f>SUM(AZ20:BA23)</f>
        <v>8000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>
        <v>1004</v>
      </c>
      <c r="C25" s="230" t="s">
        <v>70</v>
      </c>
      <c r="D25" s="231" t="s">
        <v>1056</v>
      </c>
      <c r="E25" s="215"/>
      <c r="F25" s="231" t="s">
        <v>167</v>
      </c>
      <c r="G25" s="232" t="s">
        <v>163</v>
      </c>
      <c r="H25" s="215" t="s">
        <v>164</v>
      </c>
      <c r="I25" s="215" t="s">
        <v>165</v>
      </c>
      <c r="J25" s="237" t="s">
        <v>247</v>
      </c>
      <c r="K25" s="238"/>
      <c r="L25" s="234"/>
      <c r="M25" s="234"/>
      <c r="N25" s="234"/>
      <c r="O25" s="218">
        <v>141750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>
        <v>811</v>
      </c>
      <c r="C26" s="230" t="s">
        <v>74</v>
      </c>
      <c r="D26" s="251" t="s">
        <v>1076</v>
      </c>
      <c r="E26" s="217" t="s">
        <v>166</v>
      </c>
      <c r="F26" s="251" t="s">
        <v>158</v>
      </c>
      <c r="G26" s="331" t="s">
        <v>163</v>
      </c>
      <c r="H26" s="217" t="s">
        <v>164</v>
      </c>
      <c r="I26" s="217" t="s">
        <v>165</v>
      </c>
      <c r="J26" s="368" t="s">
        <v>189</v>
      </c>
      <c r="K26" s="217"/>
      <c r="L26" s="254"/>
      <c r="M26" s="254"/>
      <c r="N26" s="234"/>
      <c r="O26" s="218">
        <v>120000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>
        <v>501</v>
      </c>
      <c r="C27" s="230" t="s">
        <v>74</v>
      </c>
      <c r="D27" s="231" t="s">
        <v>1088</v>
      </c>
      <c r="E27" s="215"/>
      <c r="F27" s="231" t="s">
        <v>161</v>
      </c>
      <c r="G27" s="232" t="s">
        <v>163</v>
      </c>
      <c r="H27" s="215" t="s">
        <v>164</v>
      </c>
      <c r="I27" s="215" t="s">
        <v>165</v>
      </c>
      <c r="J27" s="233" t="s">
        <v>189</v>
      </c>
      <c r="K27" s="215" t="s">
        <v>1196</v>
      </c>
      <c r="L27" s="234"/>
      <c r="M27" s="234"/>
      <c r="N27" s="234"/>
      <c r="O27" s="218">
        <v>150000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>
        <v>401</v>
      </c>
      <c r="C28" s="230" t="s">
        <v>73</v>
      </c>
      <c r="D28" s="251" t="s">
        <v>1100</v>
      </c>
      <c r="E28" s="217"/>
      <c r="F28" s="251" t="s">
        <v>161</v>
      </c>
      <c r="G28" s="331" t="s">
        <v>163</v>
      </c>
      <c r="H28" s="217" t="s">
        <v>164</v>
      </c>
      <c r="I28" s="217" t="s">
        <v>165</v>
      </c>
      <c r="J28" s="368" t="s">
        <v>190</v>
      </c>
      <c r="K28" s="217"/>
      <c r="L28" s="254"/>
      <c r="M28" s="254"/>
      <c r="N28" s="254"/>
      <c r="O28" s="224">
        <v>120000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>
        <v>713</v>
      </c>
      <c r="C29" s="230" t="s">
        <v>74</v>
      </c>
      <c r="D29" s="251" t="s">
        <v>1113</v>
      </c>
      <c r="E29" s="217" t="s">
        <v>363</v>
      </c>
      <c r="F29" s="251" t="s">
        <v>159</v>
      </c>
      <c r="G29" s="331" t="s">
        <v>163</v>
      </c>
      <c r="H29" s="217" t="s">
        <v>164</v>
      </c>
      <c r="I29" s="217" t="s">
        <v>165</v>
      </c>
      <c r="J29" s="369" t="s">
        <v>247</v>
      </c>
      <c r="K29" s="217"/>
      <c r="L29" s="254"/>
      <c r="M29" s="234"/>
      <c r="N29" s="234"/>
      <c r="O29" s="218">
        <v>145000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>
        <v>1110</v>
      </c>
      <c r="C30" s="230" t="s">
        <v>74</v>
      </c>
      <c r="D30" s="251" t="s">
        <v>1114</v>
      </c>
      <c r="E30" s="217"/>
      <c r="F30" s="251" t="s">
        <v>161</v>
      </c>
      <c r="G30" s="331" t="s">
        <v>163</v>
      </c>
      <c r="H30" s="217" t="s">
        <v>164</v>
      </c>
      <c r="I30" s="217" t="s">
        <v>165</v>
      </c>
      <c r="J30" s="369" t="s">
        <v>247</v>
      </c>
      <c r="K30" s="367"/>
      <c r="L30" s="254"/>
      <c r="M30" s="234"/>
      <c r="N30" s="234"/>
      <c r="O30" s="218">
        <v>160000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10</v>
      </c>
      <c r="AQ30" s="830"/>
      <c r="AR30" s="323">
        <f>COUNTIF(F8:F67,"aD")</f>
        <v>2</v>
      </c>
      <c r="AS30" s="830">
        <f>COUNTIF(F8:F67,"sd")</f>
        <v>11</v>
      </c>
      <c r="AT30" s="830"/>
      <c r="AU30" s="830">
        <f>COUNTIF(F8:F67,"st")</f>
        <v>5</v>
      </c>
      <c r="AV30" s="830"/>
      <c r="AW30" s="324">
        <f>COUNTIF(F8:F67,"v")</f>
        <v>5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>
        <v>1105</v>
      </c>
      <c r="C31" s="230" t="s">
        <v>73</v>
      </c>
      <c r="D31" s="251" t="s">
        <v>1129</v>
      </c>
      <c r="E31" s="217"/>
      <c r="F31" s="251" t="s">
        <v>160</v>
      </c>
      <c r="G31" s="331" t="s">
        <v>163</v>
      </c>
      <c r="H31" s="217" t="s">
        <v>164</v>
      </c>
      <c r="I31" s="217" t="s">
        <v>165</v>
      </c>
      <c r="J31" s="368" t="s">
        <v>193</v>
      </c>
      <c r="K31" s="217"/>
      <c r="L31" s="254"/>
      <c r="M31" s="234"/>
      <c r="N31" s="234"/>
      <c r="O31" s="218">
        <v>150000</v>
      </c>
      <c r="P31" s="228">
        <v>24</v>
      </c>
      <c r="Q31" s="229"/>
      <c r="R31" s="409"/>
      <c r="S31" s="231"/>
      <c r="T31" s="215"/>
      <c r="U31" s="231"/>
      <c r="V31" s="232"/>
      <c r="W31" s="215"/>
      <c r="X31" s="215"/>
      <c r="Y31" s="233"/>
      <c r="Z31" s="215"/>
      <c r="AA31" s="234"/>
      <c r="AB31" s="234"/>
      <c r="AC31" s="234"/>
      <c r="AD31" s="234"/>
      <c r="AE31" s="521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0</v>
      </c>
      <c r="AQ31" s="817"/>
      <c r="AR31" s="322">
        <f>AR29-AR30</f>
        <v>0</v>
      </c>
      <c r="AS31" s="817">
        <f>AS29-AS30</f>
        <v>0</v>
      </c>
      <c r="AT31" s="817"/>
      <c r="AU31" s="817">
        <f>AU29-AU30</f>
        <v>0</v>
      </c>
      <c r="AV31" s="817"/>
      <c r="AW31" s="322">
        <f>AW29-AW30</f>
        <v>0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>
        <v>1112</v>
      </c>
      <c r="C32" s="230" t="s">
        <v>176</v>
      </c>
      <c r="D32" s="231" t="s">
        <v>1054</v>
      </c>
      <c r="E32" s="215" t="s">
        <v>363</v>
      </c>
      <c r="F32" s="231" t="s">
        <v>159</v>
      </c>
      <c r="G32" s="232" t="s">
        <v>163</v>
      </c>
      <c r="H32" s="215" t="s">
        <v>164</v>
      </c>
      <c r="I32" s="215" t="s">
        <v>165</v>
      </c>
      <c r="J32" s="233" t="s">
        <v>189</v>
      </c>
      <c r="K32" s="238"/>
      <c r="L32" s="234"/>
      <c r="M32" s="234"/>
      <c r="N32" s="234"/>
      <c r="O32" s="218">
        <v>159500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>
        <v>1006</v>
      </c>
      <c r="C33" s="425" t="s">
        <v>1172</v>
      </c>
      <c r="D33" s="426" t="s">
        <v>1197</v>
      </c>
      <c r="E33" s="427"/>
      <c r="F33" s="426" t="s">
        <v>1195</v>
      </c>
      <c r="G33" s="428" t="s">
        <v>1175</v>
      </c>
      <c r="H33" s="427" t="s">
        <v>164</v>
      </c>
      <c r="I33" s="427" t="s">
        <v>165</v>
      </c>
      <c r="J33" s="429" t="s">
        <v>189</v>
      </c>
      <c r="K33" s="427"/>
      <c r="L33" s="430"/>
      <c r="M33" s="430"/>
      <c r="N33" s="430"/>
      <c r="O33" s="361">
        <v>160000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thickBot="1" x14ac:dyDescent="0.35">
      <c r="A34" s="228">
        <v>27</v>
      </c>
      <c r="B34" s="514">
        <v>1114</v>
      </c>
      <c r="C34" s="522" t="s">
        <v>52</v>
      </c>
      <c r="D34" s="523" t="s">
        <v>1140</v>
      </c>
      <c r="E34" s="524" t="s">
        <v>363</v>
      </c>
      <c r="F34" s="523" t="s">
        <v>159</v>
      </c>
      <c r="G34" s="570" t="s">
        <v>374</v>
      </c>
      <c r="H34" s="524" t="s">
        <v>164</v>
      </c>
      <c r="I34" s="524" t="s">
        <v>165</v>
      </c>
      <c r="J34" s="571" t="s">
        <v>189</v>
      </c>
      <c r="K34" s="575"/>
      <c r="L34" s="525"/>
      <c r="M34" s="430"/>
      <c r="N34" s="430"/>
      <c r="O34" s="361">
        <v>615000</v>
      </c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thickTop="1" x14ac:dyDescent="0.3">
      <c r="A35" s="228">
        <v>28</v>
      </c>
      <c r="B35" s="527">
        <v>506</v>
      </c>
      <c r="C35" s="560" t="s">
        <v>248</v>
      </c>
      <c r="D35" s="561" t="s">
        <v>934</v>
      </c>
      <c r="E35" s="562" t="s">
        <v>936</v>
      </c>
      <c r="F35" s="561" t="s">
        <v>167</v>
      </c>
      <c r="G35" s="563" t="s">
        <v>163</v>
      </c>
      <c r="H35" s="562" t="s">
        <v>164</v>
      </c>
      <c r="I35" s="562" t="s">
        <v>165</v>
      </c>
      <c r="J35" s="564" t="s">
        <v>189</v>
      </c>
      <c r="K35" s="562"/>
      <c r="L35" s="565"/>
      <c r="M35" s="565"/>
      <c r="N35" s="565"/>
      <c r="O35" s="566">
        <v>0</v>
      </c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>
        <v>1115</v>
      </c>
      <c r="C36" s="255" t="s">
        <v>52</v>
      </c>
      <c r="D36" s="559" t="s">
        <v>1138</v>
      </c>
      <c r="E36" s="266"/>
      <c r="F36" s="265" t="s">
        <v>159</v>
      </c>
      <c r="G36" s="267" t="s">
        <v>1141</v>
      </c>
      <c r="H36" s="266" t="s">
        <v>164</v>
      </c>
      <c r="I36" s="266" t="s">
        <v>165</v>
      </c>
      <c r="J36" s="270" t="s">
        <v>189</v>
      </c>
      <c r="K36" s="266"/>
      <c r="L36" s="257"/>
      <c r="M36" s="257"/>
      <c r="N36" s="257"/>
      <c r="O36" s="223">
        <v>0</v>
      </c>
      <c r="P36" s="228">
        <v>29</v>
      </c>
      <c r="Q36" s="229"/>
      <c r="R36" s="230"/>
      <c r="S36" s="231"/>
      <c r="T36" s="215"/>
      <c r="U36" s="231"/>
      <c r="V36" s="232"/>
      <c r="W36" s="427"/>
      <c r="X36" s="427"/>
      <c r="Y36" s="429"/>
      <c r="Z36" s="215"/>
      <c r="AA36" s="234"/>
      <c r="AB36" s="234"/>
      <c r="AC36" s="234"/>
      <c r="AD36" s="234"/>
      <c r="AE36" s="521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415">
        <v>1116</v>
      </c>
      <c r="C37" s="255" t="s">
        <v>1047</v>
      </c>
      <c r="D37" s="559" t="s">
        <v>1137</v>
      </c>
      <c r="E37" s="266"/>
      <c r="F37" s="265" t="s">
        <v>1069</v>
      </c>
      <c r="G37" s="267" t="s">
        <v>1141</v>
      </c>
      <c r="H37" s="266" t="s">
        <v>164</v>
      </c>
      <c r="I37" s="266" t="s">
        <v>165</v>
      </c>
      <c r="J37" s="270" t="s">
        <v>189</v>
      </c>
      <c r="K37" s="266"/>
      <c r="L37" s="257"/>
      <c r="M37" s="257"/>
      <c r="N37" s="257"/>
      <c r="O37" s="223">
        <v>0</v>
      </c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>
        <v>615</v>
      </c>
      <c r="C38" s="230" t="s">
        <v>1101</v>
      </c>
      <c r="D38" s="251" t="s">
        <v>1128</v>
      </c>
      <c r="E38" s="215"/>
      <c r="F38" s="231" t="s">
        <v>1069</v>
      </c>
      <c r="G38" s="232" t="s">
        <v>1096</v>
      </c>
      <c r="H38" s="215" t="s">
        <v>164</v>
      </c>
      <c r="I38" s="215" t="s">
        <v>165</v>
      </c>
      <c r="J38" s="215" t="s">
        <v>1087</v>
      </c>
      <c r="K38" s="215"/>
      <c r="L38" s="234"/>
      <c r="M38" s="234"/>
      <c r="N38" s="234"/>
      <c r="O38" s="218">
        <v>0</v>
      </c>
      <c r="P38" s="228">
        <v>31</v>
      </c>
      <c r="Q38" s="229"/>
      <c r="R38" s="425"/>
      <c r="S38" s="426"/>
      <c r="T38" s="427"/>
      <c r="U38" s="426"/>
      <c r="V38" s="428"/>
      <c r="W38" s="427"/>
      <c r="X38" s="427"/>
      <c r="Y38" s="429"/>
      <c r="Z38" s="427"/>
      <c r="AA38" s="430"/>
      <c r="AB38" s="430"/>
      <c r="AC38" s="430"/>
      <c r="AD38" s="234"/>
      <c r="AE38" s="521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>
        <v>1210</v>
      </c>
      <c r="C39" s="230" t="s">
        <v>81</v>
      </c>
      <c r="D39" s="532" t="s">
        <v>779</v>
      </c>
      <c r="E39" s="215"/>
      <c r="F39" s="231" t="s">
        <v>161</v>
      </c>
      <c r="G39" s="232" t="s">
        <v>172</v>
      </c>
      <c r="H39" s="215" t="s">
        <v>164</v>
      </c>
      <c r="I39" s="215" t="s">
        <v>165</v>
      </c>
      <c r="J39" s="233" t="s">
        <v>247</v>
      </c>
      <c r="K39" s="215"/>
      <c r="L39" s="432"/>
      <c r="M39" s="234"/>
      <c r="N39" s="234"/>
      <c r="O39" s="220">
        <v>0</v>
      </c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>
        <v>1206</v>
      </c>
      <c r="C40" s="230" t="s">
        <v>81</v>
      </c>
      <c r="D40" s="231" t="s">
        <v>999</v>
      </c>
      <c r="E40" s="215"/>
      <c r="F40" s="231" t="s">
        <v>970</v>
      </c>
      <c r="G40" s="232" t="s">
        <v>987</v>
      </c>
      <c r="H40" s="215" t="s">
        <v>164</v>
      </c>
      <c r="I40" s="215" t="s">
        <v>165</v>
      </c>
      <c r="J40" s="237" t="s">
        <v>961</v>
      </c>
      <c r="K40" s="215"/>
      <c r="L40" s="234"/>
      <c r="M40" s="234"/>
      <c r="N40" s="234"/>
      <c r="O40" s="218">
        <v>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>
        <v>805</v>
      </c>
      <c r="C41" s="230" t="s">
        <v>925</v>
      </c>
      <c r="D41" s="231" t="s">
        <v>926</v>
      </c>
      <c r="E41" s="215" t="s">
        <v>318</v>
      </c>
      <c r="F41" s="231" t="s">
        <v>167</v>
      </c>
      <c r="G41" s="232" t="s">
        <v>894</v>
      </c>
      <c r="H41" s="215" t="s">
        <v>164</v>
      </c>
      <c r="I41" s="215" t="s">
        <v>165</v>
      </c>
      <c r="J41" s="233" t="s">
        <v>189</v>
      </c>
      <c r="K41" s="215"/>
      <c r="L41" s="234"/>
      <c r="M41" s="234"/>
      <c r="N41" s="234"/>
      <c r="O41" s="218">
        <v>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>
        <v>404</v>
      </c>
      <c r="C42" s="230" t="s">
        <v>693</v>
      </c>
      <c r="D42" s="231" t="s">
        <v>917</v>
      </c>
      <c r="E42" s="215" t="s">
        <v>1187</v>
      </c>
      <c r="F42" s="231" t="s">
        <v>167</v>
      </c>
      <c r="G42" s="232" t="s">
        <v>721</v>
      </c>
      <c r="H42" s="215" t="s">
        <v>164</v>
      </c>
      <c r="I42" s="215" t="s">
        <v>165</v>
      </c>
      <c r="J42" s="215" t="s">
        <v>247</v>
      </c>
      <c r="K42" s="238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1208</v>
      </c>
      <c r="C43" s="230" t="s">
        <v>693</v>
      </c>
      <c r="D43" s="231" t="s">
        <v>902</v>
      </c>
      <c r="E43" s="215"/>
      <c r="F43" s="231" t="s">
        <v>700</v>
      </c>
      <c r="G43" s="232" t="s">
        <v>907</v>
      </c>
      <c r="H43" s="215" t="s">
        <v>164</v>
      </c>
      <c r="I43" s="215" t="s">
        <v>165</v>
      </c>
      <c r="J43" s="233" t="s">
        <v>713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1107</v>
      </c>
      <c r="C44" s="230" t="s">
        <v>775</v>
      </c>
      <c r="D44" s="231" t="s">
        <v>853</v>
      </c>
      <c r="E44" s="215" t="s">
        <v>854</v>
      </c>
      <c r="F44" s="231" t="s">
        <v>692</v>
      </c>
      <c r="G44" s="232" t="s">
        <v>742</v>
      </c>
      <c r="H44" s="215" t="s">
        <v>164</v>
      </c>
      <c r="I44" s="215" t="s">
        <v>165</v>
      </c>
      <c r="J44" s="215" t="s">
        <v>733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906</v>
      </c>
      <c r="C45" s="230" t="s">
        <v>686</v>
      </c>
      <c r="D45" s="231" t="s">
        <v>792</v>
      </c>
      <c r="E45" s="215" t="s">
        <v>363</v>
      </c>
      <c r="F45" s="231" t="s">
        <v>751</v>
      </c>
      <c r="G45" s="331" t="s">
        <v>175</v>
      </c>
      <c r="H45" s="215" t="s">
        <v>164</v>
      </c>
      <c r="I45" s="215" t="s">
        <v>165</v>
      </c>
      <c r="J45" s="368" t="s">
        <v>247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1215</v>
      </c>
      <c r="C46" s="230" t="s">
        <v>70</v>
      </c>
      <c r="D46" s="231" t="s">
        <v>681</v>
      </c>
      <c r="E46" s="215" t="s">
        <v>363</v>
      </c>
      <c r="F46" s="231" t="s">
        <v>159</v>
      </c>
      <c r="G46" s="232" t="s">
        <v>172</v>
      </c>
      <c r="H46" s="215" t="s">
        <v>164</v>
      </c>
      <c r="I46" s="215" t="s">
        <v>165</v>
      </c>
      <c r="J46" s="215" t="s">
        <v>189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1216</v>
      </c>
      <c r="C47" s="230" t="s">
        <v>70</v>
      </c>
      <c r="D47" s="231" t="s">
        <v>683</v>
      </c>
      <c r="E47" s="215"/>
      <c r="F47" s="231" t="s">
        <v>159</v>
      </c>
      <c r="G47" s="232" t="s">
        <v>172</v>
      </c>
      <c r="H47" s="215" t="s">
        <v>164</v>
      </c>
      <c r="I47" s="215" t="s">
        <v>165</v>
      </c>
      <c r="J47" s="215" t="s">
        <v>189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309</v>
      </c>
      <c r="C48" s="230" t="s">
        <v>52</v>
      </c>
      <c r="D48" s="231" t="s">
        <v>656</v>
      </c>
      <c r="E48" s="215"/>
      <c r="F48" s="231" t="s">
        <v>55</v>
      </c>
      <c r="G48" s="232" t="s">
        <v>564</v>
      </c>
      <c r="H48" s="215" t="s">
        <v>164</v>
      </c>
      <c r="I48" s="215" t="s">
        <v>165</v>
      </c>
      <c r="J48" s="233" t="s">
        <v>189</v>
      </c>
      <c r="K48" s="217"/>
      <c r="L48" s="254"/>
      <c r="M48" s="254"/>
      <c r="N48" s="254"/>
      <c r="O48" s="224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308</v>
      </c>
      <c r="C49" s="285" t="s">
        <v>52</v>
      </c>
      <c r="D49" s="275" t="s">
        <v>355</v>
      </c>
      <c r="E49" s="276"/>
      <c r="F49" s="275" t="s">
        <v>55</v>
      </c>
      <c r="G49" s="277" t="s">
        <v>174</v>
      </c>
      <c r="H49" s="276" t="s">
        <v>164</v>
      </c>
      <c r="I49" s="276" t="s">
        <v>165</v>
      </c>
      <c r="J49" s="278" t="s">
        <v>247</v>
      </c>
      <c r="K49" s="276"/>
      <c r="L49" s="279"/>
      <c r="M49" s="279"/>
      <c r="N49" s="279"/>
      <c r="O49" s="442">
        <v>0</v>
      </c>
      <c r="P49" s="483">
        <v>42</v>
      </c>
      <c r="Q49" s="273"/>
      <c r="R49" s="285"/>
      <c r="S49" s="275"/>
      <c r="T49" s="276"/>
      <c r="U49" s="275"/>
      <c r="V49" s="277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6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4</v>
      </c>
      <c r="BB54" s="681"/>
      <c r="BC54" s="679">
        <f>AZ24</f>
        <v>8000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4</v>
      </c>
      <c r="BB55" s="681"/>
      <c r="BC55" s="679">
        <f>SUM(BC53:BE54)</f>
        <v>8000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11</v>
      </c>
      <c r="AQ60" s="56">
        <f>SUMIF($C$8:$C$72, $AK60, $L$8:$L$72)+SUMIF($C$8:$C$72, $AK60, $M$8:$M$72)+SUMIF($C$8:$C$72, $AK60, $N$8:$N$72)+SUMIF($C$8:$C$72, $AK60, $O$8:$O$72)</f>
        <v>1390000</v>
      </c>
      <c r="AR60" s="57">
        <f>AQ60*0.9</f>
        <v>1251000</v>
      </c>
      <c r="AS60" s="58">
        <f t="shared" ref="AS60:AS70" si="4">SUM(AN60+AQ60)</f>
        <v>1390000</v>
      </c>
      <c r="AT60" s="59">
        <f t="shared" ref="AT60:AT70" si="5">AO60+AR60</f>
        <v>1251000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3</v>
      </c>
      <c r="AQ61" s="56">
        <f t="shared" ref="AQ61:AQ70" si="8">SUMIF($C$8:$C$72, $AK61, $L$8:$L$72)+SUMIF($C$8:$C$72, $AK61, $M$8:$M$72)+SUMIF($C$8:$C$72, $AK61, $N$8:$N$72)+SUMIF($C$8:$C$72, $AK61, $O$8:$O$72)</f>
        <v>395000</v>
      </c>
      <c r="AR61" s="57">
        <f t="shared" ref="AR61:AR70" si="9">AQ61*0.9</f>
        <v>355500</v>
      </c>
      <c r="AS61" s="58">
        <f t="shared" si="4"/>
        <v>395000</v>
      </c>
      <c r="AT61" s="59">
        <f t="shared" si="5"/>
        <v>355500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5</v>
      </c>
      <c r="AQ62" s="56">
        <f t="shared" si="8"/>
        <v>615000</v>
      </c>
      <c r="AR62" s="57">
        <f t="shared" si="9"/>
        <v>553500</v>
      </c>
      <c r="AS62" s="58">
        <f t="shared" si="4"/>
        <v>615000</v>
      </c>
      <c r="AT62" s="59">
        <f t="shared" si="5"/>
        <v>553500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8</v>
      </c>
      <c r="AQ66" s="56">
        <f t="shared" si="8"/>
        <v>528000</v>
      </c>
      <c r="AR66" s="57">
        <f t="shared" si="9"/>
        <v>475200</v>
      </c>
      <c r="AS66" s="58">
        <f t="shared" si="4"/>
        <v>528000</v>
      </c>
      <c r="AT66" s="59">
        <f t="shared" si="5"/>
        <v>475200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4</v>
      </c>
      <c r="AQ67" s="56">
        <f t="shared" si="8"/>
        <v>241027</v>
      </c>
      <c r="AR67" s="57">
        <f t="shared" si="9"/>
        <v>216924.30000000002</v>
      </c>
      <c r="AS67" s="58">
        <f t="shared" si="4"/>
        <v>241027</v>
      </c>
      <c r="AT67" s="59">
        <f t="shared" si="5"/>
        <v>216924.30000000002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49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/>
      <c r="AO68" s="54">
        <f t="shared" si="6"/>
        <v>0</v>
      </c>
      <c r="AP68" s="55">
        <f t="shared" si="7"/>
        <v>3</v>
      </c>
      <c r="AQ68" s="56">
        <f t="shared" si="8"/>
        <v>475575</v>
      </c>
      <c r="AR68" s="57">
        <f t="shared" si="9"/>
        <v>428017.5</v>
      </c>
      <c r="AS68" s="58">
        <f t="shared" si="4"/>
        <v>475575</v>
      </c>
      <c r="AT68" s="59">
        <f t="shared" si="5"/>
        <v>428017.5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4233102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2</v>
      </c>
      <c r="AQ69" s="56">
        <f t="shared" si="8"/>
        <v>308000</v>
      </c>
      <c r="AR69" s="57">
        <f t="shared" si="9"/>
        <v>277200</v>
      </c>
      <c r="AS69" s="58">
        <f t="shared" si="4"/>
        <v>308000</v>
      </c>
      <c r="AT69" s="59">
        <f t="shared" si="5"/>
        <v>277200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3</v>
      </c>
      <c r="AQ70" s="56">
        <f t="shared" si="8"/>
        <v>280500</v>
      </c>
      <c r="AR70" s="57">
        <f t="shared" si="9"/>
        <v>252450</v>
      </c>
      <c r="AS70" s="58">
        <f t="shared" si="4"/>
        <v>280500</v>
      </c>
      <c r="AT70" s="59">
        <f t="shared" si="5"/>
        <v>252450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8000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4241102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40</v>
      </c>
      <c r="AQ73" s="22">
        <f t="shared" si="10"/>
        <v>4233102</v>
      </c>
      <c r="AR73" s="23">
        <f t="shared" si="10"/>
        <v>3809791.8</v>
      </c>
      <c r="AS73" s="24">
        <f t="shared" si="10"/>
        <v>4233102</v>
      </c>
      <c r="AT73" s="25">
        <f t="shared" si="10"/>
        <v>3809791.8</v>
      </c>
      <c r="AU73" s="692" t="s">
        <v>58</v>
      </c>
      <c r="AV73" s="693"/>
      <c r="AW73" s="693"/>
      <c r="AX73" s="693"/>
      <c r="AY73" s="694"/>
      <c r="AZ73" s="695">
        <f>AS58+AT73</f>
        <v>3809791.8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A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7">
    <cfRule type="cellIs" dxfId="133" priority="1" operator="equal">
      <formula>"여기어때"</formula>
    </cfRule>
    <cfRule type="cellIs" dxfId="132" priority="2" operator="equal">
      <formula>"야놀자"</formula>
    </cfRule>
  </conditionalFormatting>
  <conditionalFormatting sqref="R8:R66">
    <cfRule type="cellIs" dxfId="131" priority="5" operator="equal">
      <formula>"여기어때"</formula>
    </cfRule>
    <cfRule type="cellIs" dxfId="130" priority="6" operator="equal">
      <formula>"야놀자"</formula>
    </cfRule>
  </conditionalFormatting>
  <conditionalFormatting sqref="R73">
    <cfRule type="cellIs" dxfId="129" priority="237" operator="equal">
      <formula>"여기어때"</formula>
    </cfRule>
    <cfRule type="cellIs" dxfId="128" priority="238" operator="equal">
      <formula>"야놀자"</formula>
    </cfRule>
  </conditionalFormatting>
  <conditionalFormatting sqref="AL30:AM30">
    <cfRule type="cellIs" dxfId="127" priority="222" operator="greaterThan">
      <formula>$AL$29</formula>
    </cfRule>
    <cfRule type="cellIs" dxfId="126" priority="230" operator="equal">
      <formula>$AL$29</formula>
    </cfRule>
  </conditionalFormatting>
  <conditionalFormatting sqref="AN30:AO30">
    <cfRule type="cellIs" dxfId="125" priority="221" operator="greaterThan">
      <formula>$AN$29</formula>
    </cfRule>
    <cfRule type="cellIs" dxfId="124" priority="229" operator="equal">
      <formula>$AN$29</formula>
    </cfRule>
  </conditionalFormatting>
  <conditionalFormatting sqref="AP30:AQ30">
    <cfRule type="cellIs" dxfId="123" priority="220" operator="greaterThan">
      <formula>$AP$29</formula>
    </cfRule>
    <cfRule type="cellIs" dxfId="122" priority="228" operator="equal">
      <formula>$AP$29</formula>
    </cfRule>
  </conditionalFormatting>
  <conditionalFormatting sqref="AR30">
    <cfRule type="cellIs" dxfId="121" priority="219" operator="greaterThan">
      <formula>$AR$29</formula>
    </cfRule>
    <cfRule type="cellIs" dxfId="120" priority="227" operator="equal">
      <formula>$AR$29</formula>
    </cfRule>
  </conditionalFormatting>
  <conditionalFormatting sqref="AS30:AT30">
    <cfRule type="cellIs" dxfId="119" priority="218" operator="greaterThan">
      <formula>$AS$29</formula>
    </cfRule>
    <cfRule type="cellIs" dxfId="118" priority="226" operator="equal">
      <formula>$AS$29</formula>
    </cfRule>
  </conditionalFormatting>
  <conditionalFormatting sqref="AU30:AV30">
    <cfRule type="cellIs" dxfId="117" priority="217" operator="greaterThan">
      <formula>$AU$29</formula>
    </cfRule>
    <cfRule type="cellIs" dxfId="116" priority="225" operator="equal">
      <formula>$AU$29</formula>
    </cfRule>
  </conditionalFormatting>
  <conditionalFormatting sqref="AW30">
    <cfRule type="cellIs" dxfId="115" priority="216" operator="greaterThan">
      <formula>$AW$29</formula>
    </cfRule>
    <cfRule type="cellIs" dxfId="114" priority="224" operator="equal">
      <formula>$AW$29</formula>
    </cfRule>
  </conditionalFormatting>
  <conditionalFormatting sqref="AX30:AY30">
    <cfRule type="cellIs" dxfId="113" priority="215" operator="greaterThan">
      <formula>$AX$29</formula>
    </cfRule>
    <cfRule type="cellIs" dxfId="112" priority="223" operator="equal">
      <formula>$AX$29</formula>
    </cfRule>
  </conditionalFormatting>
  <dataValidations count="1">
    <dataValidation type="list" allowBlank="1" showInputMessage="1" showErrorMessage="1" sqref="A8:A67 C68:C73 C75:C76 P8:P67" xr:uid="{008B2C1D-CE4F-4ED4-88F6-67CA9A813C96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D275-5FFD-4887-8915-B6F1CB8A887B}">
  <sheetPr codeName="Sheet28">
    <tabColor theme="0" tint="-0.14999847407452621"/>
    <pageSetUpPr fitToPage="1"/>
  </sheetPr>
  <dimension ref="A1:BJ1048576"/>
  <sheetViews>
    <sheetView view="pageBreakPreview" zoomScale="25" zoomScaleNormal="25" zoomScaleSheetLayoutView="25" workbookViewId="0">
      <pane ySplit="7" topLeftCell="A32" activePane="bottomLeft" state="frozen"/>
      <selection activeCell="C8" sqref="C8"/>
      <selection pane="bottomLeft" activeCell="S46" sqref="S46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45928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1184772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21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421500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'28'!AA1</f>
        <v>45928</v>
      </c>
      <c r="AM2" s="863"/>
      <c r="AN2" s="863"/>
      <c r="AO2" s="864"/>
      <c r="AP2" s="865" t="s">
        <v>10</v>
      </c>
      <c r="AQ2" s="866"/>
      <c r="AR2" s="866"/>
      <c r="AS2" s="863">
        <f>AA1+1</f>
        <v>45929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1184772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421500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1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3</v>
      </c>
      <c r="E6" s="356">
        <f>AP31</f>
        <v>5</v>
      </c>
      <c r="F6" s="356">
        <f>AR31</f>
        <v>2</v>
      </c>
      <c r="G6" s="356">
        <f>AS31</f>
        <v>3</v>
      </c>
      <c r="H6" s="356">
        <f>AU31</f>
        <v>5</v>
      </c>
      <c r="I6" s="356">
        <f>AW31</f>
        <v>3</v>
      </c>
      <c r="J6" s="356">
        <f>AX31</f>
        <v>0</v>
      </c>
      <c r="K6" s="606"/>
      <c r="L6" s="607"/>
      <c r="M6" s="356"/>
      <c r="N6" s="606">
        <f>C6+D6+E6+F6+G6+H6+I6+J6+K6</f>
        <v>21</v>
      </c>
      <c r="O6" s="602"/>
      <c r="P6" s="599">
        <f>C2</f>
        <v>1184772</v>
      </c>
      <c r="Q6" s="600"/>
      <c r="R6" s="300">
        <f>AN14+AN15</f>
        <v>0</v>
      </c>
      <c r="S6" s="300">
        <f>AZ14+AZ15</f>
        <v>0</v>
      </c>
      <c r="T6" s="300">
        <f>AR14+AR15</f>
        <v>82000</v>
      </c>
      <c r="U6" s="609">
        <f>AS60</f>
        <v>185000</v>
      </c>
      <c r="V6" s="600"/>
      <c r="W6" s="609">
        <f>AS61</f>
        <v>425000</v>
      </c>
      <c r="X6" s="600"/>
      <c r="Y6" s="609">
        <f>AS62</f>
        <v>126700</v>
      </c>
      <c r="Z6" s="600"/>
      <c r="AA6" s="300">
        <f>AS63</f>
        <v>0</v>
      </c>
      <c r="AB6" s="300">
        <f>AS66</f>
        <v>220500</v>
      </c>
      <c r="AC6" s="300">
        <f>AS67</f>
        <v>145572</v>
      </c>
      <c r="AD6" s="300">
        <f>SUMIFS(O7:O46,C7:C46,"트립")</f>
        <v>0</v>
      </c>
      <c r="AE6" s="300">
        <f>AS65</f>
        <v>0</v>
      </c>
      <c r="AF6" s="300">
        <f>AS69</f>
        <v>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501</v>
      </c>
      <c r="C8" s="230" t="s">
        <v>81</v>
      </c>
      <c r="D8" s="231" t="s">
        <v>473</v>
      </c>
      <c r="E8" s="215"/>
      <c r="F8" s="231" t="s">
        <v>161</v>
      </c>
      <c r="G8" s="232" t="s">
        <v>171</v>
      </c>
      <c r="H8" s="215" t="s">
        <v>164</v>
      </c>
      <c r="I8" s="215" t="s">
        <v>165</v>
      </c>
      <c r="J8" s="233" t="s">
        <v>189</v>
      </c>
      <c r="K8" s="215"/>
      <c r="L8" s="234"/>
      <c r="M8" s="234"/>
      <c r="N8" s="234"/>
      <c r="O8" s="218">
        <v>145572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307</v>
      </c>
      <c r="C9" s="230" t="s">
        <v>70</v>
      </c>
      <c r="D9" s="231" t="s">
        <v>950</v>
      </c>
      <c r="E9" s="215"/>
      <c r="F9" s="231" t="s">
        <v>55</v>
      </c>
      <c r="G9" s="232" t="s">
        <v>171</v>
      </c>
      <c r="H9" s="215" t="s">
        <v>164</v>
      </c>
      <c r="I9" s="215" t="s">
        <v>165</v>
      </c>
      <c r="J9" s="215" t="s">
        <v>193</v>
      </c>
      <c r="K9" s="215"/>
      <c r="L9" s="234"/>
      <c r="M9" s="234"/>
      <c r="N9" s="234"/>
      <c r="O9" s="218">
        <v>136500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911</v>
      </c>
      <c r="C10" s="230" t="s">
        <v>73</v>
      </c>
      <c r="D10" s="231" t="s">
        <v>1115</v>
      </c>
      <c r="E10" s="215" t="s">
        <v>166</v>
      </c>
      <c r="F10" s="231" t="s">
        <v>158</v>
      </c>
      <c r="G10" s="232" t="s">
        <v>173</v>
      </c>
      <c r="H10" s="215" t="s">
        <v>164</v>
      </c>
      <c r="I10" s="215" t="s">
        <v>165</v>
      </c>
      <c r="J10" s="215" t="s">
        <v>247</v>
      </c>
      <c r="K10" s="215"/>
      <c r="L10" s="234"/>
      <c r="M10" s="234"/>
      <c r="N10" s="234"/>
      <c r="O10" s="218">
        <v>180000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21</v>
      </c>
      <c r="AU10" s="625"/>
      <c r="AV10" s="625">
        <f>SUM(O8:O67)</f>
        <v>1102772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21</v>
      </c>
      <c r="BC10" s="799"/>
      <c r="BD10" s="800">
        <f>SUM(AN10+AR10+AV10+AZ10)</f>
        <v>1102772</v>
      </c>
      <c r="BE10" s="801"/>
    </row>
    <row r="11" spans="1:58" ht="64.5" customHeight="1" x14ac:dyDescent="0.3">
      <c r="A11" s="228">
        <v>4</v>
      </c>
      <c r="B11" s="229">
        <v>305</v>
      </c>
      <c r="C11" s="230" t="s">
        <v>1192</v>
      </c>
      <c r="D11" s="251" t="s">
        <v>1204</v>
      </c>
      <c r="E11" s="215"/>
      <c r="F11" s="231" t="s">
        <v>1181</v>
      </c>
      <c r="G11" s="232" t="s">
        <v>1193</v>
      </c>
      <c r="H11" s="215" t="s">
        <v>164</v>
      </c>
      <c r="I11" s="215" t="s">
        <v>165</v>
      </c>
      <c r="J11" s="215" t="s">
        <v>1194</v>
      </c>
      <c r="K11" s="215"/>
      <c r="L11" s="234"/>
      <c r="M11" s="234"/>
      <c r="N11" s="234"/>
      <c r="O11" s="218">
        <v>126700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809</v>
      </c>
      <c r="C12" s="230" t="s">
        <v>1182</v>
      </c>
      <c r="D12" s="231" t="s">
        <v>1203</v>
      </c>
      <c r="E12" s="215" t="s">
        <v>166</v>
      </c>
      <c r="F12" s="231" t="s">
        <v>1195</v>
      </c>
      <c r="G12" s="232" t="s">
        <v>1175</v>
      </c>
      <c r="H12" s="215" t="s">
        <v>164</v>
      </c>
      <c r="I12" s="215" t="s">
        <v>165</v>
      </c>
      <c r="J12" s="233" t="s">
        <v>189</v>
      </c>
      <c r="K12" s="215"/>
      <c r="L12" s="234"/>
      <c r="M12" s="234"/>
      <c r="N12" s="234"/>
      <c r="O12" s="218">
        <v>60000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4</v>
      </c>
      <c r="AQ12" s="785"/>
      <c r="AR12" s="784">
        <f>SUM(M68:M76)</f>
        <v>80000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4</v>
      </c>
      <c r="BC12" s="785"/>
      <c r="BD12" s="780">
        <f>SUM(AN12+AR12+AV12+AZ12)</f>
        <v>80000</v>
      </c>
      <c r="BE12" s="781"/>
    </row>
    <row r="13" spans="1:58" ht="64.5" customHeight="1" x14ac:dyDescent="0.3">
      <c r="A13" s="228">
        <v>6</v>
      </c>
      <c r="B13" s="229">
        <v>1214</v>
      </c>
      <c r="C13" s="230" t="s">
        <v>1172</v>
      </c>
      <c r="D13" s="231" t="s">
        <v>1209</v>
      </c>
      <c r="E13" s="215" t="s">
        <v>166</v>
      </c>
      <c r="F13" s="231" t="s">
        <v>1184</v>
      </c>
      <c r="G13" s="232" t="s">
        <v>1175</v>
      </c>
      <c r="H13" s="215" t="s">
        <v>164</v>
      </c>
      <c r="I13" s="215" t="s">
        <v>165</v>
      </c>
      <c r="J13" s="233" t="s">
        <v>189</v>
      </c>
      <c r="K13" s="215"/>
      <c r="L13" s="234"/>
      <c r="M13" s="234"/>
      <c r="N13" s="234"/>
      <c r="O13" s="218">
        <v>60000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404</v>
      </c>
      <c r="C14" s="230" t="s">
        <v>1182</v>
      </c>
      <c r="D14" s="231" t="s">
        <v>1216</v>
      </c>
      <c r="E14" s="215" t="s">
        <v>318</v>
      </c>
      <c r="F14" s="231" t="s">
        <v>1195</v>
      </c>
      <c r="G14" s="232" t="s">
        <v>1175</v>
      </c>
      <c r="H14" s="215" t="s">
        <v>164</v>
      </c>
      <c r="I14" s="215" t="s">
        <v>165</v>
      </c>
      <c r="J14" s="233" t="s">
        <v>189</v>
      </c>
      <c r="K14" s="238"/>
      <c r="L14" s="234"/>
      <c r="M14" s="234"/>
      <c r="N14" s="234"/>
      <c r="O14" s="218">
        <v>65000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80000</v>
      </c>
      <c r="AS14" s="653"/>
      <c r="AT14" s="653">
        <f t="shared" ref="AT14" si="1">SUM(AT10:AU11)</f>
        <v>21</v>
      </c>
      <c r="AU14" s="653"/>
      <c r="AV14" s="653">
        <f>SUM(AV10:AW13)</f>
        <v>1102772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21</v>
      </c>
      <c r="BC14" s="655"/>
      <c r="BD14" s="782">
        <f>SUM(BD10:BE13)</f>
        <v>1182772</v>
      </c>
      <c r="BE14" s="783"/>
    </row>
    <row r="15" spans="1:58" ht="64.5" customHeight="1" thickBot="1" x14ac:dyDescent="0.35">
      <c r="A15" s="228">
        <v>8</v>
      </c>
      <c r="B15" s="229">
        <v>902</v>
      </c>
      <c r="C15" s="230" t="s">
        <v>1172</v>
      </c>
      <c r="D15" s="231" t="s">
        <v>1219</v>
      </c>
      <c r="E15" s="215" t="s">
        <v>318</v>
      </c>
      <c r="F15" s="231" t="s">
        <v>1195</v>
      </c>
      <c r="G15" s="232" t="s">
        <v>1175</v>
      </c>
      <c r="H15" s="215" t="s">
        <v>164</v>
      </c>
      <c r="I15" s="215" t="s">
        <v>165</v>
      </c>
      <c r="J15" s="233" t="s">
        <v>189</v>
      </c>
      <c r="K15" s="238"/>
      <c r="L15" s="234"/>
      <c r="M15" s="234"/>
      <c r="N15" s="234"/>
      <c r="O15" s="218">
        <v>65000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1</v>
      </c>
      <c r="AQ15" s="633"/>
      <c r="AR15" s="632">
        <f>AR24</f>
        <v>2000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1</v>
      </c>
      <c r="BC15" s="633"/>
      <c r="BD15" s="776">
        <f>SUM(AN15+AR15+AV15+AZ15)</f>
        <v>2000</v>
      </c>
      <c r="BE15" s="777"/>
    </row>
    <row r="16" spans="1:58" ht="64.5" customHeight="1" thickBot="1" x14ac:dyDescent="0.35">
      <c r="A16" s="228">
        <v>9</v>
      </c>
      <c r="B16" s="229">
        <v>409</v>
      </c>
      <c r="C16" s="230" t="s">
        <v>1182</v>
      </c>
      <c r="D16" s="231" t="s">
        <v>1220</v>
      </c>
      <c r="E16" s="215" t="s">
        <v>166</v>
      </c>
      <c r="F16" s="231" t="s">
        <v>1195</v>
      </c>
      <c r="G16" s="232" t="s">
        <v>1175</v>
      </c>
      <c r="H16" s="215" t="s">
        <v>164</v>
      </c>
      <c r="I16" s="215" t="s">
        <v>165</v>
      </c>
      <c r="J16" s="233" t="s">
        <v>189</v>
      </c>
      <c r="K16" s="215"/>
      <c r="L16" s="234"/>
      <c r="M16" s="234"/>
      <c r="N16" s="234"/>
      <c r="O16" s="218">
        <v>60000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1184772</v>
      </c>
      <c r="BE16" s="652"/>
      <c r="BF16" s="10"/>
    </row>
    <row r="17" spans="1:62" ht="64.5" customHeight="1" thickBot="1" x14ac:dyDescent="0.35">
      <c r="A17" s="228">
        <v>10</v>
      </c>
      <c r="B17" s="567">
        <v>1105</v>
      </c>
      <c r="C17" s="578" t="s">
        <v>73</v>
      </c>
      <c r="D17" s="579" t="s">
        <v>1222</v>
      </c>
      <c r="E17" s="580" t="s">
        <v>166</v>
      </c>
      <c r="F17" s="231" t="s">
        <v>1184</v>
      </c>
      <c r="G17" s="581" t="s">
        <v>1175</v>
      </c>
      <c r="H17" s="215" t="s">
        <v>164</v>
      </c>
      <c r="I17" s="215" t="s">
        <v>165</v>
      </c>
      <c r="J17" s="233" t="s">
        <v>189</v>
      </c>
      <c r="K17" s="580"/>
      <c r="L17" s="576"/>
      <c r="M17" s="576"/>
      <c r="N17" s="576"/>
      <c r="O17" s="577">
        <v>60000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567">
        <v>401</v>
      </c>
      <c r="C18" s="578" t="s">
        <v>1224</v>
      </c>
      <c r="D18" s="579" t="s">
        <v>1225</v>
      </c>
      <c r="E18" s="580"/>
      <c r="F18" s="579" t="s">
        <v>1226</v>
      </c>
      <c r="G18" s="581" t="s">
        <v>1175</v>
      </c>
      <c r="H18" s="215" t="s">
        <v>164</v>
      </c>
      <c r="I18" s="215" t="s">
        <v>165</v>
      </c>
      <c r="J18" s="233" t="s">
        <v>189</v>
      </c>
      <c r="K18" s="583">
        <v>2</v>
      </c>
      <c r="L18" s="576"/>
      <c r="M18" s="576"/>
      <c r="N18" s="576"/>
      <c r="O18" s="577">
        <v>84000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567">
        <v>907</v>
      </c>
      <c r="C19" s="578" t="s">
        <v>1172</v>
      </c>
      <c r="D19" s="579" t="s">
        <v>1233</v>
      </c>
      <c r="E19" s="580" t="s">
        <v>166</v>
      </c>
      <c r="F19" s="579" t="s">
        <v>1195</v>
      </c>
      <c r="G19" s="581" t="s">
        <v>1175</v>
      </c>
      <c r="H19" s="215" t="s">
        <v>164</v>
      </c>
      <c r="I19" s="215" t="s">
        <v>165</v>
      </c>
      <c r="J19" s="582" t="s">
        <v>1194</v>
      </c>
      <c r="K19" s="583"/>
      <c r="L19" s="576"/>
      <c r="M19" s="576"/>
      <c r="N19" s="576"/>
      <c r="O19" s="577">
        <v>60000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567"/>
      <c r="C20" s="578"/>
      <c r="D20" s="579"/>
      <c r="E20" s="580"/>
      <c r="F20" s="579"/>
      <c r="G20" s="581"/>
      <c r="H20" s="580"/>
      <c r="I20" s="580"/>
      <c r="J20" s="580"/>
      <c r="K20" s="580"/>
      <c r="L20" s="576"/>
      <c r="M20" s="576"/>
      <c r="N20" s="576"/>
      <c r="O20" s="577"/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1</v>
      </c>
      <c r="AQ20" s="655"/>
      <c r="AR20" s="654">
        <f>AP20*2000</f>
        <v>2000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1</v>
      </c>
      <c r="AY20" s="647"/>
      <c r="AZ20" s="648">
        <f>SUM(AJ20+AN20+AR20+AV20)</f>
        <v>2000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/>
      <c r="C21" s="230"/>
      <c r="D21" s="231"/>
      <c r="E21" s="215"/>
      <c r="F21" s="231"/>
      <c r="G21" s="232"/>
      <c r="H21" s="215"/>
      <c r="I21" s="215"/>
      <c r="J21" s="233"/>
      <c r="K21" s="215"/>
      <c r="L21" s="234"/>
      <c r="M21" s="234"/>
      <c r="N21" s="234"/>
      <c r="O21" s="218"/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/>
      <c r="C22" s="230"/>
      <c r="D22" s="231"/>
      <c r="E22" s="215"/>
      <c r="F22" s="231"/>
      <c r="G22" s="232"/>
      <c r="H22" s="215"/>
      <c r="I22" s="215"/>
      <c r="J22" s="215"/>
      <c r="K22" s="215"/>
      <c r="L22" s="234"/>
      <c r="M22" s="234"/>
      <c r="N22" s="234"/>
      <c r="O22" s="218"/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/>
      <c r="C23" s="230"/>
      <c r="D23" s="231"/>
      <c r="E23" s="215"/>
      <c r="F23" s="231"/>
      <c r="G23" s="232"/>
      <c r="H23" s="215"/>
      <c r="I23" s="215"/>
      <c r="J23" s="215"/>
      <c r="K23" s="215"/>
      <c r="L23" s="234"/>
      <c r="M23" s="234"/>
      <c r="N23" s="234"/>
      <c r="O23" s="218"/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/>
      <c r="C24" s="230"/>
      <c r="D24" s="231"/>
      <c r="E24" s="215"/>
      <c r="F24" s="231"/>
      <c r="G24" s="232"/>
      <c r="H24" s="215"/>
      <c r="I24" s="215"/>
      <c r="J24" s="215"/>
      <c r="K24" s="215"/>
      <c r="L24" s="234"/>
      <c r="M24" s="234"/>
      <c r="N24" s="234"/>
      <c r="O24" s="218"/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1</v>
      </c>
      <c r="AQ24" s="655"/>
      <c r="AR24" s="654">
        <f>SUM(AR20:AS23)</f>
        <v>2000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1</v>
      </c>
      <c r="AY24" s="647"/>
      <c r="AZ24" s="648">
        <f>SUM(AZ20:BA23)</f>
        <v>2000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/>
      <c r="C25" s="230"/>
      <c r="D25" s="230"/>
      <c r="E25" s="215"/>
      <c r="F25" s="231"/>
      <c r="G25" s="232"/>
      <c r="H25" s="215"/>
      <c r="I25" s="215"/>
      <c r="J25" s="215"/>
      <c r="K25" s="215"/>
      <c r="L25" s="234"/>
      <c r="M25" s="234"/>
      <c r="N25" s="234"/>
      <c r="O25" s="218"/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/>
      <c r="C26" s="230"/>
      <c r="D26" s="263"/>
      <c r="E26" s="215"/>
      <c r="F26" s="231"/>
      <c r="G26" s="232"/>
      <c r="H26" s="215"/>
      <c r="I26" s="215"/>
      <c r="J26" s="237"/>
      <c r="K26" s="238"/>
      <c r="L26" s="234"/>
      <c r="M26" s="234"/>
      <c r="N26" s="234"/>
      <c r="O26" s="218"/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/>
      <c r="C27" s="230"/>
      <c r="D27" s="231"/>
      <c r="E27" s="215"/>
      <c r="F27" s="231"/>
      <c r="G27" s="232"/>
      <c r="H27" s="215"/>
      <c r="I27" s="215"/>
      <c r="J27" s="215"/>
      <c r="K27" s="215"/>
      <c r="L27" s="234"/>
      <c r="M27" s="234"/>
      <c r="N27" s="234"/>
      <c r="O27" s="218"/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/>
      <c r="C28" s="230"/>
      <c r="D28" s="231"/>
      <c r="E28" s="215"/>
      <c r="F28" s="231"/>
      <c r="G28" s="232"/>
      <c r="H28" s="215"/>
      <c r="I28" s="215"/>
      <c r="J28" s="215"/>
      <c r="K28" s="215"/>
      <c r="L28" s="234"/>
      <c r="M28" s="234"/>
      <c r="N28" s="234"/>
      <c r="O28" s="218"/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/>
      <c r="C29" s="230"/>
      <c r="D29" s="231"/>
      <c r="E29" s="215"/>
      <c r="F29" s="231"/>
      <c r="G29" s="232"/>
      <c r="H29" s="215"/>
      <c r="I29" s="215"/>
      <c r="J29" s="215"/>
      <c r="K29" s="215"/>
      <c r="L29" s="234"/>
      <c r="M29" s="234"/>
      <c r="N29" s="234"/>
      <c r="O29" s="218"/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491"/>
      <c r="C30" s="522"/>
      <c r="D30" s="523"/>
      <c r="E30" s="524"/>
      <c r="F30" s="523"/>
      <c r="G30" s="570"/>
      <c r="H30" s="524"/>
      <c r="I30" s="524"/>
      <c r="J30" s="572"/>
      <c r="K30" s="524"/>
      <c r="L30" s="525"/>
      <c r="M30" s="525"/>
      <c r="N30" s="525"/>
      <c r="O30" s="526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1</v>
      </c>
      <c r="AO30" s="829"/>
      <c r="AP30" s="830">
        <f>COUNTIF(F8:F67,"at")</f>
        <v>5</v>
      </c>
      <c r="AQ30" s="830"/>
      <c r="AR30" s="323">
        <f>COUNTIF(F8:F67,"aD")</f>
        <v>0</v>
      </c>
      <c r="AS30" s="830">
        <f>COUNTIF(F8:F67,"sd")</f>
        <v>8</v>
      </c>
      <c r="AT30" s="830"/>
      <c r="AU30" s="830">
        <f>COUNTIF(F8:F67,"st")</f>
        <v>0</v>
      </c>
      <c r="AV30" s="830"/>
      <c r="AW30" s="324">
        <f>COUNTIF(F8:F67,"v")</f>
        <v>2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319"/>
      <c r="C31" s="318"/>
      <c r="D31" s="251"/>
      <c r="E31" s="217"/>
      <c r="F31" s="251"/>
      <c r="G31" s="331"/>
      <c r="H31" s="217"/>
      <c r="I31" s="217"/>
      <c r="J31" s="368"/>
      <c r="K31" s="217"/>
      <c r="L31" s="254"/>
      <c r="M31" s="254"/>
      <c r="N31" s="254"/>
      <c r="O31" s="224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3</v>
      </c>
      <c r="AO31" s="816"/>
      <c r="AP31" s="817">
        <f>AP29-AP30</f>
        <v>5</v>
      </c>
      <c r="AQ31" s="817"/>
      <c r="AR31" s="322">
        <f>AR29-AR30</f>
        <v>2</v>
      </c>
      <c r="AS31" s="817">
        <f>AS29-AS30</f>
        <v>3</v>
      </c>
      <c r="AT31" s="817"/>
      <c r="AU31" s="817">
        <f>AU29-AU30</f>
        <v>5</v>
      </c>
      <c r="AV31" s="817"/>
      <c r="AW31" s="322">
        <f>AW29-AW30</f>
        <v>3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319"/>
      <c r="C32" s="522"/>
      <c r="D32" s="523"/>
      <c r="E32" s="524"/>
      <c r="F32" s="523"/>
      <c r="G32" s="570"/>
      <c r="H32" s="524"/>
      <c r="I32" s="524"/>
      <c r="J32" s="571"/>
      <c r="K32" s="217"/>
      <c r="L32" s="254"/>
      <c r="M32" s="254"/>
      <c r="N32" s="254"/>
      <c r="O32" s="224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319"/>
      <c r="C33" s="318"/>
      <c r="D33" s="251"/>
      <c r="E33" s="217"/>
      <c r="F33" s="251"/>
      <c r="G33" s="331"/>
      <c r="H33" s="217"/>
      <c r="I33" s="217"/>
      <c r="J33" s="368"/>
      <c r="K33" s="217"/>
      <c r="L33" s="254"/>
      <c r="M33" s="254"/>
      <c r="N33" s="254"/>
      <c r="O33" s="224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319"/>
      <c r="C34" s="318"/>
      <c r="D34" s="251"/>
      <c r="E34" s="217"/>
      <c r="F34" s="251"/>
      <c r="G34" s="331"/>
      <c r="H34" s="217"/>
      <c r="I34" s="217"/>
      <c r="J34" s="368"/>
      <c r="K34" s="217"/>
      <c r="L34" s="254"/>
      <c r="M34" s="254"/>
      <c r="N34" s="254"/>
      <c r="O34" s="224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319"/>
      <c r="C35" s="318"/>
      <c r="D35" s="251"/>
      <c r="E35" s="217"/>
      <c r="F35" s="251"/>
      <c r="G35" s="331"/>
      <c r="H35" s="217"/>
      <c r="I35" s="217"/>
      <c r="J35" s="369"/>
      <c r="K35" s="367"/>
      <c r="L35" s="254"/>
      <c r="M35" s="254"/>
      <c r="N35" s="254"/>
      <c r="O35" s="224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32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33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thickBot="1" x14ac:dyDescent="0.35">
      <c r="A40" s="228">
        <v>33</v>
      </c>
      <c r="B40" s="229"/>
      <c r="C40" s="318"/>
      <c r="D40" s="251"/>
      <c r="E40" s="217"/>
      <c r="F40" s="251"/>
      <c r="G40" s="331"/>
      <c r="H40" s="217"/>
      <c r="I40" s="217"/>
      <c r="J40" s="369"/>
      <c r="K40" s="217"/>
      <c r="L40" s="254"/>
      <c r="M40" s="254"/>
      <c r="N40" s="254"/>
      <c r="O40" s="224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thickTop="1" x14ac:dyDescent="0.3">
      <c r="A41" s="228">
        <v>34</v>
      </c>
      <c r="B41" s="527">
        <v>506</v>
      </c>
      <c r="C41" s="568" t="s">
        <v>248</v>
      </c>
      <c r="D41" s="561" t="s">
        <v>934</v>
      </c>
      <c r="E41" s="562" t="s">
        <v>936</v>
      </c>
      <c r="F41" s="561" t="s">
        <v>167</v>
      </c>
      <c r="G41" s="563" t="s">
        <v>163</v>
      </c>
      <c r="H41" s="562" t="s">
        <v>164</v>
      </c>
      <c r="I41" s="562" t="s">
        <v>165</v>
      </c>
      <c r="J41" s="564" t="s">
        <v>189</v>
      </c>
      <c r="K41" s="562"/>
      <c r="L41" s="565"/>
      <c r="M41" s="565"/>
      <c r="N41" s="565"/>
      <c r="O41" s="566">
        <v>0</v>
      </c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>
        <v>1114</v>
      </c>
      <c r="C42" s="425" t="s">
        <v>52</v>
      </c>
      <c r="D42" s="426" t="s">
        <v>1140</v>
      </c>
      <c r="E42" s="427" t="s">
        <v>363</v>
      </c>
      <c r="F42" s="426" t="s">
        <v>159</v>
      </c>
      <c r="G42" s="428" t="s">
        <v>1200</v>
      </c>
      <c r="H42" s="427" t="s">
        <v>164</v>
      </c>
      <c r="I42" s="427" t="s">
        <v>165</v>
      </c>
      <c r="J42" s="429" t="s">
        <v>189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1115</v>
      </c>
      <c r="C43" s="230" t="s">
        <v>52</v>
      </c>
      <c r="D43" s="251" t="s">
        <v>1138</v>
      </c>
      <c r="E43" s="215"/>
      <c r="F43" s="231" t="s">
        <v>159</v>
      </c>
      <c r="G43" s="232" t="s">
        <v>1142</v>
      </c>
      <c r="H43" s="215" t="s">
        <v>164</v>
      </c>
      <c r="I43" s="215" t="s">
        <v>165</v>
      </c>
      <c r="J43" s="237" t="s">
        <v>189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1116</v>
      </c>
      <c r="C44" s="409" t="s">
        <v>1047</v>
      </c>
      <c r="D44" s="251" t="s">
        <v>1137</v>
      </c>
      <c r="E44" s="215"/>
      <c r="F44" s="231" t="s">
        <v>1069</v>
      </c>
      <c r="G44" s="232" t="s">
        <v>1142</v>
      </c>
      <c r="H44" s="215" t="s">
        <v>164</v>
      </c>
      <c r="I44" s="215" t="s">
        <v>165</v>
      </c>
      <c r="J44" s="237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805</v>
      </c>
      <c r="C45" s="230" t="s">
        <v>925</v>
      </c>
      <c r="D45" s="231" t="s">
        <v>926</v>
      </c>
      <c r="E45" s="215" t="s">
        <v>802</v>
      </c>
      <c r="F45" s="231" t="s">
        <v>167</v>
      </c>
      <c r="G45" s="232" t="s">
        <v>895</v>
      </c>
      <c r="H45" s="215" t="s">
        <v>164</v>
      </c>
      <c r="I45" s="215" t="s">
        <v>165</v>
      </c>
      <c r="J45" s="233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1208</v>
      </c>
      <c r="C46" s="230" t="s">
        <v>693</v>
      </c>
      <c r="D46" s="231" t="s">
        <v>902</v>
      </c>
      <c r="E46" s="215"/>
      <c r="F46" s="231" t="s">
        <v>700</v>
      </c>
      <c r="G46" s="232" t="s">
        <v>908</v>
      </c>
      <c r="H46" s="215" t="s">
        <v>164</v>
      </c>
      <c r="I46" s="215" t="s">
        <v>165</v>
      </c>
      <c r="J46" s="233" t="s">
        <v>713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32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1107</v>
      </c>
      <c r="C47" s="230" t="s">
        <v>775</v>
      </c>
      <c r="D47" s="231" t="s">
        <v>853</v>
      </c>
      <c r="E47" s="215" t="s">
        <v>854</v>
      </c>
      <c r="F47" s="231" t="s">
        <v>692</v>
      </c>
      <c r="G47" s="232" t="s">
        <v>743</v>
      </c>
      <c r="H47" s="215" t="s">
        <v>164</v>
      </c>
      <c r="I47" s="215" t="s">
        <v>165</v>
      </c>
      <c r="J47" s="215" t="s">
        <v>733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32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309</v>
      </c>
      <c r="C48" s="230" t="s">
        <v>52</v>
      </c>
      <c r="D48" s="231" t="s">
        <v>656</v>
      </c>
      <c r="E48" s="215"/>
      <c r="F48" s="231" t="s">
        <v>55</v>
      </c>
      <c r="G48" s="232" t="s">
        <v>236</v>
      </c>
      <c r="H48" s="215" t="s">
        <v>164</v>
      </c>
      <c r="I48" s="215" t="s">
        <v>165</v>
      </c>
      <c r="J48" s="233" t="s">
        <v>189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32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308</v>
      </c>
      <c r="C49" s="285" t="s">
        <v>52</v>
      </c>
      <c r="D49" s="275" t="s">
        <v>355</v>
      </c>
      <c r="E49" s="276"/>
      <c r="F49" s="275" t="s">
        <v>55</v>
      </c>
      <c r="G49" s="277" t="s">
        <v>175</v>
      </c>
      <c r="H49" s="276" t="s">
        <v>164</v>
      </c>
      <c r="I49" s="276" t="s">
        <v>165</v>
      </c>
      <c r="J49" s="278" t="s">
        <v>247</v>
      </c>
      <c r="K49" s="276"/>
      <c r="L49" s="279"/>
      <c r="M49" s="279"/>
      <c r="N49" s="279"/>
      <c r="O49" s="442">
        <v>0</v>
      </c>
      <c r="P49" s="483">
        <v>42</v>
      </c>
      <c r="Q49" s="273"/>
      <c r="R49" s="274"/>
      <c r="S49" s="276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9"/>
      <c r="K50" s="266"/>
      <c r="L50" s="257"/>
      <c r="M50" s="257"/>
      <c r="N50" s="257"/>
      <c r="O50" s="223"/>
      <c r="P50" s="268">
        <v>43</v>
      </c>
      <c r="Q50" s="264"/>
      <c r="R50" s="255"/>
      <c r="S50" s="266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1</v>
      </c>
      <c r="BB54" s="681"/>
      <c r="BC54" s="679">
        <f>AZ24</f>
        <v>2000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1</v>
      </c>
      <c r="BB55" s="681"/>
      <c r="BC55" s="679">
        <f>SUM(BC53:BE54)</f>
        <v>2000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3</v>
      </c>
      <c r="AQ60" s="56">
        <f>SUMIF($C$8:$C$72, $AK60, $L$8:$L$72)+SUMIF($C$8:$C$72, $AK60, $M$8:$M$72)+SUMIF($C$8:$C$72, $AK60, $N$8:$N$72)+SUMIF($C$8:$C$72, $AK60, $O$8:$O$72)</f>
        <v>185000</v>
      </c>
      <c r="AR60" s="57">
        <f>AQ60*0.9</f>
        <v>166500</v>
      </c>
      <c r="AS60" s="58">
        <f t="shared" ref="AS60:AS70" si="4">SUM(AN60+AQ60)</f>
        <v>185000</v>
      </c>
      <c r="AT60" s="59">
        <f t="shared" ref="AT60:AT70" si="5">AO60+AR60</f>
        <v>166500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5</v>
      </c>
      <c r="AQ61" s="56">
        <f t="shared" ref="AQ61:AQ70" si="8">SUMIF($C$8:$C$72, $AK61, $L$8:$L$72)+SUMIF($C$8:$C$72, $AK61, $M$8:$M$72)+SUMIF($C$8:$C$72, $AK61, $N$8:$N$72)+SUMIF($C$8:$C$72, $AK61, $O$8:$O$72)</f>
        <v>425000</v>
      </c>
      <c r="AR61" s="57">
        <f t="shared" ref="AR61:AR70" si="9">AQ61*0.9</f>
        <v>382500</v>
      </c>
      <c r="AS61" s="58">
        <f t="shared" si="4"/>
        <v>425000</v>
      </c>
      <c r="AT61" s="59">
        <f t="shared" si="5"/>
        <v>382500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6</v>
      </c>
      <c r="AQ62" s="56">
        <f t="shared" si="8"/>
        <v>126700</v>
      </c>
      <c r="AR62" s="57">
        <f t="shared" si="9"/>
        <v>114030</v>
      </c>
      <c r="AS62" s="58">
        <f t="shared" si="4"/>
        <v>126700</v>
      </c>
      <c r="AT62" s="59">
        <f t="shared" si="5"/>
        <v>114030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1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220500</v>
      </c>
      <c r="AR66" s="57">
        <f t="shared" si="9"/>
        <v>198450</v>
      </c>
      <c r="AS66" s="58">
        <f t="shared" si="4"/>
        <v>220500</v>
      </c>
      <c r="AT66" s="59">
        <f t="shared" si="5"/>
        <v>198450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1</v>
      </c>
      <c r="AQ67" s="56">
        <f t="shared" si="8"/>
        <v>145572</v>
      </c>
      <c r="AR67" s="57">
        <f t="shared" si="9"/>
        <v>131014.8</v>
      </c>
      <c r="AS67" s="58">
        <f t="shared" si="4"/>
        <v>145572</v>
      </c>
      <c r="AT67" s="59">
        <f t="shared" si="5"/>
        <v>131014.8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17" t="s">
        <v>1214</v>
      </c>
      <c r="D68" s="251" t="s">
        <v>1211</v>
      </c>
      <c r="E68" s="217" t="s">
        <v>1210</v>
      </c>
      <c r="F68" s="250"/>
      <c r="G68" s="251"/>
      <c r="H68" s="217"/>
      <c r="I68" s="217" t="s">
        <v>1212</v>
      </c>
      <c r="J68" s="217"/>
      <c r="K68" s="217"/>
      <c r="L68" s="252"/>
      <c r="M68" s="252">
        <v>20000</v>
      </c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1102772</v>
      </c>
      <c r="BD68" s="656"/>
      <c r="BE68" s="655"/>
    </row>
    <row r="69" spans="1:57" ht="64.5" customHeight="1" x14ac:dyDescent="0.3">
      <c r="A69" s="659"/>
      <c r="B69" s="660"/>
      <c r="C69" s="217" t="s">
        <v>1215</v>
      </c>
      <c r="D69" s="251" t="s">
        <v>1213</v>
      </c>
      <c r="E69" s="217" t="s">
        <v>1210</v>
      </c>
      <c r="F69" s="250"/>
      <c r="G69" s="251"/>
      <c r="H69" s="217"/>
      <c r="I69" s="217" t="s">
        <v>1212</v>
      </c>
      <c r="J69" s="217"/>
      <c r="K69" s="217"/>
      <c r="L69" s="253"/>
      <c r="M69" s="253">
        <v>20000</v>
      </c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0</v>
      </c>
      <c r="AQ69" s="56">
        <f t="shared" si="8"/>
        <v>0</v>
      </c>
      <c r="AR69" s="57">
        <f t="shared" si="9"/>
        <v>0</v>
      </c>
      <c r="AS69" s="58">
        <f t="shared" si="4"/>
        <v>0</v>
      </c>
      <c r="AT69" s="59">
        <f t="shared" si="5"/>
        <v>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17" t="s">
        <v>1217</v>
      </c>
      <c r="D70" s="251" t="s">
        <v>1218</v>
      </c>
      <c r="E70" s="217" t="s">
        <v>1227</v>
      </c>
      <c r="F70" s="250" t="s">
        <v>1228</v>
      </c>
      <c r="G70" s="251"/>
      <c r="H70" s="217"/>
      <c r="I70" s="217" t="s">
        <v>1229</v>
      </c>
      <c r="J70" s="217"/>
      <c r="K70" s="217"/>
      <c r="L70" s="254"/>
      <c r="M70" s="254">
        <v>20000</v>
      </c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17" t="s">
        <v>1230</v>
      </c>
      <c r="D71" s="251" t="s">
        <v>1231</v>
      </c>
      <c r="E71" s="217" t="s">
        <v>1227</v>
      </c>
      <c r="F71" s="250" t="s">
        <v>1228</v>
      </c>
      <c r="G71" s="251"/>
      <c r="H71" s="217"/>
      <c r="I71" s="217" t="s">
        <v>1229</v>
      </c>
      <c r="J71" s="217"/>
      <c r="K71" s="217"/>
      <c r="L71" s="254"/>
      <c r="M71" s="254">
        <v>20000</v>
      </c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2000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17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1184772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17"/>
      <c r="D73" s="231"/>
      <c r="E73" s="251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19</v>
      </c>
      <c r="AQ73" s="22">
        <f t="shared" si="10"/>
        <v>1102772</v>
      </c>
      <c r="AR73" s="23">
        <f t="shared" si="10"/>
        <v>992494.8</v>
      </c>
      <c r="AS73" s="24">
        <f t="shared" si="10"/>
        <v>1102772</v>
      </c>
      <c r="AT73" s="25">
        <f t="shared" si="10"/>
        <v>992494.8</v>
      </c>
      <c r="AU73" s="692" t="s">
        <v>58</v>
      </c>
      <c r="AV73" s="693"/>
      <c r="AW73" s="693"/>
      <c r="AX73" s="693"/>
      <c r="AY73" s="694"/>
      <c r="AZ73" s="695">
        <f>AS58+AT73</f>
        <v>992494.8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17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17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17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  <row r="1048576" spans="8:8" ht="60" customHeight="1" x14ac:dyDescent="0.3">
      <c r="H1048576" s="215"/>
    </row>
  </sheetData>
  <sheetProtection formatCells="0" formatColumns="0" formatRows="0" insertColumns="0" insertRows="0" deleteColumns="0" deleteRows="0"/>
  <autoFilter ref="R7:R67" xr:uid="{00000000-0009-0000-0000-00001B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7">
    <cfRule type="cellIs" dxfId="111" priority="1" operator="equal">
      <formula>"여기어때"</formula>
    </cfRule>
    <cfRule type="cellIs" dxfId="110" priority="2" operator="equal">
      <formula>"야놀자"</formula>
    </cfRule>
  </conditionalFormatting>
  <conditionalFormatting sqref="D25">
    <cfRule type="cellIs" dxfId="109" priority="191" operator="equal">
      <formula>"여기어때"</formula>
    </cfRule>
    <cfRule type="cellIs" dxfId="108" priority="192" operator="equal">
      <formula>"야놀자"</formula>
    </cfRule>
  </conditionalFormatting>
  <conditionalFormatting sqref="R8:R66">
    <cfRule type="cellIs" dxfId="107" priority="137" operator="equal">
      <formula>"여기어때"</formula>
    </cfRule>
    <cfRule type="cellIs" dxfId="106" priority="138" operator="equal">
      <formula>"야놀자"</formula>
    </cfRule>
  </conditionalFormatting>
  <conditionalFormatting sqref="R73">
    <cfRule type="cellIs" dxfId="105" priority="281" operator="equal">
      <formula>"여기어때"</formula>
    </cfRule>
    <cfRule type="cellIs" dxfId="104" priority="282" operator="equal">
      <formula>"야놀자"</formula>
    </cfRule>
  </conditionalFormatting>
  <conditionalFormatting sqref="AL30:AM30">
    <cfRule type="cellIs" dxfId="103" priority="266" operator="greaterThan">
      <formula>$AL$29</formula>
    </cfRule>
    <cfRule type="cellIs" dxfId="102" priority="274" operator="equal">
      <formula>$AL$29</formula>
    </cfRule>
  </conditionalFormatting>
  <conditionalFormatting sqref="AN30:AO30">
    <cfRule type="cellIs" dxfId="101" priority="265" operator="greaterThan">
      <formula>$AN$29</formula>
    </cfRule>
    <cfRule type="cellIs" dxfId="100" priority="273" operator="equal">
      <formula>$AN$29</formula>
    </cfRule>
  </conditionalFormatting>
  <conditionalFormatting sqref="AP30:AQ30">
    <cfRule type="cellIs" dxfId="99" priority="264" operator="greaterThan">
      <formula>$AP$29</formula>
    </cfRule>
    <cfRule type="cellIs" dxfId="98" priority="272" operator="equal">
      <formula>$AP$29</formula>
    </cfRule>
  </conditionalFormatting>
  <conditionalFormatting sqref="AR30">
    <cfRule type="cellIs" dxfId="97" priority="263" operator="greaterThan">
      <formula>$AR$29</formula>
    </cfRule>
    <cfRule type="cellIs" dxfId="96" priority="271" operator="equal">
      <formula>$AR$29</formula>
    </cfRule>
  </conditionalFormatting>
  <conditionalFormatting sqref="AS30:AT30">
    <cfRule type="cellIs" dxfId="95" priority="262" operator="greaterThan">
      <formula>$AS$29</formula>
    </cfRule>
    <cfRule type="cellIs" dxfId="94" priority="270" operator="equal">
      <formula>$AS$29</formula>
    </cfRule>
  </conditionalFormatting>
  <conditionalFormatting sqref="AU30:AV30">
    <cfRule type="cellIs" dxfId="93" priority="261" operator="greaterThan">
      <formula>$AU$29</formula>
    </cfRule>
    <cfRule type="cellIs" dxfId="92" priority="269" operator="equal">
      <formula>$AU$29</formula>
    </cfRule>
  </conditionalFormatting>
  <conditionalFormatting sqref="AW30">
    <cfRule type="cellIs" dxfId="91" priority="260" operator="greaterThan">
      <formula>$AW$29</formula>
    </cfRule>
    <cfRule type="cellIs" dxfId="90" priority="268" operator="equal">
      <formula>$AW$29</formula>
    </cfRule>
  </conditionalFormatting>
  <conditionalFormatting sqref="AX30:AY30">
    <cfRule type="cellIs" dxfId="89" priority="259" operator="greaterThan">
      <formula>$AX$29</formula>
    </cfRule>
    <cfRule type="cellIs" dxfId="88" priority="267" operator="equal">
      <formula>$AX$29</formula>
    </cfRule>
  </conditionalFormatting>
  <dataValidations count="1">
    <dataValidation type="list" allowBlank="1" showInputMessage="1" showErrorMessage="1" sqref="A8:A67 P8:P67" xr:uid="{BCF23DEA-ED76-47D3-82B1-3BB4C5747B65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71B3-1CBC-40D0-886F-309D36292D1A}">
  <sheetPr codeName="Sheet29">
    <tabColor theme="0" tint="-0.14999847407452621"/>
    <pageSetUpPr fitToPage="1"/>
  </sheetPr>
  <dimension ref="A1:BJ89"/>
  <sheetViews>
    <sheetView view="pageBreakPreview" zoomScale="25" zoomScaleNormal="25" zoomScaleSheetLayoutView="25" workbookViewId="0">
      <pane ySplit="7" topLeftCell="A32" activePane="bottomLeft" state="frozen"/>
      <selection activeCell="P30" sqref="P30"/>
      <selection pane="bottomLeft" activeCell="G44" sqref="G44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305</v>
      </c>
      <c r="T1" s="834"/>
      <c r="U1" s="834"/>
      <c r="V1" s="834"/>
      <c r="W1" s="834"/>
      <c r="X1" s="834"/>
      <c r="Y1" s="835"/>
      <c r="Z1" s="1" t="s">
        <v>2</v>
      </c>
      <c r="AA1" s="873">
        <v>45929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1306500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32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421500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'29'!AA1</f>
        <v>45929</v>
      </c>
      <c r="AM2" s="863"/>
      <c r="AN2" s="863"/>
      <c r="AO2" s="864"/>
      <c r="AP2" s="865" t="s">
        <v>10</v>
      </c>
      <c r="AQ2" s="866"/>
      <c r="AR2" s="866"/>
      <c r="AS2" s="863">
        <f>AA1+1</f>
        <v>45930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이정경 주간/김선우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1306500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421500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5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0</v>
      </c>
      <c r="D6" s="356">
        <f>AN31</f>
        <v>0</v>
      </c>
      <c r="E6" s="356">
        <f>AP31</f>
        <v>3</v>
      </c>
      <c r="F6" s="356">
        <f>AR31</f>
        <v>0</v>
      </c>
      <c r="G6" s="356">
        <f>AS31</f>
        <v>1</v>
      </c>
      <c r="H6" s="356">
        <f>AU31</f>
        <v>3</v>
      </c>
      <c r="I6" s="356">
        <f>AW31</f>
        <v>3</v>
      </c>
      <c r="J6" s="356">
        <f>AX31</f>
        <v>0</v>
      </c>
      <c r="K6" s="606"/>
      <c r="L6" s="607"/>
      <c r="M6" s="356"/>
      <c r="N6" s="606">
        <f>C6+D6+E6+F6+G6+H6+I6+J6+K6</f>
        <v>10</v>
      </c>
      <c r="O6" s="602"/>
      <c r="P6" s="599">
        <f>C2</f>
        <v>1306500</v>
      </c>
      <c r="Q6" s="600"/>
      <c r="R6" s="300">
        <f>AN14+AN15</f>
        <v>0</v>
      </c>
      <c r="S6" s="300">
        <f>AZ14+AZ15</f>
        <v>0</v>
      </c>
      <c r="T6" s="300">
        <f>AR14+AR15</f>
        <v>10000</v>
      </c>
      <c r="U6" s="609">
        <f>AS60</f>
        <v>725000</v>
      </c>
      <c r="V6" s="600"/>
      <c r="W6" s="609">
        <f>AS61</f>
        <v>500000</v>
      </c>
      <c r="X6" s="600"/>
      <c r="Y6" s="609">
        <f>AS62</f>
        <v>0</v>
      </c>
      <c r="Z6" s="600"/>
      <c r="AA6" s="300">
        <f>AS63</f>
        <v>0</v>
      </c>
      <c r="AB6" s="300">
        <f>AS66</f>
        <v>0</v>
      </c>
      <c r="AC6" s="300">
        <f>AS67</f>
        <v>0</v>
      </c>
      <c r="AD6" s="300">
        <f>SUMIFS(O7:O47,C7:C47,"트립")</f>
        <v>0</v>
      </c>
      <c r="AE6" s="300">
        <f>AS65</f>
        <v>0</v>
      </c>
      <c r="AF6" s="300">
        <f>AS69</f>
        <v>71500</v>
      </c>
      <c r="AG6" s="300">
        <f>AS70</f>
        <v>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567">
        <v>1004</v>
      </c>
      <c r="C8" s="230" t="s">
        <v>191</v>
      </c>
      <c r="D8" s="467" t="s">
        <v>737</v>
      </c>
      <c r="E8" s="215" t="s">
        <v>867</v>
      </c>
      <c r="F8" s="231" t="s">
        <v>167</v>
      </c>
      <c r="G8" s="232" t="s">
        <v>163</v>
      </c>
      <c r="H8" s="215" t="s">
        <v>164</v>
      </c>
      <c r="I8" s="215" t="s">
        <v>165</v>
      </c>
      <c r="J8" s="233" t="s">
        <v>189</v>
      </c>
      <c r="K8" s="215"/>
      <c r="L8" s="234"/>
      <c r="M8" s="234"/>
      <c r="N8" s="234"/>
      <c r="O8" s="218">
        <v>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1210</v>
      </c>
      <c r="C9" s="230" t="s">
        <v>191</v>
      </c>
      <c r="D9" s="231" t="s">
        <v>805</v>
      </c>
      <c r="E9" s="215" t="s">
        <v>866</v>
      </c>
      <c r="F9" s="231" t="s">
        <v>161</v>
      </c>
      <c r="G9" s="232" t="s">
        <v>163</v>
      </c>
      <c r="H9" s="215" t="s">
        <v>164</v>
      </c>
      <c r="I9" s="215" t="s">
        <v>165</v>
      </c>
      <c r="J9" s="233" t="s">
        <v>247</v>
      </c>
      <c r="K9" s="215"/>
      <c r="L9" s="234"/>
      <c r="M9" s="234"/>
      <c r="N9" s="234"/>
      <c r="O9" s="219">
        <v>0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404</v>
      </c>
      <c r="C10" s="230" t="s">
        <v>74</v>
      </c>
      <c r="D10" s="231" t="s">
        <v>1152</v>
      </c>
      <c r="E10" s="215" t="s">
        <v>166</v>
      </c>
      <c r="F10" s="231" t="s">
        <v>167</v>
      </c>
      <c r="G10" s="232" t="s">
        <v>163</v>
      </c>
      <c r="H10" s="215" t="s">
        <v>164</v>
      </c>
      <c r="I10" s="215" t="s">
        <v>165</v>
      </c>
      <c r="J10" s="233" t="s">
        <v>189</v>
      </c>
      <c r="K10" s="215" t="s">
        <v>1196</v>
      </c>
      <c r="L10" s="234"/>
      <c r="M10" s="234"/>
      <c r="N10" s="234"/>
      <c r="O10" s="220">
        <v>60000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0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32</v>
      </c>
      <c r="AU10" s="625"/>
      <c r="AV10" s="625">
        <f>SUM(O8:O67)</f>
        <v>1296500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32</v>
      </c>
      <c r="BC10" s="799"/>
      <c r="BD10" s="800">
        <f>SUM(AN10+AR10+AV10+AZ10)</f>
        <v>1296500</v>
      </c>
      <c r="BE10" s="801"/>
    </row>
    <row r="11" spans="1:58" ht="64.5" customHeight="1" x14ac:dyDescent="0.3">
      <c r="A11" s="228">
        <v>4</v>
      </c>
      <c r="B11" s="229">
        <v>902</v>
      </c>
      <c r="C11" s="230" t="s">
        <v>1179</v>
      </c>
      <c r="D11" s="231" t="s">
        <v>1180</v>
      </c>
      <c r="E11" s="215" t="s">
        <v>1187</v>
      </c>
      <c r="F11" s="231" t="s">
        <v>1195</v>
      </c>
      <c r="G11" s="232" t="s">
        <v>1175</v>
      </c>
      <c r="H11" s="215" t="s">
        <v>164</v>
      </c>
      <c r="I11" s="215" t="s">
        <v>165</v>
      </c>
      <c r="J11" s="233" t="s">
        <v>189</v>
      </c>
      <c r="K11" s="215"/>
      <c r="L11" s="234"/>
      <c r="M11" s="234"/>
      <c r="N11" s="234"/>
      <c r="O11" s="218">
        <v>71500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1107</v>
      </c>
      <c r="C12" s="230" t="s">
        <v>1182</v>
      </c>
      <c r="D12" s="467" t="s">
        <v>1221</v>
      </c>
      <c r="E12" s="215" t="s">
        <v>1250</v>
      </c>
      <c r="F12" s="231" t="s">
        <v>1195</v>
      </c>
      <c r="G12" s="232" t="s">
        <v>1175</v>
      </c>
      <c r="H12" s="215" t="s">
        <v>164</v>
      </c>
      <c r="I12" s="215" t="s">
        <v>165</v>
      </c>
      <c r="J12" s="233" t="s">
        <v>189</v>
      </c>
      <c r="K12" s="215"/>
      <c r="L12" s="234"/>
      <c r="M12" s="234"/>
      <c r="N12" s="234"/>
      <c r="O12" s="218">
        <v>70000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811</v>
      </c>
      <c r="C13" s="230" t="s">
        <v>1182</v>
      </c>
      <c r="D13" s="231" t="s">
        <v>1223</v>
      </c>
      <c r="E13" s="215" t="s">
        <v>166</v>
      </c>
      <c r="F13" s="231" t="s">
        <v>1206</v>
      </c>
      <c r="G13" s="232" t="s">
        <v>1175</v>
      </c>
      <c r="H13" s="215" t="s">
        <v>164</v>
      </c>
      <c r="I13" s="215" t="s">
        <v>165</v>
      </c>
      <c r="J13" s="233" t="s">
        <v>189</v>
      </c>
      <c r="K13" s="215"/>
      <c r="L13" s="234"/>
      <c r="M13" s="234"/>
      <c r="N13" s="234"/>
      <c r="O13" s="219">
        <v>60000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1206</v>
      </c>
      <c r="C14" s="230" t="s">
        <v>1182</v>
      </c>
      <c r="D14" s="231" t="s">
        <v>1235</v>
      </c>
      <c r="E14" s="215" t="s">
        <v>1187</v>
      </c>
      <c r="F14" s="231" t="s">
        <v>1174</v>
      </c>
      <c r="G14" s="232" t="s">
        <v>1175</v>
      </c>
      <c r="H14" s="215" t="s">
        <v>1236</v>
      </c>
      <c r="I14" s="215" t="s">
        <v>165</v>
      </c>
      <c r="J14" s="233" t="s">
        <v>189</v>
      </c>
      <c r="K14" s="215"/>
      <c r="L14" s="234"/>
      <c r="M14" s="234"/>
      <c r="N14" s="234"/>
      <c r="O14" s="218">
        <v>65000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0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32</v>
      </c>
      <c r="AU14" s="653"/>
      <c r="AV14" s="653">
        <f>SUM(AV10:AW13)</f>
        <v>1296500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32</v>
      </c>
      <c r="BC14" s="655"/>
      <c r="BD14" s="782">
        <f>SUM(BD10:BE13)</f>
        <v>1296500</v>
      </c>
      <c r="BE14" s="783"/>
    </row>
    <row r="15" spans="1:58" ht="64.5" customHeight="1" thickBot="1" x14ac:dyDescent="0.35">
      <c r="A15" s="228">
        <v>8</v>
      </c>
      <c r="B15" s="229">
        <v>308</v>
      </c>
      <c r="C15" s="230" t="s">
        <v>1182</v>
      </c>
      <c r="D15" s="251" t="s">
        <v>1237</v>
      </c>
      <c r="E15" s="215" t="s">
        <v>166</v>
      </c>
      <c r="F15" s="231" t="s">
        <v>1181</v>
      </c>
      <c r="G15" s="232" t="s">
        <v>1175</v>
      </c>
      <c r="H15" s="215" t="s">
        <v>1236</v>
      </c>
      <c r="I15" s="215" t="s">
        <v>165</v>
      </c>
      <c r="J15" s="233" t="s">
        <v>189</v>
      </c>
      <c r="K15" s="215" t="s">
        <v>1196</v>
      </c>
      <c r="L15" s="234"/>
      <c r="M15" s="234"/>
      <c r="N15" s="234"/>
      <c r="O15" s="220">
        <v>60000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5</v>
      </c>
      <c r="AQ15" s="633"/>
      <c r="AR15" s="632">
        <f>AR24</f>
        <v>10000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5</v>
      </c>
      <c r="BC15" s="633"/>
      <c r="BD15" s="776">
        <f>SUM(AN15+AR15+AV15+AZ15)</f>
        <v>10000</v>
      </c>
      <c r="BE15" s="777"/>
    </row>
    <row r="16" spans="1:58" ht="64.5" customHeight="1" thickBot="1" x14ac:dyDescent="0.35">
      <c r="A16" s="228">
        <v>9</v>
      </c>
      <c r="B16" s="229">
        <v>1011</v>
      </c>
      <c r="C16" s="230" t="s">
        <v>1172</v>
      </c>
      <c r="D16" s="251" t="s">
        <v>1241</v>
      </c>
      <c r="E16" s="215" t="s">
        <v>166</v>
      </c>
      <c r="F16" s="231" t="s">
        <v>1206</v>
      </c>
      <c r="G16" s="232" t="s">
        <v>1175</v>
      </c>
      <c r="H16" s="215" t="s">
        <v>1236</v>
      </c>
      <c r="I16" s="215" t="s">
        <v>165</v>
      </c>
      <c r="J16" s="233" t="s">
        <v>189</v>
      </c>
      <c r="K16" s="238">
        <v>2</v>
      </c>
      <c r="L16" s="234"/>
      <c r="M16" s="234"/>
      <c r="N16" s="234"/>
      <c r="O16" s="218">
        <v>60000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1306500</v>
      </c>
      <c r="BE16" s="652"/>
      <c r="BF16" s="10"/>
    </row>
    <row r="17" spans="1:62" ht="64.5" customHeight="1" thickBot="1" x14ac:dyDescent="0.35">
      <c r="A17" s="228">
        <v>10</v>
      </c>
      <c r="B17" s="229">
        <v>609</v>
      </c>
      <c r="C17" s="230" t="s">
        <v>1172</v>
      </c>
      <c r="D17" s="251" t="s">
        <v>1239</v>
      </c>
      <c r="E17" s="215" t="s">
        <v>166</v>
      </c>
      <c r="F17" s="231" t="s">
        <v>1195</v>
      </c>
      <c r="G17" s="232" t="s">
        <v>1175</v>
      </c>
      <c r="H17" s="215" t="s">
        <v>1236</v>
      </c>
      <c r="I17" s="215" t="s">
        <v>165</v>
      </c>
      <c r="J17" s="233" t="s">
        <v>189</v>
      </c>
      <c r="K17" s="215" t="s">
        <v>1196</v>
      </c>
      <c r="L17" s="234"/>
      <c r="M17" s="234"/>
      <c r="N17" s="234"/>
      <c r="O17" s="218">
        <v>60000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907</v>
      </c>
      <c r="C18" s="230" t="s">
        <v>1172</v>
      </c>
      <c r="D18" s="251" t="s">
        <v>1240</v>
      </c>
      <c r="E18" s="215" t="s">
        <v>166</v>
      </c>
      <c r="F18" s="231" t="s">
        <v>1195</v>
      </c>
      <c r="G18" s="232" t="s">
        <v>1175</v>
      </c>
      <c r="H18" s="215" t="s">
        <v>1236</v>
      </c>
      <c r="I18" s="215" t="s">
        <v>165</v>
      </c>
      <c r="J18" s="233" t="s">
        <v>189</v>
      </c>
      <c r="K18" s="215"/>
      <c r="L18" s="234"/>
      <c r="M18" s="234"/>
      <c r="N18" s="234"/>
      <c r="O18" s="218">
        <v>60000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>
        <v>713</v>
      </c>
      <c r="C19" s="230" t="s">
        <v>1172</v>
      </c>
      <c r="D19" s="231" t="s">
        <v>1242</v>
      </c>
      <c r="E19" s="215" t="s">
        <v>166</v>
      </c>
      <c r="F19" s="231" t="s">
        <v>1184</v>
      </c>
      <c r="G19" s="232" t="s">
        <v>1175</v>
      </c>
      <c r="H19" s="215" t="s">
        <v>1236</v>
      </c>
      <c r="I19" s="215" t="s">
        <v>165</v>
      </c>
      <c r="J19" s="233" t="s">
        <v>189</v>
      </c>
      <c r="K19" s="215"/>
      <c r="L19" s="234"/>
      <c r="M19" s="234"/>
      <c r="N19" s="234"/>
      <c r="O19" s="218">
        <v>60000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715</v>
      </c>
      <c r="C20" s="230" t="s">
        <v>1172</v>
      </c>
      <c r="D20" s="231" t="s">
        <v>1243</v>
      </c>
      <c r="E20" s="215" t="s">
        <v>166</v>
      </c>
      <c r="F20" s="231" t="s">
        <v>1184</v>
      </c>
      <c r="G20" s="232" t="s">
        <v>1175</v>
      </c>
      <c r="H20" s="215" t="s">
        <v>1236</v>
      </c>
      <c r="I20" s="215" t="s">
        <v>165</v>
      </c>
      <c r="J20" s="233" t="s">
        <v>189</v>
      </c>
      <c r="K20" s="215"/>
      <c r="L20" s="234"/>
      <c r="M20" s="234"/>
      <c r="N20" s="234"/>
      <c r="O20" s="218">
        <v>60000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5</v>
      </c>
      <c r="AQ20" s="655"/>
      <c r="AR20" s="654">
        <f>AP20*2000</f>
        <v>10000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5</v>
      </c>
      <c r="AY20" s="647"/>
      <c r="AZ20" s="648">
        <f>SUM(AJ20+AN20+AR20+AV20)</f>
        <v>10000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906</v>
      </c>
      <c r="C21" s="230" t="s">
        <v>1172</v>
      </c>
      <c r="D21" s="231" t="s">
        <v>1244</v>
      </c>
      <c r="E21" s="215" t="s">
        <v>363</v>
      </c>
      <c r="F21" s="231" t="s">
        <v>1191</v>
      </c>
      <c r="G21" s="232" t="s">
        <v>1175</v>
      </c>
      <c r="H21" s="215" t="s">
        <v>1236</v>
      </c>
      <c r="I21" s="215" t="s">
        <v>165</v>
      </c>
      <c r="J21" s="233" t="s">
        <v>189</v>
      </c>
      <c r="K21" s="215"/>
      <c r="L21" s="234"/>
      <c r="M21" s="234"/>
      <c r="N21" s="234"/>
      <c r="O21" s="218">
        <v>65000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>
        <v>1105</v>
      </c>
      <c r="C22" s="230" t="s">
        <v>1172</v>
      </c>
      <c r="D22" s="263" t="s">
        <v>1245</v>
      </c>
      <c r="E22" s="215" t="s">
        <v>166</v>
      </c>
      <c r="F22" s="231" t="s">
        <v>1174</v>
      </c>
      <c r="G22" s="232" t="s">
        <v>1246</v>
      </c>
      <c r="H22" s="215" t="s">
        <v>1236</v>
      </c>
      <c r="I22" s="215" t="s">
        <v>165</v>
      </c>
      <c r="J22" s="215" t="s">
        <v>1176</v>
      </c>
      <c r="K22" s="215"/>
      <c r="L22" s="234"/>
      <c r="M22" s="234"/>
      <c r="N22" s="234"/>
      <c r="O22" s="218">
        <v>180000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>
        <v>1112</v>
      </c>
      <c r="C23" s="230" t="s">
        <v>1182</v>
      </c>
      <c r="D23" s="304" t="s">
        <v>1249</v>
      </c>
      <c r="E23" s="305" t="s">
        <v>166</v>
      </c>
      <c r="F23" s="304" t="s">
        <v>1184</v>
      </c>
      <c r="G23" s="232" t="s">
        <v>1175</v>
      </c>
      <c r="H23" s="215" t="s">
        <v>1236</v>
      </c>
      <c r="I23" s="215" t="s">
        <v>165</v>
      </c>
      <c r="J23" s="233" t="s">
        <v>1176</v>
      </c>
      <c r="K23" s="215"/>
      <c r="L23" s="234"/>
      <c r="M23" s="234"/>
      <c r="N23" s="234"/>
      <c r="O23" s="218">
        <v>60000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>
        <v>615</v>
      </c>
      <c r="C24" s="230" t="s">
        <v>1172</v>
      </c>
      <c r="D24" s="231" t="s">
        <v>1251</v>
      </c>
      <c r="E24" s="215" t="s">
        <v>166</v>
      </c>
      <c r="F24" s="231" t="s">
        <v>1184</v>
      </c>
      <c r="G24" s="232" t="s">
        <v>1175</v>
      </c>
      <c r="H24" s="215" t="s">
        <v>1236</v>
      </c>
      <c r="I24" s="215" t="s">
        <v>165</v>
      </c>
      <c r="J24" s="233" t="s">
        <v>1176</v>
      </c>
      <c r="K24" s="215"/>
      <c r="L24" s="234"/>
      <c r="M24" s="234"/>
      <c r="N24" s="234"/>
      <c r="O24" s="218">
        <v>60000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5</v>
      </c>
      <c r="AQ24" s="655"/>
      <c r="AR24" s="654">
        <f>SUM(AR20:AS23)</f>
        <v>10000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5</v>
      </c>
      <c r="AY24" s="647"/>
      <c r="AZ24" s="648">
        <f>SUM(AZ20:BA23)</f>
        <v>10000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>
        <v>1111</v>
      </c>
      <c r="C25" s="230" t="s">
        <v>1182</v>
      </c>
      <c r="D25" s="231" t="s">
        <v>1252</v>
      </c>
      <c r="E25" s="215"/>
      <c r="F25" s="231" t="s">
        <v>1206</v>
      </c>
      <c r="G25" s="232" t="s">
        <v>1175</v>
      </c>
      <c r="H25" s="215" t="s">
        <v>1236</v>
      </c>
      <c r="I25" s="215" t="s">
        <v>165</v>
      </c>
      <c r="J25" s="215" t="s">
        <v>1176</v>
      </c>
      <c r="K25" s="215"/>
      <c r="L25" s="234"/>
      <c r="M25" s="234"/>
      <c r="N25" s="234"/>
      <c r="O25" s="218">
        <v>65000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>
        <v>805</v>
      </c>
      <c r="C26" s="230" t="s">
        <v>1182</v>
      </c>
      <c r="D26" s="231" t="s">
        <v>1253</v>
      </c>
      <c r="E26" s="215" t="s">
        <v>166</v>
      </c>
      <c r="F26" s="231" t="s">
        <v>1195</v>
      </c>
      <c r="G26" s="232" t="s">
        <v>1175</v>
      </c>
      <c r="H26" s="215" t="s">
        <v>1236</v>
      </c>
      <c r="I26" s="215" t="s">
        <v>165</v>
      </c>
      <c r="J26" s="237" t="s">
        <v>1194</v>
      </c>
      <c r="K26" s="238"/>
      <c r="L26" s="234"/>
      <c r="M26" s="234"/>
      <c r="N26" s="234"/>
      <c r="O26" s="218">
        <v>60000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>
        <v>809</v>
      </c>
      <c r="C27" s="230" t="s">
        <v>1172</v>
      </c>
      <c r="D27" s="231" t="s">
        <v>1254</v>
      </c>
      <c r="E27" s="215" t="s">
        <v>166</v>
      </c>
      <c r="F27" s="231" t="s">
        <v>1195</v>
      </c>
      <c r="G27" s="232" t="s">
        <v>1175</v>
      </c>
      <c r="H27" s="215" t="s">
        <v>1236</v>
      </c>
      <c r="I27" s="215" t="s">
        <v>165</v>
      </c>
      <c r="J27" s="237" t="s">
        <v>1194</v>
      </c>
      <c r="K27" s="215"/>
      <c r="L27" s="234"/>
      <c r="M27" s="234"/>
      <c r="N27" s="234"/>
      <c r="O27" s="218">
        <v>60000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>
        <v>409</v>
      </c>
      <c r="C28" s="230" t="s">
        <v>1224</v>
      </c>
      <c r="D28" s="231" t="s">
        <v>1256</v>
      </c>
      <c r="E28" s="215" t="s">
        <v>1187</v>
      </c>
      <c r="F28" s="231" t="s">
        <v>1195</v>
      </c>
      <c r="G28" s="232" t="s">
        <v>1175</v>
      </c>
      <c r="H28" s="215" t="s">
        <v>164</v>
      </c>
      <c r="I28" s="215" t="s">
        <v>165</v>
      </c>
      <c r="J28" s="215" t="s">
        <v>1194</v>
      </c>
      <c r="K28" s="215" t="s">
        <v>1196</v>
      </c>
      <c r="L28" s="234"/>
      <c r="M28" s="234"/>
      <c r="N28" s="234"/>
      <c r="O28" s="218">
        <v>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>
        <v>1214</v>
      </c>
      <c r="C29" s="230" t="s">
        <v>1182</v>
      </c>
      <c r="D29" s="231" t="s">
        <v>1258</v>
      </c>
      <c r="E29" s="215" t="s">
        <v>166</v>
      </c>
      <c r="F29" s="231" t="s">
        <v>1191</v>
      </c>
      <c r="G29" s="232" t="s">
        <v>1175</v>
      </c>
      <c r="H29" s="215" t="s">
        <v>164</v>
      </c>
      <c r="I29" s="215" t="s">
        <v>165</v>
      </c>
      <c r="J29" s="215" t="s">
        <v>1194</v>
      </c>
      <c r="K29" s="215"/>
      <c r="L29" s="234"/>
      <c r="M29" s="234"/>
      <c r="N29" s="234"/>
      <c r="O29" s="218">
        <v>60000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/>
      <c r="C30" s="230"/>
      <c r="D30" s="231"/>
      <c r="E30" s="215"/>
      <c r="F30" s="231"/>
      <c r="G30" s="232"/>
      <c r="H30" s="215"/>
      <c r="I30" s="215"/>
      <c r="J30" s="233"/>
      <c r="K30" s="215"/>
      <c r="L30" s="234"/>
      <c r="M30" s="234"/>
      <c r="N30" s="234"/>
      <c r="O30" s="218"/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5</v>
      </c>
      <c r="AM30" s="828"/>
      <c r="AN30" s="829">
        <f>COUNTIF(F8:F67,"b")</f>
        <v>4</v>
      </c>
      <c r="AO30" s="829"/>
      <c r="AP30" s="830">
        <f>COUNTIF(F8:F67,"at")</f>
        <v>7</v>
      </c>
      <c r="AQ30" s="830"/>
      <c r="AR30" s="323">
        <f>COUNTIF(F8:F67,"aD")</f>
        <v>2</v>
      </c>
      <c r="AS30" s="830">
        <f>COUNTIF(F8:F67,"sd")</f>
        <v>10</v>
      </c>
      <c r="AT30" s="830"/>
      <c r="AU30" s="830">
        <f>COUNTIF(F8:F67,"st")</f>
        <v>2</v>
      </c>
      <c r="AV30" s="830"/>
      <c r="AW30" s="324">
        <f>COUNTIF(F8:F67,"v")</f>
        <v>2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/>
      <c r="C31" s="230"/>
      <c r="D31" s="231"/>
      <c r="E31" s="215"/>
      <c r="F31" s="231"/>
      <c r="G31" s="232"/>
      <c r="H31" s="215"/>
      <c r="I31" s="215"/>
      <c r="J31" s="233"/>
      <c r="K31" s="215"/>
      <c r="L31" s="234"/>
      <c r="M31" s="234"/>
      <c r="N31" s="234"/>
      <c r="O31" s="218"/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0</v>
      </c>
      <c r="AM31" s="815"/>
      <c r="AN31" s="816">
        <f>AN29-AN30</f>
        <v>0</v>
      </c>
      <c r="AO31" s="816"/>
      <c r="AP31" s="817">
        <f>AP29-AP30</f>
        <v>3</v>
      </c>
      <c r="AQ31" s="817"/>
      <c r="AR31" s="322">
        <f>AR29-AR30</f>
        <v>0</v>
      </c>
      <c r="AS31" s="817">
        <f>AS29-AS30</f>
        <v>1</v>
      </c>
      <c r="AT31" s="817"/>
      <c r="AU31" s="817">
        <f>AU29-AU30</f>
        <v>3</v>
      </c>
      <c r="AV31" s="817"/>
      <c r="AW31" s="322">
        <f>AW29-AW30</f>
        <v>3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/>
      <c r="C32" s="230"/>
      <c r="D32" s="231"/>
      <c r="E32" s="215"/>
      <c r="F32" s="231"/>
      <c r="G32" s="232"/>
      <c r="H32" s="215"/>
      <c r="I32" s="215"/>
      <c r="J32" s="237"/>
      <c r="K32" s="238"/>
      <c r="L32" s="234"/>
      <c r="M32" s="234"/>
      <c r="N32" s="234"/>
      <c r="O32" s="218"/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/>
      <c r="C33" s="230"/>
      <c r="D33" s="231"/>
      <c r="E33" s="215"/>
      <c r="F33" s="231"/>
      <c r="G33" s="232"/>
      <c r="H33" s="215"/>
      <c r="I33" s="215"/>
      <c r="J33" s="215"/>
      <c r="K33" s="215"/>
      <c r="L33" s="234"/>
      <c r="M33" s="234"/>
      <c r="N33" s="234"/>
      <c r="O33" s="218"/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33"/>
      <c r="K34" s="215"/>
      <c r="L34" s="234"/>
      <c r="M34" s="234"/>
      <c r="N34" s="234"/>
      <c r="O34" s="218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37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574"/>
      <c r="C37" s="318"/>
      <c r="D37" s="217"/>
      <c r="E37" s="251"/>
      <c r="F37" s="331"/>
      <c r="G37" s="217"/>
      <c r="H37" s="217"/>
      <c r="I37" s="217"/>
      <c r="J37" s="217"/>
      <c r="K37" s="254"/>
      <c r="L37" s="254"/>
      <c r="M37" s="254"/>
      <c r="N37" s="254"/>
      <c r="O37" s="573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33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>
        <v>506</v>
      </c>
      <c r="C40" s="503" t="s">
        <v>248</v>
      </c>
      <c r="D40" s="504" t="s">
        <v>934</v>
      </c>
      <c r="E40" s="505" t="s">
        <v>936</v>
      </c>
      <c r="F40" s="504" t="s">
        <v>167</v>
      </c>
      <c r="G40" s="506" t="s">
        <v>163</v>
      </c>
      <c r="H40" s="505" t="s">
        <v>164</v>
      </c>
      <c r="I40" s="505" t="s">
        <v>165</v>
      </c>
      <c r="J40" s="505" t="s">
        <v>189</v>
      </c>
      <c r="K40" s="505"/>
      <c r="L40" s="507"/>
      <c r="M40" s="507"/>
      <c r="N40" s="507"/>
      <c r="O40" s="508">
        <v>0</v>
      </c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>
        <v>305</v>
      </c>
      <c r="C41" s="230" t="s">
        <v>1192</v>
      </c>
      <c r="D41" s="251" t="s">
        <v>1204</v>
      </c>
      <c r="E41" s="215"/>
      <c r="F41" s="231" t="s">
        <v>1181</v>
      </c>
      <c r="G41" s="232" t="s">
        <v>1205</v>
      </c>
      <c r="H41" s="215" t="s">
        <v>164</v>
      </c>
      <c r="I41" s="215" t="s">
        <v>165</v>
      </c>
      <c r="J41" s="215" t="s">
        <v>1194</v>
      </c>
      <c r="K41" s="215"/>
      <c r="L41" s="234"/>
      <c r="M41" s="234"/>
      <c r="N41" s="234"/>
      <c r="O41" s="218">
        <v>0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>
        <v>1114</v>
      </c>
      <c r="C42" s="425" t="s">
        <v>52</v>
      </c>
      <c r="D42" s="426" t="s">
        <v>1140</v>
      </c>
      <c r="E42" s="427" t="s">
        <v>363</v>
      </c>
      <c r="F42" s="426" t="s">
        <v>159</v>
      </c>
      <c r="G42" s="428" t="s">
        <v>1201</v>
      </c>
      <c r="H42" s="427" t="s">
        <v>164</v>
      </c>
      <c r="I42" s="427" t="s">
        <v>165</v>
      </c>
      <c r="J42" s="429" t="s">
        <v>189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1115</v>
      </c>
      <c r="C43" s="230" t="s">
        <v>52</v>
      </c>
      <c r="D43" s="251" t="s">
        <v>1138</v>
      </c>
      <c r="E43" s="215"/>
      <c r="F43" s="231" t="s">
        <v>159</v>
      </c>
      <c r="G43" s="232" t="s">
        <v>1143</v>
      </c>
      <c r="H43" s="215" t="s">
        <v>164</v>
      </c>
      <c r="I43" s="215" t="s">
        <v>165</v>
      </c>
      <c r="J43" s="237" t="s">
        <v>189</v>
      </c>
      <c r="K43" s="215"/>
      <c r="L43" s="234"/>
      <c r="M43" s="234"/>
      <c r="N43" s="234"/>
      <c r="O43" s="21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1116</v>
      </c>
      <c r="C44" s="409" t="s">
        <v>52</v>
      </c>
      <c r="D44" s="251" t="s">
        <v>1137</v>
      </c>
      <c r="E44" s="215"/>
      <c r="F44" s="231" t="s">
        <v>159</v>
      </c>
      <c r="G44" s="232" t="s">
        <v>1143</v>
      </c>
      <c r="H44" s="215" t="s">
        <v>164</v>
      </c>
      <c r="I44" s="215" t="s">
        <v>165</v>
      </c>
      <c r="J44" s="237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911</v>
      </c>
      <c r="C45" s="230" t="s">
        <v>1043</v>
      </c>
      <c r="D45" s="231" t="s">
        <v>1115</v>
      </c>
      <c r="E45" s="215" t="s">
        <v>1072</v>
      </c>
      <c r="F45" s="231" t="s">
        <v>1067</v>
      </c>
      <c r="G45" s="232" t="s">
        <v>1116</v>
      </c>
      <c r="H45" s="215" t="s">
        <v>164</v>
      </c>
      <c r="I45" s="215" t="s">
        <v>165</v>
      </c>
      <c r="J45" s="215" t="s">
        <v>1060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307</v>
      </c>
      <c r="C46" s="230" t="s">
        <v>693</v>
      </c>
      <c r="D46" s="231" t="s">
        <v>950</v>
      </c>
      <c r="E46" s="215"/>
      <c r="F46" s="231" t="s">
        <v>55</v>
      </c>
      <c r="G46" s="232" t="s">
        <v>172</v>
      </c>
      <c r="H46" s="215" t="s">
        <v>164</v>
      </c>
      <c r="I46" s="215" t="s">
        <v>165</v>
      </c>
      <c r="J46" s="215" t="s">
        <v>886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1208</v>
      </c>
      <c r="C47" s="230" t="s">
        <v>693</v>
      </c>
      <c r="D47" s="231" t="s">
        <v>902</v>
      </c>
      <c r="E47" s="215"/>
      <c r="F47" s="231" t="s">
        <v>700</v>
      </c>
      <c r="G47" s="232" t="s">
        <v>909</v>
      </c>
      <c r="H47" s="215" t="s">
        <v>164</v>
      </c>
      <c r="I47" s="215" t="s">
        <v>165</v>
      </c>
      <c r="J47" s="233" t="s">
        <v>713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309</v>
      </c>
      <c r="C48" s="230" t="s">
        <v>52</v>
      </c>
      <c r="D48" s="231" t="s">
        <v>656</v>
      </c>
      <c r="E48" s="215"/>
      <c r="F48" s="231" t="s">
        <v>55</v>
      </c>
      <c r="G48" s="232" t="s">
        <v>237</v>
      </c>
      <c r="H48" s="215" t="s">
        <v>164</v>
      </c>
      <c r="I48" s="215" t="s">
        <v>165</v>
      </c>
      <c r="J48" s="233" t="s">
        <v>189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501</v>
      </c>
      <c r="C49" s="285" t="s">
        <v>81</v>
      </c>
      <c r="D49" s="275" t="s">
        <v>473</v>
      </c>
      <c r="E49" s="276"/>
      <c r="F49" s="275" t="s">
        <v>161</v>
      </c>
      <c r="G49" s="277" t="s">
        <v>172</v>
      </c>
      <c r="H49" s="276" t="s">
        <v>164</v>
      </c>
      <c r="I49" s="276" t="s">
        <v>165</v>
      </c>
      <c r="J49" s="278" t="s">
        <v>189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5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0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30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5</v>
      </c>
      <c r="BB54" s="681"/>
      <c r="BC54" s="679">
        <f>AZ24</f>
        <v>10000</v>
      </c>
      <c r="BD54" s="680"/>
      <c r="BE54" s="681"/>
    </row>
    <row r="55" spans="1:57" ht="64.5" customHeight="1" x14ac:dyDescent="0.3">
      <c r="A55" s="228">
        <v>48</v>
      </c>
      <c r="B55" s="242"/>
      <c r="C55" s="230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5</v>
      </c>
      <c r="BB55" s="681"/>
      <c r="BC55" s="679">
        <f>SUM(BC53:BE54)</f>
        <v>10000</v>
      </c>
      <c r="BD55" s="680"/>
      <c r="BE55" s="681"/>
    </row>
    <row r="56" spans="1:57" ht="64.5" customHeight="1" x14ac:dyDescent="0.3">
      <c r="A56" s="228">
        <v>49</v>
      </c>
      <c r="B56" s="242"/>
      <c r="C56" s="230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10</v>
      </c>
      <c r="AQ60" s="56">
        <f>SUMIF($C$8:$C$72, $AK60, $L$8:$L$72)+SUMIF($C$8:$C$72, $AK60, $M$8:$M$72)+SUMIF($C$8:$C$72, $AK60, $N$8:$N$72)+SUMIF($C$8:$C$72, $AK60, $O$8:$O$72)</f>
        <v>725000</v>
      </c>
      <c r="AR60" s="57">
        <f>AQ60*0.9</f>
        <v>652500</v>
      </c>
      <c r="AS60" s="58">
        <f t="shared" ref="AS60:AS70" si="4">SUM(AN60+AQ60)</f>
        <v>725000</v>
      </c>
      <c r="AT60" s="59">
        <f t="shared" ref="AT60:AT70" si="5">AO60+AR60</f>
        <v>652500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9</v>
      </c>
      <c r="AQ61" s="56">
        <f t="shared" ref="AQ61:AQ70" si="8">SUMIF($C$8:$C$72, $AK61, $L$8:$L$72)+SUMIF($C$8:$C$72, $AK61, $M$8:$M$72)+SUMIF($C$8:$C$72, $AK61, $N$8:$N$72)+SUMIF($C$8:$C$72, $AK61, $O$8:$O$72)</f>
        <v>500000</v>
      </c>
      <c r="AR61" s="57">
        <f t="shared" ref="AR61:AR70" si="9">AQ61*0.9</f>
        <v>450000</v>
      </c>
      <c r="AS61" s="58">
        <f t="shared" si="4"/>
        <v>500000</v>
      </c>
      <c r="AT61" s="59">
        <f t="shared" si="5"/>
        <v>450000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5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0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3</v>
      </c>
      <c r="AQ66" s="56">
        <f t="shared" si="8"/>
        <v>0</v>
      </c>
      <c r="AR66" s="57">
        <f t="shared" si="9"/>
        <v>0</v>
      </c>
      <c r="AS66" s="58">
        <f t="shared" si="4"/>
        <v>0</v>
      </c>
      <c r="AT66" s="59">
        <f t="shared" si="5"/>
        <v>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1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49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0</v>
      </c>
      <c r="AQ68" s="56">
        <f t="shared" si="8"/>
        <v>0</v>
      </c>
      <c r="AR68" s="57">
        <f t="shared" si="9"/>
        <v>0</v>
      </c>
      <c r="AS68" s="58">
        <f t="shared" si="4"/>
        <v>0</v>
      </c>
      <c r="AT68" s="59">
        <f t="shared" si="5"/>
        <v>0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1296500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1</v>
      </c>
      <c r="AQ69" s="56">
        <f t="shared" si="8"/>
        <v>71500</v>
      </c>
      <c r="AR69" s="57">
        <f t="shared" si="9"/>
        <v>64350</v>
      </c>
      <c r="AS69" s="58">
        <f t="shared" si="4"/>
        <v>71500</v>
      </c>
      <c r="AT69" s="59">
        <f t="shared" si="5"/>
        <v>64350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0</v>
      </c>
      <c r="AQ70" s="56">
        <f t="shared" si="8"/>
        <v>0</v>
      </c>
      <c r="AR70" s="57">
        <f t="shared" si="9"/>
        <v>0</v>
      </c>
      <c r="AS70" s="58">
        <f t="shared" si="4"/>
        <v>0</v>
      </c>
      <c r="AT70" s="59">
        <f t="shared" si="5"/>
        <v>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10000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1306500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29</v>
      </c>
      <c r="AQ73" s="22">
        <f t="shared" si="10"/>
        <v>1296500</v>
      </c>
      <c r="AR73" s="23">
        <f t="shared" si="10"/>
        <v>1166850</v>
      </c>
      <c r="AS73" s="24">
        <f t="shared" si="10"/>
        <v>1296500</v>
      </c>
      <c r="AT73" s="25">
        <f t="shared" si="10"/>
        <v>1166850</v>
      </c>
      <c r="AU73" s="692" t="s">
        <v>58</v>
      </c>
      <c r="AV73" s="693"/>
      <c r="AW73" s="693"/>
      <c r="AX73" s="693"/>
      <c r="AY73" s="694"/>
      <c r="AZ73" s="695">
        <f>AS58+AT73</f>
        <v>1166850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C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B37">
    <cfRule type="cellIs" dxfId="87" priority="69" operator="equal">
      <formula>"여기어때"</formula>
    </cfRule>
    <cfRule type="cellIs" dxfId="86" priority="70" operator="equal">
      <formula>"야놀자"</formula>
    </cfRule>
  </conditionalFormatting>
  <conditionalFormatting sqref="C8:C36">
    <cfRule type="cellIs" dxfId="85" priority="1" operator="equal">
      <formula>"여기어때"</formula>
    </cfRule>
    <cfRule type="cellIs" dxfId="84" priority="2" operator="equal">
      <formula>"야놀자"</formula>
    </cfRule>
  </conditionalFormatting>
  <conditionalFormatting sqref="C38:C67">
    <cfRule type="cellIs" dxfId="83" priority="3" operator="equal">
      <formula>"여기어때"</formula>
    </cfRule>
    <cfRule type="cellIs" dxfId="82" priority="4" operator="equal">
      <formula>"야놀자"</formula>
    </cfRule>
  </conditionalFormatting>
  <conditionalFormatting sqref="R8:R66">
    <cfRule type="cellIs" dxfId="81" priority="219" operator="equal">
      <formula>"여기어때"</formula>
    </cfRule>
    <cfRule type="cellIs" dxfId="80" priority="220" operator="equal">
      <formula>"야놀자"</formula>
    </cfRule>
  </conditionalFormatting>
  <conditionalFormatting sqref="R73">
    <cfRule type="cellIs" dxfId="79" priority="221" operator="equal">
      <formula>"여기어때"</formula>
    </cfRule>
    <cfRule type="cellIs" dxfId="78" priority="222" operator="equal">
      <formula>"야놀자"</formula>
    </cfRule>
  </conditionalFormatting>
  <conditionalFormatting sqref="AL30:AM30">
    <cfRule type="cellIs" dxfId="77" priority="206" operator="greaterThan">
      <formula>$AL$29</formula>
    </cfRule>
    <cfRule type="cellIs" dxfId="76" priority="214" operator="equal">
      <formula>$AL$29</formula>
    </cfRule>
  </conditionalFormatting>
  <conditionalFormatting sqref="AN30:AO30">
    <cfRule type="cellIs" dxfId="75" priority="205" operator="greaterThan">
      <formula>$AN$29</formula>
    </cfRule>
    <cfRule type="cellIs" dxfId="74" priority="213" operator="equal">
      <formula>$AN$29</formula>
    </cfRule>
  </conditionalFormatting>
  <conditionalFormatting sqref="AP30:AQ30">
    <cfRule type="cellIs" dxfId="73" priority="204" operator="greaterThan">
      <formula>$AP$29</formula>
    </cfRule>
    <cfRule type="cellIs" dxfId="72" priority="212" operator="equal">
      <formula>$AP$29</formula>
    </cfRule>
  </conditionalFormatting>
  <conditionalFormatting sqref="AR30">
    <cfRule type="cellIs" dxfId="71" priority="203" operator="greaterThan">
      <formula>$AR$29</formula>
    </cfRule>
    <cfRule type="cellIs" dxfId="70" priority="211" operator="equal">
      <formula>$AR$29</formula>
    </cfRule>
  </conditionalFormatting>
  <conditionalFormatting sqref="AS30:AT30">
    <cfRule type="cellIs" dxfId="69" priority="202" operator="greaterThan">
      <formula>$AS$29</formula>
    </cfRule>
    <cfRule type="cellIs" dxfId="68" priority="210" operator="equal">
      <formula>$AS$29</formula>
    </cfRule>
  </conditionalFormatting>
  <conditionalFormatting sqref="AU30:AV30">
    <cfRule type="cellIs" dxfId="67" priority="201" operator="greaterThan">
      <formula>$AU$29</formula>
    </cfRule>
    <cfRule type="cellIs" dxfId="66" priority="209" operator="equal">
      <formula>$AU$29</formula>
    </cfRule>
  </conditionalFormatting>
  <conditionalFormatting sqref="AW30">
    <cfRule type="cellIs" dxfId="65" priority="200" operator="greaterThan">
      <formula>$AW$29</formula>
    </cfRule>
    <cfRule type="cellIs" dxfId="64" priority="208" operator="equal">
      <formula>$AW$29</formula>
    </cfRule>
  </conditionalFormatting>
  <conditionalFormatting sqref="AX30:AY30">
    <cfRule type="cellIs" dxfId="63" priority="199" operator="greaterThan">
      <formula>$AX$29</formula>
    </cfRule>
    <cfRule type="cellIs" dxfId="62" priority="207" operator="equal">
      <formula>$AX$29</formula>
    </cfRule>
  </conditionalFormatting>
  <dataValidations disablePrompts="1" count="1">
    <dataValidation type="list" allowBlank="1" showInputMessage="1" showErrorMessage="1" sqref="A8:A67 C68:C73 C75:C76 P8:P40 P42:P67" xr:uid="{C59E505D-EAC0-4805-8E29-BFCCB4000279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A45C-5E2D-4719-BF82-8A9D31B68FF6}">
  <sheetPr codeName="Sheet30">
    <tabColor rgb="FF00B0F0"/>
    <pageSetUpPr fitToPage="1"/>
  </sheetPr>
  <dimension ref="A1:BJ89"/>
  <sheetViews>
    <sheetView view="pageBreakPreview" zoomScale="25" zoomScaleNormal="25" zoomScaleSheetLayoutView="25" workbookViewId="0">
      <pane ySplit="7" topLeftCell="A29" activePane="bottomLeft" state="frozen"/>
      <selection activeCell="O8" sqref="O8"/>
      <selection pane="bottomLeft" activeCell="V31" sqref="V31"/>
    </sheetView>
  </sheetViews>
  <sheetFormatPr defaultColWidth="15.625" defaultRowHeight="60" customHeight="1" x14ac:dyDescent="0.3"/>
  <cols>
    <col min="1" max="1" width="15.625" customWidth="1"/>
    <col min="2" max="2" width="20.625" customWidth="1"/>
    <col min="3" max="3" width="39.875" customWidth="1"/>
    <col min="4" max="5" width="39.375" customWidth="1"/>
    <col min="6" max="6" width="20.625" customWidth="1"/>
    <col min="7" max="7" width="31.125" style="29" customWidth="1"/>
    <col min="8" max="9" width="22.625" customWidth="1"/>
    <col min="10" max="10" width="24.125" customWidth="1"/>
    <col min="11" max="11" width="12.625" customWidth="1"/>
    <col min="12" max="15" width="35.25" customWidth="1"/>
    <col min="16" max="16" width="15.625" customWidth="1"/>
    <col min="17" max="17" width="20.625" customWidth="1"/>
    <col min="18" max="20" width="35.625" customWidth="1"/>
    <col min="21" max="26" width="17.625" customWidth="1"/>
    <col min="27" max="33" width="32.625" customWidth="1"/>
    <col min="37" max="37" width="27.125" customWidth="1"/>
    <col min="38" max="39" width="15.875" customWidth="1"/>
    <col min="40" max="41" width="44.625" customWidth="1"/>
    <col min="42" max="42" width="15.875" customWidth="1"/>
    <col min="43" max="46" width="44.625" customWidth="1"/>
    <col min="48" max="49" width="37.625" customWidth="1"/>
    <col min="50" max="51" width="15.875" customWidth="1"/>
    <col min="52" max="53" width="35.625" customWidth="1"/>
    <col min="56" max="57" width="35.625" customWidth="1"/>
  </cols>
  <sheetData>
    <row r="1" spans="1:58" ht="117" customHeight="1" thickBot="1" x14ac:dyDescent="0.35">
      <c r="A1" s="831" t="s">
        <v>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5" t="s">
        <v>1</v>
      </c>
      <c r="Q1" s="806"/>
      <c r="R1" s="806"/>
      <c r="S1" s="833" t="s">
        <v>813</v>
      </c>
      <c r="T1" s="834"/>
      <c r="U1" s="834"/>
      <c r="V1" s="834"/>
      <c r="W1" s="834"/>
      <c r="X1" s="834"/>
      <c r="Y1" s="835"/>
      <c r="Z1" s="1" t="s">
        <v>2</v>
      </c>
      <c r="AA1" s="873">
        <v>45930</v>
      </c>
      <c r="AB1" s="874"/>
      <c r="AC1" s="874"/>
      <c r="AD1" s="874"/>
      <c r="AE1" s="874"/>
      <c r="AF1" s="874"/>
      <c r="AG1" s="874"/>
      <c r="AH1" s="2"/>
      <c r="AI1" s="842" t="s">
        <v>3</v>
      </c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</row>
    <row r="2" spans="1:58" ht="60" customHeight="1" thickBot="1" x14ac:dyDescent="0.35">
      <c r="A2" s="843" t="s">
        <v>4</v>
      </c>
      <c r="B2" s="844"/>
      <c r="C2" s="867">
        <f>AZ72</f>
        <v>2020876</v>
      </c>
      <c r="D2" s="868"/>
      <c r="E2" s="868"/>
      <c r="F2" s="869"/>
      <c r="G2" s="847" t="s">
        <v>5</v>
      </c>
      <c r="H2" s="623">
        <f>COUNTA($Z$8:$AE$67)</f>
        <v>0</v>
      </c>
      <c r="I2" s="786"/>
      <c r="J2" s="786"/>
      <c r="K2" s="786"/>
      <c r="L2" s="796"/>
      <c r="M2" s="849" t="s">
        <v>6</v>
      </c>
      <c r="N2" s="623">
        <f>COUNTA($L$8:$O$67)</f>
        <v>35</v>
      </c>
      <c r="O2" s="786"/>
      <c r="P2" s="807"/>
      <c r="Q2" s="808"/>
      <c r="R2" s="808"/>
      <c r="S2" s="836"/>
      <c r="T2" s="837"/>
      <c r="U2" s="837"/>
      <c r="V2" s="837"/>
      <c r="W2" s="837"/>
      <c r="X2" s="837"/>
      <c r="Y2" s="838"/>
      <c r="Z2" s="855" t="s">
        <v>7</v>
      </c>
      <c r="AA2" s="3" t="s">
        <v>8</v>
      </c>
      <c r="AB2" s="875">
        <v>421500</v>
      </c>
      <c r="AC2" s="876"/>
      <c r="AD2" s="876"/>
      <c r="AE2" s="876"/>
      <c r="AF2" s="876"/>
      <c r="AG2" s="877"/>
      <c r="AH2" s="4"/>
      <c r="AI2" s="857" t="s">
        <v>9</v>
      </c>
      <c r="AJ2" s="857"/>
      <c r="AK2" s="858"/>
      <c r="AL2" s="862">
        <f>'30'!AA1</f>
        <v>45930</v>
      </c>
      <c r="AM2" s="863"/>
      <c r="AN2" s="863"/>
      <c r="AO2" s="864"/>
      <c r="AP2" s="865" t="s">
        <v>10</v>
      </c>
      <c r="AQ2" s="866"/>
      <c r="AR2" s="866"/>
      <c r="AS2" s="863">
        <f>AA1+1</f>
        <v>45931</v>
      </c>
      <c r="AT2" s="863"/>
      <c r="AU2" s="863"/>
      <c r="AV2" s="863"/>
      <c r="AW2" s="863"/>
      <c r="AX2" s="863"/>
      <c r="AY2" s="864"/>
      <c r="AZ2" s="5" t="s">
        <v>11</v>
      </c>
      <c r="BA2" s="859" t="str">
        <f>S1</f>
        <v>양동건 대체/김선우 야간/황경현 팀장</v>
      </c>
      <c r="BB2" s="860"/>
      <c r="BC2" s="860"/>
      <c r="BD2" s="860"/>
      <c r="BE2" s="861"/>
    </row>
    <row r="3" spans="1:58" ht="60" customHeight="1" thickBot="1" x14ac:dyDescent="0.35">
      <c r="A3" s="845"/>
      <c r="B3" s="846"/>
      <c r="C3" s="870"/>
      <c r="D3" s="871"/>
      <c r="E3" s="871"/>
      <c r="F3" s="872"/>
      <c r="G3" s="848"/>
      <c r="H3" s="851">
        <f>SUM(Z8:AE76)+AZ21</f>
        <v>0</v>
      </c>
      <c r="I3" s="851"/>
      <c r="J3" s="851"/>
      <c r="K3" s="851"/>
      <c r="L3" s="852"/>
      <c r="M3" s="850"/>
      <c r="N3" s="853">
        <f>SUM(L8:O76)+AZ20</f>
        <v>2020876</v>
      </c>
      <c r="O3" s="854"/>
      <c r="P3" s="809"/>
      <c r="Q3" s="810"/>
      <c r="R3" s="810"/>
      <c r="S3" s="839"/>
      <c r="T3" s="840"/>
      <c r="U3" s="840"/>
      <c r="V3" s="840"/>
      <c r="W3" s="840"/>
      <c r="X3" s="840"/>
      <c r="Y3" s="841"/>
      <c r="Z3" s="856"/>
      <c r="AA3" s="6" t="s">
        <v>12</v>
      </c>
      <c r="AB3" s="875">
        <v>421500</v>
      </c>
      <c r="AC3" s="876"/>
      <c r="AD3" s="876"/>
      <c r="AE3" s="876"/>
      <c r="AF3" s="876"/>
      <c r="AG3" s="877"/>
      <c r="AH3" s="4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 spans="1:58" ht="78" customHeight="1" thickBot="1" x14ac:dyDescent="0.35">
      <c r="A4" s="593" t="s">
        <v>150</v>
      </c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298">
        <f>SUM(COUNTIF(B8:B67,{301,302,303,305,306,307,308,309,501,502,503,505,701,702,703,705,706,707,708,709}))</f>
        <v>6</v>
      </c>
      <c r="O4" s="299">
        <f>SUM(COUNTIF(B8:B67,{201,202,203,205,206,207,208,209,506,507,508,509,601,602,603,605,606,607,608,609}))</f>
        <v>2</v>
      </c>
      <c r="P4" s="610" t="s">
        <v>152</v>
      </c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2"/>
      <c r="AF4" s="338">
        <f>SUM(COUNTIF(S8:S67,{301,302,303,305,306,307,308,309,501,502,503,505,701,702,703,705,706,707,708,709}))</f>
        <v>0</v>
      </c>
      <c r="AG4" s="299">
        <f>SUM(COUNTIF(S8:S67,{201,202,203,205,206,207,208,209,506,507,508,509,601,602,603,605,606,607,608,609}))</f>
        <v>0</v>
      </c>
      <c r="AH4" s="294"/>
      <c r="AI4" s="295"/>
      <c r="AJ4" s="295"/>
      <c r="AK4" s="296"/>
      <c r="AL4" s="592"/>
      <c r="AM4" s="592"/>
      <c r="AN4" s="592"/>
      <c r="AO4" s="592"/>
      <c r="AP4" s="592"/>
      <c r="AQ4" s="296"/>
      <c r="AR4" s="296"/>
      <c r="AS4" s="296"/>
      <c r="AT4" s="296"/>
      <c r="AU4" s="296"/>
      <c r="AV4" s="297"/>
      <c r="AW4" s="296"/>
      <c r="AX4" s="296"/>
      <c r="AY4" s="296"/>
      <c r="AZ4" s="296"/>
      <c r="BA4" s="296"/>
      <c r="BB4" s="296"/>
      <c r="BC4" s="296"/>
      <c r="BD4" s="296"/>
      <c r="BE4" s="296"/>
    </row>
    <row r="5" spans="1:58" ht="78" customHeight="1" thickBot="1" x14ac:dyDescent="0.35">
      <c r="A5" s="595" t="s">
        <v>76</v>
      </c>
      <c r="B5" s="595"/>
      <c r="C5" s="355" t="s">
        <v>55</v>
      </c>
      <c r="D5" s="355" t="s">
        <v>158</v>
      </c>
      <c r="E5" s="355" t="s">
        <v>159</v>
      </c>
      <c r="F5" s="355" t="s">
        <v>160</v>
      </c>
      <c r="G5" s="355" t="s">
        <v>167</v>
      </c>
      <c r="H5" s="355" t="s">
        <v>168</v>
      </c>
      <c r="I5" s="355" t="s">
        <v>161</v>
      </c>
      <c r="J5" s="355" t="s">
        <v>169</v>
      </c>
      <c r="K5" s="601"/>
      <c r="L5" s="602"/>
      <c r="M5" s="355"/>
      <c r="N5" s="603" t="s">
        <v>151</v>
      </c>
      <c r="O5" s="604"/>
      <c r="P5" s="596" t="s">
        <v>153</v>
      </c>
      <c r="Q5" s="597"/>
      <c r="R5" s="353" t="s">
        <v>21</v>
      </c>
      <c r="S5" s="353" t="s">
        <v>41</v>
      </c>
      <c r="T5" s="353" t="s">
        <v>22</v>
      </c>
      <c r="U5" s="608" t="s">
        <v>74</v>
      </c>
      <c r="V5" s="597"/>
      <c r="W5" s="608" t="s">
        <v>73</v>
      </c>
      <c r="X5" s="597"/>
      <c r="Y5" s="608" t="s">
        <v>52</v>
      </c>
      <c r="Z5" s="597"/>
      <c r="AA5" s="353" t="s">
        <v>69</v>
      </c>
      <c r="AB5" s="353" t="s">
        <v>70</v>
      </c>
      <c r="AC5" s="353" t="s">
        <v>181</v>
      </c>
      <c r="AD5" s="353" t="s">
        <v>170</v>
      </c>
      <c r="AE5" s="353" t="s">
        <v>135</v>
      </c>
      <c r="AF5" s="353" t="s">
        <v>176</v>
      </c>
      <c r="AG5" s="354" t="s">
        <v>177</v>
      </c>
      <c r="AH5" s="4"/>
      <c r="AI5" s="8"/>
      <c r="AJ5" s="8"/>
      <c r="AK5" s="7"/>
      <c r="AL5" s="605"/>
      <c r="AM5" s="605"/>
      <c r="AN5" s="605"/>
      <c r="AO5" s="605"/>
      <c r="AP5" s="605"/>
      <c r="AQ5" s="7"/>
      <c r="AR5" s="7"/>
      <c r="AS5" s="7"/>
      <c r="AT5" s="7"/>
      <c r="AU5" s="7"/>
      <c r="AV5" s="9"/>
      <c r="AW5" s="7"/>
      <c r="AX5" s="7"/>
      <c r="AY5" s="7"/>
      <c r="AZ5" s="7"/>
      <c r="BA5" s="7"/>
      <c r="BB5" s="7"/>
      <c r="BC5" s="7"/>
      <c r="BD5" s="7"/>
      <c r="BE5" s="7"/>
    </row>
    <row r="6" spans="1:58" ht="78" customHeight="1" thickBot="1" x14ac:dyDescent="0.35">
      <c r="A6" s="598" t="s">
        <v>146</v>
      </c>
      <c r="B6" s="598"/>
      <c r="C6" s="356">
        <f>AL31</f>
        <v>1</v>
      </c>
      <c r="D6" s="356">
        <f>AN31</f>
        <v>1</v>
      </c>
      <c r="E6" s="356">
        <f>AP31</f>
        <v>1</v>
      </c>
      <c r="F6" s="356">
        <f>AR31</f>
        <v>0</v>
      </c>
      <c r="G6" s="356">
        <f>AS31</f>
        <v>2</v>
      </c>
      <c r="H6" s="356">
        <f>AU31</f>
        <v>0</v>
      </c>
      <c r="I6" s="356">
        <f>AW31</f>
        <v>4</v>
      </c>
      <c r="J6" s="356">
        <f>AX31</f>
        <v>0</v>
      </c>
      <c r="K6" s="606"/>
      <c r="L6" s="607"/>
      <c r="M6" s="356"/>
      <c r="N6" s="606">
        <f>C6+D6+E6+F6+G6+H6+I6+J6+K6</f>
        <v>9</v>
      </c>
      <c r="O6" s="602"/>
      <c r="P6" s="599">
        <f>C2</f>
        <v>2020876</v>
      </c>
      <c r="Q6" s="600"/>
      <c r="R6" s="300">
        <f>AN14+AN15</f>
        <v>0</v>
      </c>
      <c r="S6" s="300">
        <f>AZ14+AZ15</f>
        <v>0</v>
      </c>
      <c r="T6" s="300">
        <f>AR14+AR15</f>
        <v>8000</v>
      </c>
      <c r="U6" s="609">
        <f>AS60</f>
        <v>605000</v>
      </c>
      <c r="V6" s="600"/>
      <c r="W6" s="609">
        <f>AS61</f>
        <v>580000</v>
      </c>
      <c r="X6" s="600"/>
      <c r="Y6" s="609">
        <f>AS62</f>
        <v>0</v>
      </c>
      <c r="Z6" s="600"/>
      <c r="AA6" s="300">
        <f>AS63</f>
        <v>0</v>
      </c>
      <c r="AB6" s="300">
        <f>AS66</f>
        <v>420000</v>
      </c>
      <c r="AC6" s="300">
        <f>AS67</f>
        <v>0</v>
      </c>
      <c r="AD6" s="300">
        <f>SUMIFS(O7:O47,C7:C47,"트립")</f>
        <v>193376</v>
      </c>
      <c r="AE6" s="300">
        <f>AS65</f>
        <v>0</v>
      </c>
      <c r="AF6" s="300">
        <f>AS69</f>
        <v>71500</v>
      </c>
      <c r="AG6" s="300">
        <f>AS70</f>
        <v>143000</v>
      </c>
      <c r="AH6" s="4"/>
      <c r="AI6" s="8"/>
      <c r="AJ6" s="8"/>
      <c r="AK6" s="7"/>
      <c r="AL6" s="605"/>
      <c r="AM6" s="605"/>
      <c r="AN6" s="605"/>
      <c r="AO6" s="605"/>
      <c r="AP6" s="605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</row>
    <row r="7" spans="1:58" ht="87" customHeight="1" thickBot="1" x14ac:dyDescent="0.35">
      <c r="A7" s="192" t="s">
        <v>78</v>
      </c>
      <c r="B7" s="193" t="s">
        <v>75</v>
      </c>
      <c r="C7" s="194" t="s">
        <v>13</v>
      </c>
      <c r="D7" s="194" t="s">
        <v>131</v>
      </c>
      <c r="E7" s="194" t="s">
        <v>122</v>
      </c>
      <c r="F7" s="194" t="s">
        <v>76</v>
      </c>
      <c r="G7" s="195" t="s">
        <v>14</v>
      </c>
      <c r="H7" s="195" t="s">
        <v>77</v>
      </c>
      <c r="I7" s="195" t="s">
        <v>148</v>
      </c>
      <c r="J7" s="195" t="s">
        <v>192</v>
      </c>
      <c r="K7" s="195" t="s">
        <v>64</v>
      </c>
      <c r="L7" s="195" t="s">
        <v>15</v>
      </c>
      <c r="M7" s="195" t="s">
        <v>16</v>
      </c>
      <c r="N7" s="195" t="s">
        <v>17</v>
      </c>
      <c r="O7" s="196" t="s">
        <v>18</v>
      </c>
      <c r="P7" s="197" t="s">
        <v>78</v>
      </c>
      <c r="Q7" s="198" t="s">
        <v>75</v>
      </c>
      <c r="R7" s="199" t="s">
        <v>13</v>
      </c>
      <c r="S7" s="199" t="s">
        <v>131</v>
      </c>
      <c r="T7" s="199" t="s">
        <v>122</v>
      </c>
      <c r="U7" s="199" t="s">
        <v>76</v>
      </c>
      <c r="V7" s="200" t="s">
        <v>77</v>
      </c>
      <c r="W7" s="200" t="s">
        <v>148</v>
      </c>
      <c r="X7" s="200" t="s">
        <v>192</v>
      </c>
      <c r="Y7" s="200" t="s">
        <v>64</v>
      </c>
      <c r="Z7" s="200" t="s">
        <v>15</v>
      </c>
      <c r="AA7" s="200" t="s">
        <v>16</v>
      </c>
      <c r="AB7" s="200" t="s">
        <v>17</v>
      </c>
      <c r="AC7" s="330"/>
      <c r="AD7" s="330"/>
      <c r="AE7" s="345" t="s">
        <v>18</v>
      </c>
      <c r="AF7" s="199"/>
      <c r="AG7" s="201"/>
      <c r="AH7" s="4"/>
      <c r="AI7" s="8"/>
      <c r="AJ7" s="8"/>
      <c r="AK7" s="7"/>
      <c r="AL7" s="605"/>
      <c r="AM7" s="605"/>
      <c r="AN7" s="605"/>
      <c r="AO7" s="605"/>
      <c r="AP7" s="634"/>
      <c r="AQ7" s="7"/>
      <c r="AR7" s="7"/>
      <c r="AS7" s="7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8" ht="64.5" customHeight="1" x14ac:dyDescent="0.3">
      <c r="A8" s="228">
        <v>1</v>
      </c>
      <c r="B8" s="229">
        <v>1210</v>
      </c>
      <c r="C8" s="230" t="s">
        <v>191</v>
      </c>
      <c r="D8" s="251" t="s">
        <v>748</v>
      </c>
      <c r="E8" s="215"/>
      <c r="F8" s="231" t="s">
        <v>161</v>
      </c>
      <c r="G8" s="232" t="s">
        <v>163</v>
      </c>
      <c r="H8" s="215" t="s">
        <v>164</v>
      </c>
      <c r="I8" s="215" t="s">
        <v>165</v>
      </c>
      <c r="J8" s="215" t="s">
        <v>189</v>
      </c>
      <c r="K8" s="215"/>
      <c r="L8" s="234"/>
      <c r="M8" s="234"/>
      <c r="N8" s="234"/>
      <c r="O8" s="220">
        <v>0</v>
      </c>
      <c r="P8" s="228">
        <v>1</v>
      </c>
      <c r="Q8" s="229"/>
      <c r="R8" s="235"/>
      <c r="S8" s="231"/>
      <c r="T8" s="215"/>
      <c r="U8" s="231"/>
      <c r="V8" s="215"/>
      <c r="W8" s="215"/>
      <c r="X8" s="236"/>
      <c r="Y8" s="237"/>
      <c r="Z8" s="238"/>
      <c r="AA8" s="238"/>
      <c r="AB8" s="234"/>
      <c r="AC8" s="234"/>
      <c r="AD8" s="234"/>
      <c r="AE8" s="238"/>
      <c r="AF8" s="302"/>
      <c r="AG8" s="225"/>
      <c r="AH8" s="4"/>
      <c r="AI8" s="619" t="s">
        <v>19</v>
      </c>
      <c r="AJ8" s="620"/>
      <c r="AK8" s="623" t="s">
        <v>20</v>
      </c>
      <c r="AL8" s="623" t="s">
        <v>21</v>
      </c>
      <c r="AM8" s="786"/>
      <c r="AN8" s="786"/>
      <c r="AO8" s="796"/>
      <c r="AP8" s="786" t="s">
        <v>22</v>
      </c>
      <c r="AQ8" s="786"/>
      <c r="AR8" s="786"/>
      <c r="AS8" s="796"/>
      <c r="AT8" s="797" t="s">
        <v>23</v>
      </c>
      <c r="AU8" s="797"/>
      <c r="AV8" s="797"/>
      <c r="AW8" s="797"/>
      <c r="AX8" s="797" t="s">
        <v>24</v>
      </c>
      <c r="AY8" s="797"/>
      <c r="AZ8" s="797"/>
      <c r="BA8" s="797"/>
      <c r="BB8" s="623" t="s">
        <v>25</v>
      </c>
      <c r="BC8" s="786"/>
      <c r="BD8" s="786"/>
      <c r="BE8" s="787"/>
    </row>
    <row r="9" spans="1:58" ht="64.5" customHeight="1" x14ac:dyDescent="0.3">
      <c r="A9" s="228">
        <v>2</v>
      </c>
      <c r="B9" s="229">
        <v>307</v>
      </c>
      <c r="C9" s="230" t="s">
        <v>170</v>
      </c>
      <c r="D9" s="251" t="s">
        <v>957</v>
      </c>
      <c r="E9" s="215"/>
      <c r="F9" s="231" t="s">
        <v>55</v>
      </c>
      <c r="G9" s="232" t="s">
        <v>171</v>
      </c>
      <c r="H9" s="215" t="s">
        <v>164</v>
      </c>
      <c r="I9" s="215" t="s">
        <v>165</v>
      </c>
      <c r="J9" s="215" t="s">
        <v>189</v>
      </c>
      <c r="K9" s="215"/>
      <c r="L9" s="234"/>
      <c r="M9" s="234"/>
      <c r="N9" s="234"/>
      <c r="O9" s="220">
        <v>193376</v>
      </c>
      <c r="P9" s="228">
        <v>2</v>
      </c>
      <c r="Q9" s="229"/>
      <c r="R9" s="230"/>
      <c r="S9" s="231"/>
      <c r="T9" s="215"/>
      <c r="U9" s="231"/>
      <c r="V9" s="215"/>
      <c r="W9" s="215"/>
      <c r="X9" s="236"/>
      <c r="Y9" s="237"/>
      <c r="Z9" s="238"/>
      <c r="AA9" s="238"/>
      <c r="AB9" s="234"/>
      <c r="AC9" s="234"/>
      <c r="AD9" s="234"/>
      <c r="AE9" s="238"/>
      <c r="AF9" s="302"/>
      <c r="AG9" s="225"/>
      <c r="AH9" s="4"/>
      <c r="AI9" s="621"/>
      <c r="AJ9" s="622"/>
      <c r="AK9" s="624"/>
      <c r="AL9" s="616" t="s">
        <v>26</v>
      </c>
      <c r="AM9" s="616"/>
      <c r="AN9" s="30" t="s">
        <v>27</v>
      </c>
      <c r="AO9" s="80"/>
      <c r="AP9" s="617" t="s">
        <v>26</v>
      </c>
      <c r="AQ9" s="618"/>
      <c r="AR9" s="778" t="s">
        <v>27</v>
      </c>
      <c r="AS9" s="618"/>
      <c r="AT9" s="624" t="s">
        <v>26</v>
      </c>
      <c r="AU9" s="624"/>
      <c r="AV9" s="624" t="s">
        <v>27</v>
      </c>
      <c r="AW9" s="624"/>
      <c r="AX9" s="778" t="s">
        <v>26</v>
      </c>
      <c r="AY9" s="618"/>
      <c r="AZ9" s="778" t="s">
        <v>27</v>
      </c>
      <c r="BA9" s="618"/>
      <c r="BB9" s="778" t="s">
        <v>26</v>
      </c>
      <c r="BC9" s="618"/>
      <c r="BD9" s="624" t="s">
        <v>27</v>
      </c>
      <c r="BE9" s="779"/>
    </row>
    <row r="10" spans="1:58" ht="64.5" customHeight="1" x14ac:dyDescent="0.3">
      <c r="A10" s="228">
        <v>3</v>
      </c>
      <c r="B10" s="229">
        <v>1011</v>
      </c>
      <c r="C10" s="230" t="s">
        <v>70</v>
      </c>
      <c r="D10" s="251" t="s">
        <v>1103</v>
      </c>
      <c r="E10" s="215"/>
      <c r="F10" s="231" t="s">
        <v>158</v>
      </c>
      <c r="G10" s="232" t="s">
        <v>171</v>
      </c>
      <c r="H10" s="215" t="s">
        <v>164</v>
      </c>
      <c r="I10" s="215" t="s">
        <v>165</v>
      </c>
      <c r="J10" s="215" t="s">
        <v>190</v>
      </c>
      <c r="K10" s="215"/>
      <c r="L10" s="234"/>
      <c r="M10" s="234"/>
      <c r="N10" s="234"/>
      <c r="O10" s="218">
        <v>136500</v>
      </c>
      <c r="P10" s="228">
        <v>3</v>
      </c>
      <c r="Q10" s="229"/>
      <c r="R10" s="230"/>
      <c r="S10" s="231"/>
      <c r="T10" s="215"/>
      <c r="U10" s="231"/>
      <c r="V10" s="215"/>
      <c r="W10" s="215"/>
      <c r="X10" s="236"/>
      <c r="Y10" s="237"/>
      <c r="Z10" s="238"/>
      <c r="AA10" s="238"/>
      <c r="AB10" s="234"/>
      <c r="AC10" s="234"/>
      <c r="AD10" s="234"/>
      <c r="AE10" s="238"/>
      <c r="AF10" s="302"/>
      <c r="AG10" s="225"/>
      <c r="AH10" s="4"/>
      <c r="AI10" s="621"/>
      <c r="AJ10" s="622"/>
      <c r="AK10" s="82" t="s">
        <v>28</v>
      </c>
      <c r="AL10" s="625">
        <f>COUNTA($L$8:$L$67)</f>
        <v>1</v>
      </c>
      <c r="AM10" s="625"/>
      <c r="AN10" s="626">
        <f>SUM(L8:L67)</f>
        <v>0</v>
      </c>
      <c r="AO10" s="627"/>
      <c r="AP10" s="628">
        <f>COUNT(M8:M67)</f>
        <v>0</v>
      </c>
      <c r="AQ10" s="627"/>
      <c r="AR10" s="626">
        <f>SUM(M8:M67)</f>
        <v>0</v>
      </c>
      <c r="AS10" s="627"/>
      <c r="AT10" s="625">
        <f>COUNTA($O$8:$O$67)</f>
        <v>34</v>
      </c>
      <c r="AU10" s="625"/>
      <c r="AV10" s="625">
        <f>SUM(O8:O67)</f>
        <v>2012876</v>
      </c>
      <c r="AW10" s="625"/>
      <c r="AX10" s="625">
        <f>COUNTA($N$8:$N$67)</f>
        <v>0</v>
      </c>
      <c r="AY10" s="625"/>
      <c r="AZ10" s="625">
        <f>SUM(N8:N67)</f>
        <v>0</v>
      </c>
      <c r="BA10" s="625"/>
      <c r="BB10" s="798">
        <f>SUM(AL10+AP10+AT10+AX10)</f>
        <v>35</v>
      </c>
      <c r="BC10" s="799"/>
      <c r="BD10" s="800">
        <f>SUM(AN10+AR10+AV10+AZ10)</f>
        <v>2012876</v>
      </c>
      <c r="BE10" s="801"/>
    </row>
    <row r="11" spans="1:58" ht="64.5" customHeight="1" x14ac:dyDescent="0.3">
      <c r="A11" s="228">
        <v>4</v>
      </c>
      <c r="B11" s="229">
        <v>305</v>
      </c>
      <c r="C11" s="230" t="s">
        <v>73</v>
      </c>
      <c r="D11" s="251" t="s">
        <v>1108</v>
      </c>
      <c r="E11" s="215"/>
      <c r="F11" s="231" t="s">
        <v>55</v>
      </c>
      <c r="G11" s="232" t="s">
        <v>171</v>
      </c>
      <c r="H11" s="215" t="s">
        <v>164</v>
      </c>
      <c r="I11" s="215" t="s">
        <v>165</v>
      </c>
      <c r="J11" s="215" t="s">
        <v>189</v>
      </c>
      <c r="K11" s="215"/>
      <c r="L11" s="234"/>
      <c r="M11" s="234"/>
      <c r="N11" s="234"/>
      <c r="O11" s="218">
        <v>130000</v>
      </c>
      <c r="P11" s="228">
        <v>4</v>
      </c>
      <c r="Q11" s="229"/>
      <c r="R11" s="235"/>
      <c r="S11" s="231"/>
      <c r="T11" s="215"/>
      <c r="U11" s="231"/>
      <c r="V11" s="215"/>
      <c r="W11" s="215"/>
      <c r="X11" s="236"/>
      <c r="Y11" s="237"/>
      <c r="Z11" s="238"/>
      <c r="AA11" s="238"/>
      <c r="AB11" s="234"/>
      <c r="AC11" s="234"/>
      <c r="AD11" s="234"/>
      <c r="AE11" s="238"/>
      <c r="AF11" s="302"/>
      <c r="AG11" s="225"/>
      <c r="AH11" s="4"/>
      <c r="AI11" s="621"/>
      <c r="AJ11" s="622"/>
      <c r="AK11" s="81" t="s">
        <v>29</v>
      </c>
      <c r="AL11" s="790">
        <f>COUNTA($Z$8:$Z$67)</f>
        <v>0</v>
      </c>
      <c r="AM11" s="790"/>
      <c r="AN11" s="791">
        <f>SUM(Z8:Z67)</f>
        <v>0</v>
      </c>
      <c r="AO11" s="792"/>
      <c r="AP11" s="793">
        <f>COUNTA($AA$8:$AA$67)</f>
        <v>0</v>
      </c>
      <c r="AQ11" s="792"/>
      <c r="AR11" s="791">
        <f>SUM(AA8:AA67)</f>
        <v>0</v>
      </c>
      <c r="AS11" s="792"/>
      <c r="AT11" s="790">
        <f>COUNTA($AE$8:$AE$67)</f>
        <v>0</v>
      </c>
      <c r="AU11" s="790"/>
      <c r="AV11" s="790">
        <f>SUM(AE8:AE67)</f>
        <v>0</v>
      </c>
      <c r="AW11" s="790"/>
      <c r="AX11" s="790">
        <f>COUNTA($AB$8:$AB$68)</f>
        <v>0</v>
      </c>
      <c r="AY11" s="790"/>
      <c r="AZ11" s="790">
        <f>SUM(AB8:AB67)</f>
        <v>0</v>
      </c>
      <c r="BA11" s="790"/>
      <c r="BB11" s="794">
        <f>SUM(AL11+AP11+AT11+AX11)</f>
        <v>0</v>
      </c>
      <c r="BC11" s="795"/>
      <c r="BD11" s="788">
        <f>SUM(AN11+AR11+AV11+AZ11)</f>
        <v>0</v>
      </c>
      <c r="BE11" s="789"/>
    </row>
    <row r="12" spans="1:58" ht="64.5" customHeight="1" x14ac:dyDescent="0.3">
      <c r="A12" s="228">
        <v>5</v>
      </c>
      <c r="B12" s="229">
        <v>705</v>
      </c>
      <c r="C12" s="230" t="s">
        <v>73</v>
      </c>
      <c r="D12" s="251" t="s">
        <v>524</v>
      </c>
      <c r="E12" s="215" t="s">
        <v>166</v>
      </c>
      <c r="F12" s="231" t="s">
        <v>168</v>
      </c>
      <c r="G12" s="232" t="s">
        <v>163</v>
      </c>
      <c r="H12" s="215" t="s">
        <v>164</v>
      </c>
      <c r="I12" s="215" t="s">
        <v>165</v>
      </c>
      <c r="J12" s="215" t="s">
        <v>193</v>
      </c>
      <c r="K12" s="215"/>
      <c r="L12" s="234"/>
      <c r="M12" s="234"/>
      <c r="N12" s="234"/>
      <c r="O12" s="218">
        <v>60000</v>
      </c>
      <c r="P12" s="228">
        <v>5</v>
      </c>
      <c r="Q12" s="229"/>
      <c r="R12" s="230"/>
      <c r="S12" s="231"/>
      <c r="T12" s="215"/>
      <c r="U12" s="301"/>
      <c r="V12" s="215"/>
      <c r="W12" s="215"/>
      <c r="X12" s="236"/>
      <c r="Y12" s="237"/>
      <c r="Z12" s="238"/>
      <c r="AA12" s="238"/>
      <c r="AB12" s="234"/>
      <c r="AC12" s="234"/>
      <c r="AD12" s="234"/>
      <c r="AE12" s="238"/>
      <c r="AF12" s="302"/>
      <c r="AG12" s="225"/>
      <c r="AH12" s="4"/>
      <c r="AI12" s="621"/>
      <c r="AJ12" s="622"/>
      <c r="AK12" s="83" t="s">
        <v>68</v>
      </c>
      <c r="AL12" s="780">
        <f>COUNTA($L$68:$L$76)</f>
        <v>0</v>
      </c>
      <c r="AM12" s="780"/>
      <c r="AN12" s="784">
        <f>SUM(L68:L76)</f>
        <v>0</v>
      </c>
      <c r="AO12" s="785"/>
      <c r="AP12" s="784">
        <f>COUNTA($M$68:$M$76)</f>
        <v>0</v>
      </c>
      <c r="AQ12" s="785"/>
      <c r="AR12" s="784">
        <f>SUM(M68:M76)</f>
        <v>0</v>
      </c>
      <c r="AS12" s="785"/>
      <c r="AT12" s="780">
        <f>COUNTA($O$68:$O$76)</f>
        <v>0</v>
      </c>
      <c r="AU12" s="780"/>
      <c r="AV12" s="784">
        <f>SUM(O68:O76)</f>
        <v>0</v>
      </c>
      <c r="AW12" s="785"/>
      <c r="AX12" s="780">
        <f>COUNTA($N$68:$N$76)</f>
        <v>0</v>
      </c>
      <c r="AY12" s="780"/>
      <c r="AZ12" s="784">
        <f>SUM(N68:N76)</f>
        <v>0</v>
      </c>
      <c r="BA12" s="785"/>
      <c r="BB12" s="784">
        <f>SUM(AL12+AP12+AT12+AX12)</f>
        <v>0</v>
      </c>
      <c r="BC12" s="785"/>
      <c r="BD12" s="780">
        <f>SUM(AN12+AR12+AV12+AZ12)</f>
        <v>0</v>
      </c>
      <c r="BE12" s="781"/>
    </row>
    <row r="13" spans="1:58" ht="64.5" customHeight="1" x14ac:dyDescent="0.3">
      <c r="A13" s="228">
        <v>6</v>
      </c>
      <c r="B13" s="229">
        <v>809</v>
      </c>
      <c r="C13" s="230" t="s">
        <v>70</v>
      </c>
      <c r="D13" s="251" t="s">
        <v>1163</v>
      </c>
      <c r="E13" s="215" t="s">
        <v>1187</v>
      </c>
      <c r="F13" s="231" t="s">
        <v>167</v>
      </c>
      <c r="G13" s="232" t="s">
        <v>171</v>
      </c>
      <c r="H13" s="215" t="s">
        <v>164</v>
      </c>
      <c r="I13" s="215" t="s">
        <v>165</v>
      </c>
      <c r="J13" s="215" t="s">
        <v>193</v>
      </c>
      <c r="K13" s="215"/>
      <c r="L13" s="234"/>
      <c r="M13" s="234"/>
      <c r="N13" s="234"/>
      <c r="O13" s="218">
        <v>136500</v>
      </c>
      <c r="P13" s="228">
        <v>6</v>
      </c>
      <c r="Q13" s="229"/>
      <c r="R13" s="230"/>
      <c r="S13" s="231"/>
      <c r="T13" s="215"/>
      <c r="U13" s="231"/>
      <c r="V13" s="215"/>
      <c r="W13" s="215"/>
      <c r="X13" s="236"/>
      <c r="Y13" s="237"/>
      <c r="Z13" s="238"/>
      <c r="AA13" s="238"/>
      <c r="AB13" s="234"/>
      <c r="AC13" s="234"/>
      <c r="AD13" s="234"/>
      <c r="AE13" s="238"/>
      <c r="AF13" s="302"/>
      <c r="AG13" s="225"/>
      <c r="AH13" s="4"/>
      <c r="AI13" s="621"/>
      <c r="AJ13" s="622"/>
      <c r="AK13" s="83" t="s">
        <v>67</v>
      </c>
      <c r="AL13" s="780">
        <f>COUNTA($Z$68:$Z$76)</f>
        <v>0</v>
      </c>
      <c r="AM13" s="780"/>
      <c r="AN13" s="784">
        <f>SUM(Z68:Z76)</f>
        <v>0</v>
      </c>
      <c r="AO13" s="785"/>
      <c r="AP13" s="784">
        <f>COUNTA($AA$68:$AA$76)</f>
        <v>0</v>
      </c>
      <c r="AQ13" s="785"/>
      <c r="AR13" s="784">
        <f>SUM(AA68:AA76)</f>
        <v>0</v>
      </c>
      <c r="AS13" s="785"/>
      <c r="AT13" s="780">
        <f>COUNTA($AE$68:$AE$76)</f>
        <v>0</v>
      </c>
      <c r="AU13" s="780"/>
      <c r="AV13" s="784">
        <f>SUM(AE68:AE76)</f>
        <v>0</v>
      </c>
      <c r="AW13" s="785"/>
      <c r="AX13" s="780">
        <f>COUNTA($AB$68:$AB$76)</f>
        <v>0</v>
      </c>
      <c r="AY13" s="780"/>
      <c r="AZ13" s="784">
        <f>SUM(AB68:AB76)</f>
        <v>0</v>
      </c>
      <c r="BA13" s="785"/>
      <c r="BB13" s="784">
        <f>SUM(AL13+AP13+AT13+AX13)</f>
        <v>0</v>
      </c>
      <c r="BC13" s="785"/>
      <c r="BD13" s="780">
        <f>SUM(AN13+AR13+AV13+AZ13)</f>
        <v>0</v>
      </c>
      <c r="BE13" s="781"/>
    </row>
    <row r="14" spans="1:58" ht="64.5" customHeight="1" x14ac:dyDescent="0.3">
      <c r="A14" s="228">
        <v>7</v>
      </c>
      <c r="B14" s="229">
        <v>1111</v>
      </c>
      <c r="C14" s="230" t="s">
        <v>74</v>
      </c>
      <c r="D14" s="251" t="s">
        <v>1171</v>
      </c>
      <c r="E14" s="215" t="s">
        <v>166</v>
      </c>
      <c r="F14" s="231" t="s">
        <v>158</v>
      </c>
      <c r="G14" s="232" t="s">
        <v>163</v>
      </c>
      <c r="H14" s="215" t="s">
        <v>164</v>
      </c>
      <c r="I14" s="215" t="s">
        <v>165</v>
      </c>
      <c r="J14" s="215" t="s">
        <v>247</v>
      </c>
      <c r="K14" s="215"/>
      <c r="L14" s="234"/>
      <c r="M14" s="234"/>
      <c r="N14" s="234"/>
      <c r="O14" s="218">
        <v>60000</v>
      </c>
      <c r="P14" s="228">
        <v>7</v>
      </c>
      <c r="Q14" s="229"/>
      <c r="R14" s="230"/>
      <c r="S14" s="231"/>
      <c r="T14" s="215"/>
      <c r="U14" s="231"/>
      <c r="V14" s="215"/>
      <c r="W14" s="215"/>
      <c r="X14" s="236"/>
      <c r="Y14" s="237"/>
      <c r="Z14" s="238"/>
      <c r="AA14" s="238"/>
      <c r="AB14" s="234"/>
      <c r="AC14" s="234"/>
      <c r="AD14" s="234"/>
      <c r="AE14" s="238"/>
      <c r="AF14" s="302"/>
      <c r="AG14" s="225"/>
      <c r="AH14" s="4"/>
      <c r="AI14" s="621"/>
      <c r="AJ14" s="622"/>
      <c r="AK14" s="79" t="s">
        <v>25</v>
      </c>
      <c r="AL14" s="653">
        <f>SUM(AL10:AM11)</f>
        <v>1</v>
      </c>
      <c r="AM14" s="653"/>
      <c r="AN14" s="654">
        <f>SUM(AN10:AO13)</f>
        <v>0</v>
      </c>
      <c r="AO14" s="655"/>
      <c r="AP14" s="653">
        <f t="shared" ref="AP14" si="0">SUM(AP10:AQ11)</f>
        <v>0</v>
      </c>
      <c r="AQ14" s="653"/>
      <c r="AR14" s="653">
        <f>SUM(AR10:AS13)</f>
        <v>0</v>
      </c>
      <c r="AS14" s="653"/>
      <c r="AT14" s="653">
        <f t="shared" ref="AT14" si="1">SUM(AT10:AU11)</f>
        <v>34</v>
      </c>
      <c r="AU14" s="653"/>
      <c r="AV14" s="653">
        <f>SUM(AV10:AW13)</f>
        <v>2012876</v>
      </c>
      <c r="AW14" s="653"/>
      <c r="AX14" s="653">
        <f>SUM(AX10:AY11)</f>
        <v>0</v>
      </c>
      <c r="AY14" s="653"/>
      <c r="AZ14" s="653">
        <f>SUM(AZ10:BA13)</f>
        <v>0</v>
      </c>
      <c r="BA14" s="653"/>
      <c r="BB14" s="654">
        <f>SUM(AL14+AP14+AT14+AX14)</f>
        <v>35</v>
      </c>
      <c r="BC14" s="655"/>
      <c r="BD14" s="782">
        <f>SUM(BD10:BE13)</f>
        <v>2012876</v>
      </c>
      <c r="BE14" s="783"/>
    </row>
    <row r="15" spans="1:58" ht="64.5" customHeight="1" thickBot="1" x14ac:dyDescent="0.35">
      <c r="A15" s="228">
        <v>8</v>
      </c>
      <c r="B15" s="229">
        <v>1216</v>
      </c>
      <c r="C15" s="230" t="s">
        <v>1172</v>
      </c>
      <c r="D15" s="251" t="s">
        <v>1199</v>
      </c>
      <c r="E15" s="215" t="s">
        <v>166</v>
      </c>
      <c r="F15" s="231" t="s">
        <v>1184</v>
      </c>
      <c r="G15" s="232" t="s">
        <v>1175</v>
      </c>
      <c r="H15" s="215" t="s">
        <v>164</v>
      </c>
      <c r="I15" s="215" t="s">
        <v>165</v>
      </c>
      <c r="J15" s="237" t="s">
        <v>1176</v>
      </c>
      <c r="K15" s="238"/>
      <c r="L15" s="234"/>
      <c r="M15" s="234"/>
      <c r="N15" s="234"/>
      <c r="O15" s="218">
        <v>60000</v>
      </c>
      <c r="P15" s="228">
        <v>8</v>
      </c>
      <c r="Q15" s="229"/>
      <c r="R15" s="230"/>
      <c r="S15" s="231"/>
      <c r="T15" s="215"/>
      <c r="U15" s="231"/>
      <c r="V15" s="215"/>
      <c r="W15" s="215"/>
      <c r="X15" s="236"/>
      <c r="Y15" s="237"/>
      <c r="Z15" s="238"/>
      <c r="AA15" s="238"/>
      <c r="AB15" s="234"/>
      <c r="AC15" s="234"/>
      <c r="AD15" s="234"/>
      <c r="AE15" s="238"/>
      <c r="AF15" s="302"/>
      <c r="AG15" s="225"/>
      <c r="AH15" s="4"/>
      <c r="AI15" s="629"/>
      <c r="AJ15" s="630"/>
      <c r="AK15" s="84" t="s">
        <v>65</v>
      </c>
      <c r="AL15" s="880">
        <f>AL24</f>
        <v>0</v>
      </c>
      <c r="AM15" s="881"/>
      <c r="AN15" s="632">
        <f>AN24</f>
        <v>0</v>
      </c>
      <c r="AO15" s="633"/>
      <c r="AP15" s="632">
        <f>AP24</f>
        <v>4</v>
      </c>
      <c r="AQ15" s="633"/>
      <c r="AR15" s="632">
        <f>AR24</f>
        <v>8000</v>
      </c>
      <c r="AS15" s="811"/>
      <c r="AT15" s="85"/>
      <c r="AU15" s="86"/>
      <c r="AV15" s="632"/>
      <c r="AW15" s="811"/>
      <c r="AX15" s="632">
        <f>AT24</f>
        <v>0</v>
      </c>
      <c r="AY15" s="811"/>
      <c r="AZ15" s="632">
        <f>AV24</f>
        <v>0</v>
      </c>
      <c r="BA15" s="811"/>
      <c r="BB15" s="632">
        <f>AX24</f>
        <v>4</v>
      </c>
      <c r="BC15" s="633"/>
      <c r="BD15" s="776">
        <f>SUM(AN15+AR15+AV15+AZ15)</f>
        <v>8000</v>
      </c>
      <c r="BE15" s="777"/>
    </row>
    <row r="16" spans="1:58" ht="64.5" customHeight="1" thickBot="1" x14ac:dyDescent="0.35">
      <c r="A16" s="228">
        <v>9</v>
      </c>
      <c r="B16" s="229">
        <v>1215</v>
      </c>
      <c r="C16" s="230" t="s">
        <v>1182</v>
      </c>
      <c r="D16" s="251" t="s">
        <v>1232</v>
      </c>
      <c r="E16" s="215" t="s">
        <v>166</v>
      </c>
      <c r="F16" s="231" t="s">
        <v>1184</v>
      </c>
      <c r="G16" s="232" t="s">
        <v>1175</v>
      </c>
      <c r="H16" s="215" t="s">
        <v>164</v>
      </c>
      <c r="I16" s="215" t="s">
        <v>165</v>
      </c>
      <c r="J16" s="215" t="s">
        <v>1194</v>
      </c>
      <c r="K16" s="215"/>
      <c r="L16" s="234"/>
      <c r="M16" s="234"/>
      <c r="N16" s="234"/>
      <c r="O16" s="220">
        <v>60000</v>
      </c>
      <c r="P16" s="228">
        <v>9</v>
      </c>
      <c r="Q16" s="229"/>
      <c r="R16" s="230"/>
      <c r="S16" s="231"/>
      <c r="T16" s="215"/>
      <c r="U16" s="231"/>
      <c r="V16" s="215"/>
      <c r="W16" s="215"/>
      <c r="X16" s="236"/>
      <c r="Y16" s="237"/>
      <c r="Z16" s="238"/>
      <c r="AA16" s="238"/>
      <c r="AB16" s="234"/>
      <c r="AC16" s="234"/>
      <c r="AD16" s="234"/>
      <c r="AE16" s="238"/>
      <c r="AF16" s="302"/>
      <c r="AG16" s="225"/>
      <c r="AH16" s="4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812" t="s">
        <v>72</v>
      </c>
      <c r="BC16" s="813"/>
      <c r="BD16" s="650">
        <f>BD14+BD15</f>
        <v>2020876</v>
      </c>
      <c r="BE16" s="652"/>
      <c r="BF16" s="10"/>
    </row>
    <row r="17" spans="1:62" ht="64.5" customHeight="1" thickBot="1" x14ac:dyDescent="0.35">
      <c r="A17" s="228">
        <v>10</v>
      </c>
      <c r="B17" s="229">
        <v>805</v>
      </c>
      <c r="C17" s="230" t="s">
        <v>1182</v>
      </c>
      <c r="D17" s="251" t="s">
        <v>1234</v>
      </c>
      <c r="E17" s="215" t="s">
        <v>1187</v>
      </c>
      <c r="F17" s="231" t="s">
        <v>1195</v>
      </c>
      <c r="G17" s="232" t="s">
        <v>1175</v>
      </c>
      <c r="H17" s="215" t="s">
        <v>164</v>
      </c>
      <c r="I17" s="215" t="s">
        <v>165</v>
      </c>
      <c r="J17" s="215" t="s">
        <v>1194</v>
      </c>
      <c r="K17" s="215"/>
      <c r="L17" s="234"/>
      <c r="M17" s="234"/>
      <c r="N17" s="234"/>
      <c r="O17" s="218">
        <v>65000</v>
      </c>
      <c r="P17" s="228">
        <v>10</v>
      </c>
      <c r="Q17" s="229"/>
      <c r="R17" s="230"/>
      <c r="S17" s="231"/>
      <c r="T17" s="215"/>
      <c r="U17" s="231"/>
      <c r="V17" s="215"/>
      <c r="W17" s="215"/>
      <c r="X17" s="233"/>
      <c r="Y17" s="237"/>
      <c r="Z17" s="238"/>
      <c r="AA17" s="238"/>
      <c r="AB17" s="234"/>
      <c r="AC17" s="234"/>
      <c r="AD17" s="234"/>
      <c r="AE17" s="238"/>
      <c r="AF17" s="302"/>
      <c r="AG17" s="225"/>
      <c r="AH17" s="4"/>
      <c r="AI17" s="11"/>
      <c r="AJ17" s="11"/>
      <c r="AK17" s="12"/>
      <c r="AL17" s="12"/>
      <c r="AM17" s="13"/>
      <c r="AN17" s="13"/>
      <c r="AO17" s="13"/>
      <c r="AP17" s="13"/>
      <c r="AQ17" s="13"/>
      <c r="AR17" s="13"/>
      <c r="AS17" s="7"/>
      <c r="AT17" s="7"/>
      <c r="AU17" s="7"/>
      <c r="AV17" s="7"/>
      <c r="AW17" s="7"/>
      <c r="AX17" s="7"/>
      <c r="AY17" s="7"/>
      <c r="AZ17" s="10"/>
      <c r="BA17" s="10"/>
      <c r="BB17" s="10"/>
      <c r="BC17" s="10"/>
      <c r="BD17" s="10"/>
      <c r="BE17" s="10"/>
    </row>
    <row r="18" spans="1:62" ht="64.5" customHeight="1" x14ac:dyDescent="0.3">
      <c r="A18" s="228">
        <v>11</v>
      </c>
      <c r="B18" s="229">
        <v>906</v>
      </c>
      <c r="C18" s="230" t="s">
        <v>1182</v>
      </c>
      <c r="D18" s="251" t="s">
        <v>1248</v>
      </c>
      <c r="E18" s="215"/>
      <c r="F18" s="231" t="s">
        <v>1191</v>
      </c>
      <c r="G18" s="232" t="s">
        <v>1175</v>
      </c>
      <c r="H18" s="215" t="s">
        <v>164</v>
      </c>
      <c r="I18" s="215" t="s">
        <v>165</v>
      </c>
      <c r="J18" s="215" t="s">
        <v>189</v>
      </c>
      <c r="K18" s="215"/>
      <c r="L18" s="234"/>
      <c r="M18" s="234"/>
      <c r="N18" s="234"/>
      <c r="O18" s="218">
        <v>75000</v>
      </c>
      <c r="P18" s="228">
        <v>11</v>
      </c>
      <c r="Q18" s="229"/>
      <c r="R18" s="230"/>
      <c r="S18" s="231"/>
      <c r="T18" s="215"/>
      <c r="U18" s="231"/>
      <c r="V18" s="215"/>
      <c r="W18" s="215"/>
      <c r="X18" s="236"/>
      <c r="Y18" s="237"/>
      <c r="Z18" s="238"/>
      <c r="AA18" s="238"/>
      <c r="AB18" s="234"/>
      <c r="AC18" s="234"/>
      <c r="AD18" s="234"/>
      <c r="AE18" s="238"/>
      <c r="AF18" s="302"/>
      <c r="AG18" s="225"/>
      <c r="AH18" s="4"/>
      <c r="AI18" s="619" t="s">
        <v>60</v>
      </c>
      <c r="AJ18" s="620"/>
      <c r="AK18" s="623" t="s">
        <v>20</v>
      </c>
      <c r="AL18" s="623" t="s">
        <v>61</v>
      </c>
      <c r="AM18" s="786"/>
      <c r="AN18" s="786"/>
      <c r="AO18" s="796"/>
      <c r="AP18" s="786" t="s">
        <v>62</v>
      </c>
      <c r="AQ18" s="786"/>
      <c r="AR18" s="786"/>
      <c r="AS18" s="796"/>
      <c r="AT18" s="623" t="s">
        <v>63</v>
      </c>
      <c r="AU18" s="786"/>
      <c r="AV18" s="786"/>
      <c r="AW18" s="796"/>
      <c r="AX18" s="623" t="s">
        <v>25</v>
      </c>
      <c r="AY18" s="786"/>
      <c r="AZ18" s="786"/>
      <c r="BA18" s="787"/>
      <c r="BB18" s="10"/>
      <c r="BC18" s="10"/>
      <c r="BD18" s="10"/>
      <c r="BE18" s="10"/>
    </row>
    <row r="19" spans="1:62" ht="64.5" customHeight="1" x14ac:dyDescent="0.3">
      <c r="A19" s="228">
        <v>12</v>
      </c>
      <c r="B19" s="229"/>
      <c r="C19" s="230" t="s">
        <v>1224</v>
      </c>
      <c r="D19" s="231" t="s">
        <v>1256</v>
      </c>
      <c r="E19" s="215" t="s">
        <v>1187</v>
      </c>
      <c r="F19" s="231" t="s">
        <v>1195</v>
      </c>
      <c r="G19" s="232" t="s">
        <v>1175</v>
      </c>
      <c r="H19" s="215" t="s">
        <v>164</v>
      </c>
      <c r="I19" s="215" t="s">
        <v>165</v>
      </c>
      <c r="J19" s="215" t="s">
        <v>1194</v>
      </c>
      <c r="K19" s="215"/>
      <c r="L19" s="234"/>
      <c r="M19" s="234"/>
      <c r="N19" s="234"/>
      <c r="O19" s="218">
        <v>68250</v>
      </c>
      <c r="P19" s="228">
        <v>12</v>
      </c>
      <c r="Q19" s="229"/>
      <c r="R19" s="230"/>
      <c r="S19" s="231"/>
      <c r="T19" s="215"/>
      <c r="U19" s="231"/>
      <c r="V19" s="215"/>
      <c r="W19" s="215"/>
      <c r="X19" s="236"/>
      <c r="Y19" s="237"/>
      <c r="Z19" s="238"/>
      <c r="AA19" s="238"/>
      <c r="AB19" s="234"/>
      <c r="AC19" s="234"/>
      <c r="AD19" s="234"/>
      <c r="AE19" s="238"/>
      <c r="AF19" s="302"/>
      <c r="AG19" s="225"/>
      <c r="AH19" s="4"/>
      <c r="AI19" s="621"/>
      <c r="AJ19" s="622"/>
      <c r="AK19" s="624"/>
      <c r="AL19" s="616" t="s">
        <v>26</v>
      </c>
      <c r="AM19" s="616"/>
      <c r="AN19" s="30" t="s">
        <v>27</v>
      </c>
      <c r="AO19" s="80"/>
      <c r="AP19" s="617" t="s">
        <v>26</v>
      </c>
      <c r="AQ19" s="618"/>
      <c r="AR19" s="778" t="s">
        <v>27</v>
      </c>
      <c r="AS19" s="618"/>
      <c r="AT19" s="778" t="s">
        <v>26</v>
      </c>
      <c r="AU19" s="618"/>
      <c r="AV19" s="778" t="s">
        <v>27</v>
      </c>
      <c r="AW19" s="618"/>
      <c r="AX19" s="778" t="s">
        <v>26</v>
      </c>
      <c r="AY19" s="618"/>
      <c r="AZ19" s="624" t="s">
        <v>27</v>
      </c>
      <c r="BA19" s="779"/>
      <c r="BB19" s="10"/>
      <c r="BC19" s="10"/>
      <c r="BD19" s="10"/>
      <c r="BE19" s="10"/>
    </row>
    <row r="20" spans="1:62" ht="64.5" customHeight="1" x14ac:dyDescent="0.3">
      <c r="A20" s="228">
        <v>13</v>
      </c>
      <c r="B20" s="229">
        <v>1112</v>
      </c>
      <c r="C20" s="230" t="s">
        <v>1172</v>
      </c>
      <c r="D20" s="251" t="s">
        <v>1257</v>
      </c>
      <c r="E20" s="215" t="s">
        <v>166</v>
      </c>
      <c r="F20" s="231" t="s">
        <v>1184</v>
      </c>
      <c r="G20" s="232" t="s">
        <v>1175</v>
      </c>
      <c r="H20" s="215" t="s">
        <v>164</v>
      </c>
      <c r="I20" s="215" t="s">
        <v>165</v>
      </c>
      <c r="J20" s="215" t="s">
        <v>1194</v>
      </c>
      <c r="K20" s="215"/>
      <c r="L20" s="234"/>
      <c r="M20" s="234"/>
      <c r="N20" s="234"/>
      <c r="O20" s="218">
        <v>60000</v>
      </c>
      <c r="P20" s="228">
        <v>13</v>
      </c>
      <c r="Q20" s="229"/>
      <c r="R20" s="230"/>
      <c r="S20" s="231"/>
      <c r="T20" s="215"/>
      <c r="U20" s="231"/>
      <c r="V20" s="215"/>
      <c r="W20" s="215"/>
      <c r="X20" s="236"/>
      <c r="Y20" s="237"/>
      <c r="Z20" s="238"/>
      <c r="AA20" s="238"/>
      <c r="AB20" s="234"/>
      <c r="AC20" s="234"/>
      <c r="AD20" s="234"/>
      <c r="AE20" s="238"/>
      <c r="AF20" s="302"/>
      <c r="AG20" s="225"/>
      <c r="AH20" s="4"/>
      <c r="AI20" s="621"/>
      <c r="AJ20" s="622"/>
      <c r="AK20" s="79" t="s">
        <v>28</v>
      </c>
      <c r="AL20" s="653">
        <f>COUNTIF(K7:K67,1)</f>
        <v>0</v>
      </c>
      <c r="AM20" s="653"/>
      <c r="AN20" s="654">
        <f>AL20*2000</f>
        <v>0</v>
      </c>
      <c r="AO20" s="655"/>
      <c r="AP20" s="656">
        <f>COUNTIF(K7:K67,2)</f>
        <v>4</v>
      </c>
      <c r="AQ20" s="655"/>
      <c r="AR20" s="654">
        <f>AP20*2000</f>
        <v>8000</v>
      </c>
      <c r="AS20" s="655"/>
      <c r="AT20" s="654">
        <f>COUNTIF(K8:K67,3)</f>
        <v>0</v>
      </c>
      <c r="AU20" s="655"/>
      <c r="AV20" s="654">
        <f>AT20*2000</f>
        <v>0</v>
      </c>
      <c r="AW20" s="655"/>
      <c r="AX20" s="646">
        <f>SUM(AL20+AP20+AT20)</f>
        <v>4</v>
      </c>
      <c r="AY20" s="647"/>
      <c r="AZ20" s="648">
        <f>SUM(AJ20+AN20+AR20+AV20)</f>
        <v>8000</v>
      </c>
      <c r="BA20" s="649"/>
      <c r="BB20" s="10"/>
      <c r="BC20" s="10"/>
      <c r="BD20" s="10"/>
      <c r="BE20" s="10"/>
    </row>
    <row r="21" spans="1:62" ht="64.5" customHeight="1" x14ac:dyDescent="0.3">
      <c r="A21" s="228">
        <v>14</v>
      </c>
      <c r="B21" s="229">
        <v>404</v>
      </c>
      <c r="C21" s="230" t="s">
        <v>1172</v>
      </c>
      <c r="D21" s="251" t="s">
        <v>1235</v>
      </c>
      <c r="E21" s="215" t="s">
        <v>1187</v>
      </c>
      <c r="F21" s="231" t="s">
        <v>1195</v>
      </c>
      <c r="G21" s="232" t="s">
        <v>1175</v>
      </c>
      <c r="H21" s="215" t="s">
        <v>164</v>
      </c>
      <c r="I21" s="215" t="s">
        <v>165</v>
      </c>
      <c r="J21" s="237" t="s">
        <v>1176</v>
      </c>
      <c r="K21" s="238"/>
      <c r="L21" s="234"/>
      <c r="M21" s="234"/>
      <c r="N21" s="234"/>
      <c r="O21" s="218">
        <v>65000</v>
      </c>
      <c r="P21" s="228">
        <v>14</v>
      </c>
      <c r="Q21" s="229"/>
      <c r="R21" s="230"/>
      <c r="S21" s="231"/>
      <c r="T21" s="215"/>
      <c r="U21" s="231"/>
      <c r="V21" s="215"/>
      <c r="W21" s="215"/>
      <c r="X21" s="236"/>
      <c r="Y21" s="237"/>
      <c r="Z21" s="238"/>
      <c r="AA21" s="238"/>
      <c r="AB21" s="234"/>
      <c r="AC21" s="234"/>
      <c r="AD21" s="234"/>
      <c r="AE21" s="238"/>
      <c r="AF21" s="302"/>
      <c r="AG21" s="225"/>
      <c r="AH21" s="4"/>
      <c r="AI21" s="621"/>
      <c r="AJ21" s="622"/>
      <c r="AK21" s="79" t="s">
        <v>29</v>
      </c>
      <c r="AL21" s="653">
        <f>COUNTIF(Y7:Y67,1)</f>
        <v>0</v>
      </c>
      <c r="AM21" s="653"/>
      <c r="AN21" s="654">
        <f>AL21*2000</f>
        <v>0</v>
      </c>
      <c r="AO21" s="655"/>
      <c r="AP21" s="656">
        <f>COUNTIF(Y7:Y67,2)</f>
        <v>0</v>
      </c>
      <c r="AQ21" s="655"/>
      <c r="AR21" s="654">
        <f>AP21*2000</f>
        <v>0</v>
      </c>
      <c r="AS21" s="655"/>
      <c r="AT21" s="654">
        <f>COUNTIF(Y8:Y67,3)</f>
        <v>0</v>
      </c>
      <c r="AU21" s="655"/>
      <c r="AV21" s="654">
        <f>AT21*2000</f>
        <v>0</v>
      </c>
      <c r="AW21" s="655"/>
      <c r="AX21" s="646">
        <f>SUM(AL21+AP21+AT21)</f>
        <v>0</v>
      </c>
      <c r="AY21" s="647"/>
      <c r="AZ21" s="648">
        <f>SUM(AJ21+AN21+AR21+AV21)</f>
        <v>0</v>
      </c>
      <c r="BA21" s="649"/>
      <c r="BB21" s="10"/>
      <c r="BC21" s="10"/>
      <c r="BD21" s="10"/>
      <c r="BE21" s="10"/>
    </row>
    <row r="22" spans="1:62" ht="64.5" customHeight="1" x14ac:dyDescent="0.3">
      <c r="A22" s="228">
        <v>15</v>
      </c>
      <c r="B22" s="229">
        <v>713</v>
      </c>
      <c r="C22" s="230" t="s">
        <v>1172</v>
      </c>
      <c r="D22" s="251" t="s">
        <v>1238</v>
      </c>
      <c r="E22" s="215" t="s">
        <v>166</v>
      </c>
      <c r="F22" s="231" t="s">
        <v>1184</v>
      </c>
      <c r="G22" s="232" t="s">
        <v>1175</v>
      </c>
      <c r="H22" s="215" t="s">
        <v>164</v>
      </c>
      <c r="I22" s="215" t="s">
        <v>165</v>
      </c>
      <c r="J22" s="215" t="s">
        <v>1176</v>
      </c>
      <c r="K22" s="215"/>
      <c r="L22" s="234"/>
      <c r="M22" s="234"/>
      <c r="N22" s="234"/>
      <c r="O22" s="218">
        <v>60000</v>
      </c>
      <c r="P22" s="228">
        <v>15</v>
      </c>
      <c r="Q22" s="229"/>
      <c r="R22" s="230"/>
      <c r="S22" s="231"/>
      <c r="T22" s="215"/>
      <c r="U22" s="231"/>
      <c r="V22" s="215"/>
      <c r="W22" s="215"/>
      <c r="X22" s="233"/>
      <c r="Y22" s="237"/>
      <c r="Z22" s="238"/>
      <c r="AA22" s="238"/>
      <c r="AB22" s="234"/>
      <c r="AC22" s="234"/>
      <c r="AD22" s="234"/>
      <c r="AE22" s="238"/>
      <c r="AF22" s="302"/>
      <c r="AG22" s="225"/>
      <c r="AH22" s="4"/>
      <c r="AI22" s="621"/>
      <c r="AJ22" s="622"/>
      <c r="AK22" s="31" t="s">
        <v>30</v>
      </c>
      <c r="AL22" s="775"/>
      <c r="AM22" s="775"/>
      <c r="AN22" s="771"/>
      <c r="AO22" s="772"/>
      <c r="AP22" s="771"/>
      <c r="AQ22" s="772"/>
      <c r="AR22" s="771"/>
      <c r="AS22" s="772"/>
      <c r="AT22" s="771"/>
      <c r="AU22" s="772"/>
      <c r="AV22" s="771"/>
      <c r="AW22" s="772"/>
      <c r="AX22" s="771">
        <f>SUM(AL22+AP22+AT22)</f>
        <v>0</v>
      </c>
      <c r="AY22" s="772"/>
      <c r="AZ22" s="773">
        <f>SUM(AJ22+AN22+AR22+AV22)</f>
        <v>0</v>
      </c>
      <c r="BA22" s="774"/>
      <c r="BB22" s="10"/>
      <c r="BC22" s="10"/>
      <c r="BD22" s="10"/>
      <c r="BE22" s="10"/>
    </row>
    <row r="23" spans="1:62" ht="64.5" customHeight="1" x14ac:dyDescent="0.3">
      <c r="A23" s="228">
        <v>16</v>
      </c>
      <c r="B23" s="229">
        <v>715</v>
      </c>
      <c r="C23" s="230" t="s">
        <v>1172</v>
      </c>
      <c r="D23" s="251" t="s">
        <v>1259</v>
      </c>
      <c r="E23" s="215" t="s">
        <v>166</v>
      </c>
      <c r="F23" s="231" t="s">
        <v>1184</v>
      </c>
      <c r="G23" s="232" t="s">
        <v>1175</v>
      </c>
      <c r="H23" s="215" t="s">
        <v>164</v>
      </c>
      <c r="I23" s="215" t="s">
        <v>165</v>
      </c>
      <c r="J23" s="215" t="s">
        <v>1176</v>
      </c>
      <c r="K23" s="215" t="s">
        <v>1196</v>
      </c>
      <c r="L23" s="234"/>
      <c r="M23" s="234"/>
      <c r="N23" s="234"/>
      <c r="O23" s="218">
        <v>60000</v>
      </c>
      <c r="P23" s="228">
        <v>16</v>
      </c>
      <c r="Q23" s="229"/>
      <c r="R23" s="230"/>
      <c r="S23" s="231"/>
      <c r="T23" s="215"/>
      <c r="U23" s="240"/>
      <c r="V23" s="215"/>
      <c r="W23" s="215"/>
      <c r="X23" s="233"/>
      <c r="Y23" s="237"/>
      <c r="Z23" s="238"/>
      <c r="AA23" s="238"/>
      <c r="AB23" s="234"/>
      <c r="AC23" s="234"/>
      <c r="AD23" s="234"/>
      <c r="AE23" s="238"/>
      <c r="AF23" s="302"/>
      <c r="AG23" s="225"/>
      <c r="AH23" s="4"/>
      <c r="AI23" s="621"/>
      <c r="AJ23" s="622"/>
      <c r="AK23" s="31"/>
      <c r="AL23" s="775"/>
      <c r="AM23" s="775"/>
      <c r="AN23" s="771"/>
      <c r="AO23" s="772"/>
      <c r="AP23" s="775"/>
      <c r="AQ23" s="775"/>
      <c r="AR23" s="771"/>
      <c r="AS23" s="772"/>
      <c r="AT23" s="771"/>
      <c r="AU23" s="772"/>
      <c r="AV23" s="771"/>
      <c r="AW23" s="772"/>
      <c r="AX23" s="771">
        <f>SUM(AH23+AL23+AP23+AT23)</f>
        <v>0</v>
      </c>
      <c r="AY23" s="772"/>
      <c r="AZ23" s="773">
        <f>SUM(AJ23+AN23+AR23+AV23)</f>
        <v>0</v>
      </c>
      <c r="BA23" s="774"/>
      <c r="BB23" s="10"/>
      <c r="BC23" s="10"/>
      <c r="BD23" s="10"/>
      <c r="BE23" s="10"/>
    </row>
    <row r="24" spans="1:62" ht="64.5" customHeight="1" x14ac:dyDescent="0.3">
      <c r="A24" s="228">
        <v>17</v>
      </c>
      <c r="B24" s="229">
        <v>1214</v>
      </c>
      <c r="C24" s="230" t="s">
        <v>1172</v>
      </c>
      <c r="D24" s="251" t="s">
        <v>1239</v>
      </c>
      <c r="E24" s="215" t="s">
        <v>166</v>
      </c>
      <c r="F24" s="231" t="s">
        <v>1191</v>
      </c>
      <c r="G24" s="232" t="s">
        <v>1175</v>
      </c>
      <c r="H24" s="215" t="s">
        <v>164</v>
      </c>
      <c r="I24" s="215" t="s">
        <v>165</v>
      </c>
      <c r="J24" s="237" t="s">
        <v>1176</v>
      </c>
      <c r="K24" s="238"/>
      <c r="L24" s="234"/>
      <c r="M24" s="234"/>
      <c r="N24" s="234"/>
      <c r="O24" s="218">
        <v>60000</v>
      </c>
      <c r="P24" s="228">
        <v>17</v>
      </c>
      <c r="Q24" s="229"/>
      <c r="R24" s="230"/>
      <c r="S24" s="231"/>
      <c r="T24" s="215"/>
      <c r="U24" s="240"/>
      <c r="V24" s="215"/>
      <c r="W24" s="215"/>
      <c r="X24" s="233"/>
      <c r="Y24" s="237"/>
      <c r="Z24" s="238"/>
      <c r="AA24" s="238"/>
      <c r="AB24" s="234"/>
      <c r="AC24" s="234"/>
      <c r="AD24" s="234"/>
      <c r="AE24" s="238"/>
      <c r="AF24" s="302"/>
      <c r="AG24" s="225"/>
      <c r="AH24" s="4"/>
      <c r="AI24" s="621"/>
      <c r="AJ24" s="622"/>
      <c r="AK24" s="79" t="s">
        <v>25</v>
      </c>
      <c r="AL24" s="653">
        <f>SUM(AL20:AM23)</f>
        <v>0</v>
      </c>
      <c r="AM24" s="653"/>
      <c r="AN24" s="654">
        <f>SUM(AN20:AO23)</f>
        <v>0</v>
      </c>
      <c r="AO24" s="655"/>
      <c r="AP24" s="656">
        <f>SUM(AP20:AQ23)</f>
        <v>4</v>
      </c>
      <c r="AQ24" s="655"/>
      <c r="AR24" s="654">
        <f>SUM(AR20:AS23)</f>
        <v>8000</v>
      </c>
      <c r="AS24" s="655"/>
      <c r="AT24" s="654">
        <f>SUM(AT20:AU23)</f>
        <v>0</v>
      </c>
      <c r="AU24" s="655"/>
      <c r="AV24" s="654">
        <f>SUM(AV20:AW23)</f>
        <v>0</v>
      </c>
      <c r="AW24" s="655"/>
      <c r="AX24" s="646">
        <f>SUM(AH24+AL24+AP24+AT24)</f>
        <v>4</v>
      </c>
      <c r="AY24" s="647"/>
      <c r="AZ24" s="648">
        <f>SUM(AZ20:BA23)</f>
        <v>8000</v>
      </c>
      <c r="BA24" s="649"/>
      <c r="BB24" s="10"/>
      <c r="BC24" s="10"/>
      <c r="BD24" s="10"/>
      <c r="BE24" s="10"/>
    </row>
    <row r="25" spans="1:62" ht="64.5" customHeight="1" thickBot="1" x14ac:dyDescent="0.35">
      <c r="A25" s="228">
        <v>18</v>
      </c>
      <c r="B25" s="229">
        <v>902</v>
      </c>
      <c r="C25" s="230" t="s">
        <v>1172</v>
      </c>
      <c r="D25" s="251" t="s">
        <v>1261</v>
      </c>
      <c r="E25" s="215" t="s">
        <v>166</v>
      </c>
      <c r="F25" s="231" t="s">
        <v>1195</v>
      </c>
      <c r="G25" s="232" t="s">
        <v>1175</v>
      </c>
      <c r="H25" s="215" t="s">
        <v>164</v>
      </c>
      <c r="I25" s="215" t="s">
        <v>165</v>
      </c>
      <c r="J25" s="237" t="s">
        <v>1176</v>
      </c>
      <c r="K25" s="238"/>
      <c r="L25" s="234"/>
      <c r="M25" s="234"/>
      <c r="N25" s="234"/>
      <c r="O25" s="218">
        <v>60000</v>
      </c>
      <c r="P25" s="228">
        <v>18</v>
      </c>
      <c r="Q25" s="229"/>
      <c r="R25" s="230"/>
      <c r="S25" s="231"/>
      <c r="T25" s="215"/>
      <c r="U25" s="231"/>
      <c r="V25" s="215"/>
      <c r="W25" s="215"/>
      <c r="X25" s="233"/>
      <c r="Y25" s="237"/>
      <c r="Z25" s="238"/>
      <c r="AA25" s="238"/>
      <c r="AB25" s="234"/>
      <c r="AC25" s="234"/>
      <c r="AD25" s="234"/>
      <c r="AE25" s="238"/>
      <c r="AF25" s="302"/>
      <c r="AG25" s="225"/>
      <c r="AH25" s="4"/>
      <c r="AI25" s="629"/>
      <c r="AJ25" s="630"/>
      <c r="AK25" s="32"/>
      <c r="AL25" s="33"/>
      <c r="AM25" s="33"/>
      <c r="AN25" s="631"/>
      <c r="AO25" s="631"/>
      <c r="AP25" s="631"/>
      <c r="AQ25" s="631"/>
      <c r="AR25" s="631"/>
      <c r="AS25" s="650"/>
      <c r="AT25" s="34"/>
      <c r="AU25" s="35"/>
      <c r="AV25" s="631"/>
      <c r="AW25" s="650"/>
      <c r="AX25" s="651"/>
      <c r="AY25" s="631"/>
      <c r="AZ25" s="650"/>
      <c r="BA25" s="652"/>
      <c r="BB25" s="10"/>
      <c r="BC25" s="10"/>
      <c r="BD25" s="10"/>
      <c r="BE25" s="10"/>
    </row>
    <row r="26" spans="1:62" ht="64.5" customHeight="1" thickBot="1" x14ac:dyDescent="0.35">
      <c r="A26" s="228">
        <v>19</v>
      </c>
      <c r="B26" s="229">
        <v>1206</v>
      </c>
      <c r="C26" s="230" t="s">
        <v>1182</v>
      </c>
      <c r="D26" s="304" t="s">
        <v>1262</v>
      </c>
      <c r="E26" s="305"/>
      <c r="F26" s="304" t="s">
        <v>1174</v>
      </c>
      <c r="G26" s="232" t="s">
        <v>1175</v>
      </c>
      <c r="H26" s="215" t="s">
        <v>164</v>
      </c>
      <c r="I26" s="215" t="s">
        <v>165</v>
      </c>
      <c r="J26" s="215" t="s">
        <v>1176</v>
      </c>
      <c r="K26" s="215"/>
      <c r="L26" s="234"/>
      <c r="M26" s="234"/>
      <c r="N26" s="234"/>
      <c r="O26" s="218">
        <v>70000</v>
      </c>
      <c r="P26" s="228">
        <v>19</v>
      </c>
      <c r="Q26" s="229"/>
      <c r="R26" s="230"/>
      <c r="S26" s="231"/>
      <c r="T26" s="215"/>
      <c r="U26" s="231"/>
      <c r="V26" s="215"/>
      <c r="W26" s="215"/>
      <c r="X26" s="236"/>
      <c r="Y26" s="237"/>
      <c r="Z26" s="238"/>
      <c r="AA26" s="238"/>
      <c r="AB26" s="234"/>
      <c r="AC26" s="234"/>
      <c r="AD26" s="234"/>
      <c r="AE26" s="238"/>
      <c r="AF26" s="302"/>
      <c r="AG26" s="225"/>
      <c r="AH26" s="4"/>
      <c r="AI26" s="11"/>
      <c r="AJ26" s="11"/>
      <c r="AK26" s="12"/>
      <c r="AL26" s="12"/>
      <c r="AM26" s="13"/>
      <c r="AN26" s="13"/>
      <c r="AO26" s="13"/>
      <c r="AP26" s="13"/>
      <c r="AQ26" s="13"/>
      <c r="AR26" s="13"/>
      <c r="AS26" s="7"/>
      <c r="AT26" s="7"/>
      <c r="AU26" s="7"/>
      <c r="AV26" s="7"/>
      <c r="AW26" s="7"/>
      <c r="AX26" s="7"/>
      <c r="AY26" s="7"/>
      <c r="AZ26" s="10"/>
      <c r="BA26" s="10"/>
      <c r="BB26" s="10"/>
      <c r="BC26" s="10"/>
      <c r="BD26" s="10"/>
      <c r="BE26" s="10"/>
    </row>
    <row r="27" spans="1:62" ht="64.5" customHeight="1" thickBot="1" x14ac:dyDescent="0.35">
      <c r="A27" s="228">
        <v>20</v>
      </c>
      <c r="B27" s="229">
        <v>907</v>
      </c>
      <c r="C27" s="230" t="s">
        <v>1179</v>
      </c>
      <c r="D27" s="304" t="s">
        <v>1263</v>
      </c>
      <c r="E27" s="305" t="s">
        <v>1187</v>
      </c>
      <c r="F27" s="304" t="s">
        <v>1195</v>
      </c>
      <c r="G27" s="232" t="s">
        <v>1175</v>
      </c>
      <c r="H27" s="215" t="s">
        <v>164</v>
      </c>
      <c r="I27" s="215" t="s">
        <v>165</v>
      </c>
      <c r="J27" s="215" t="s">
        <v>1260</v>
      </c>
      <c r="K27" s="215" t="s">
        <v>1196</v>
      </c>
      <c r="L27" s="234"/>
      <c r="M27" s="234"/>
      <c r="N27" s="234"/>
      <c r="O27" s="218">
        <v>71500</v>
      </c>
      <c r="P27" s="228">
        <v>20</v>
      </c>
      <c r="Q27" s="229"/>
      <c r="R27" s="230"/>
      <c r="S27" s="231"/>
      <c r="T27" s="215"/>
      <c r="U27" s="231"/>
      <c r="V27" s="215"/>
      <c r="W27" s="215"/>
      <c r="X27" s="233"/>
      <c r="Y27" s="237"/>
      <c r="Z27" s="238"/>
      <c r="AA27" s="238"/>
      <c r="AB27" s="234"/>
      <c r="AC27" s="234"/>
      <c r="AD27" s="234"/>
      <c r="AE27" s="238"/>
      <c r="AF27" s="302"/>
      <c r="AG27" s="225"/>
      <c r="AH27" s="4"/>
      <c r="AI27" s="11"/>
      <c r="AJ27" s="613" t="s">
        <v>145</v>
      </c>
      <c r="AK27" s="614"/>
      <c r="AL27" s="614"/>
      <c r="AM27" s="614"/>
      <c r="AN27" s="614"/>
      <c r="AO27" s="615"/>
      <c r="AP27" s="13"/>
      <c r="AQ27" s="13"/>
      <c r="AR27" s="13"/>
      <c r="AS27" s="7"/>
      <c r="AT27" s="7"/>
      <c r="AU27" s="7"/>
      <c r="AV27" s="7"/>
      <c r="AW27" s="7"/>
      <c r="AX27" s="7"/>
      <c r="AY27" s="7"/>
      <c r="AZ27" s="10"/>
      <c r="BA27" s="10"/>
      <c r="BB27" s="10"/>
      <c r="BC27" s="10"/>
      <c r="BD27" s="10"/>
      <c r="BE27" s="10"/>
    </row>
    <row r="28" spans="1:62" ht="64.5" customHeight="1" thickBot="1" x14ac:dyDescent="0.35">
      <c r="A28" s="228">
        <v>21</v>
      </c>
      <c r="B28" s="229">
        <v>406</v>
      </c>
      <c r="C28" s="230" t="s">
        <v>73</v>
      </c>
      <c r="D28" s="231" t="s">
        <v>1237</v>
      </c>
      <c r="E28" s="215" t="s">
        <v>166</v>
      </c>
      <c r="F28" s="231" t="s">
        <v>1184</v>
      </c>
      <c r="G28" s="232" t="s">
        <v>1175</v>
      </c>
      <c r="H28" s="215" t="s">
        <v>164</v>
      </c>
      <c r="I28" s="215" t="s">
        <v>165</v>
      </c>
      <c r="J28" s="215" t="s">
        <v>1260</v>
      </c>
      <c r="K28" s="215"/>
      <c r="L28" s="234"/>
      <c r="M28" s="234"/>
      <c r="N28" s="234"/>
      <c r="O28" s="218">
        <v>60000</v>
      </c>
      <c r="P28" s="228">
        <v>21</v>
      </c>
      <c r="Q28" s="229"/>
      <c r="R28" s="230"/>
      <c r="S28" s="231"/>
      <c r="T28" s="215"/>
      <c r="U28" s="231"/>
      <c r="V28" s="215"/>
      <c r="W28" s="215"/>
      <c r="X28" s="233"/>
      <c r="Y28" s="237"/>
      <c r="Z28" s="238"/>
      <c r="AA28" s="238"/>
      <c r="AB28" s="234"/>
      <c r="AC28" s="234"/>
      <c r="AD28" s="234"/>
      <c r="AE28" s="238"/>
      <c r="AF28" s="302"/>
      <c r="AG28" s="225"/>
      <c r="AH28" s="4"/>
      <c r="AI28" s="11"/>
      <c r="AJ28" s="819" t="s">
        <v>76</v>
      </c>
      <c r="AK28" s="820"/>
      <c r="AL28" s="635" t="s">
        <v>55</v>
      </c>
      <c r="AM28" s="636"/>
      <c r="AN28" s="637" t="s">
        <v>158</v>
      </c>
      <c r="AO28" s="637"/>
      <c r="AP28" s="638" t="s">
        <v>159</v>
      </c>
      <c r="AQ28" s="638"/>
      <c r="AR28" s="321" t="s">
        <v>160</v>
      </c>
      <c r="AS28" s="638" t="s">
        <v>167</v>
      </c>
      <c r="AT28" s="638"/>
      <c r="AU28" s="638" t="s">
        <v>168</v>
      </c>
      <c r="AV28" s="638"/>
      <c r="AW28" s="320" t="s">
        <v>161</v>
      </c>
      <c r="AX28" s="637" t="s">
        <v>169</v>
      </c>
      <c r="AY28" s="637"/>
      <c r="AZ28" s="637"/>
      <c r="BA28" s="639"/>
      <c r="BB28" s="7"/>
      <c r="BC28" s="7"/>
      <c r="BD28" s="7"/>
      <c r="BE28" s="10"/>
      <c r="BF28" s="10"/>
      <c r="BG28" s="10"/>
      <c r="BH28" s="10"/>
      <c r="BI28" s="10"/>
      <c r="BJ28" s="10"/>
    </row>
    <row r="29" spans="1:62" ht="64.5" customHeight="1" x14ac:dyDescent="0.3">
      <c r="A29" s="228">
        <v>22</v>
      </c>
      <c r="B29" s="229">
        <v>702</v>
      </c>
      <c r="C29" s="230" t="s">
        <v>73</v>
      </c>
      <c r="D29" s="231" t="s">
        <v>1264</v>
      </c>
      <c r="E29" s="215" t="s">
        <v>166</v>
      </c>
      <c r="F29" s="231" t="s">
        <v>1191</v>
      </c>
      <c r="G29" s="232" t="s">
        <v>1175</v>
      </c>
      <c r="H29" s="215" t="s">
        <v>164</v>
      </c>
      <c r="I29" s="215" t="s">
        <v>165</v>
      </c>
      <c r="J29" s="215" t="s">
        <v>1260</v>
      </c>
      <c r="K29" s="215"/>
      <c r="L29" s="234"/>
      <c r="M29" s="234"/>
      <c r="N29" s="234"/>
      <c r="O29" s="218">
        <v>60000</v>
      </c>
      <c r="P29" s="228">
        <v>22</v>
      </c>
      <c r="Q29" s="229"/>
      <c r="R29" s="230"/>
      <c r="S29" s="231"/>
      <c r="T29" s="215"/>
      <c r="U29" s="231"/>
      <c r="V29" s="215"/>
      <c r="W29" s="215"/>
      <c r="X29" s="233"/>
      <c r="Y29" s="237"/>
      <c r="Z29" s="238"/>
      <c r="AA29" s="238"/>
      <c r="AB29" s="234"/>
      <c r="AC29" s="234"/>
      <c r="AD29" s="234"/>
      <c r="AE29" s="238"/>
      <c r="AF29" s="302"/>
      <c r="AG29" s="225"/>
      <c r="AH29" s="4"/>
      <c r="AI29" s="11"/>
      <c r="AJ29" s="821" t="s">
        <v>134</v>
      </c>
      <c r="AK29" s="822"/>
      <c r="AL29" s="640">
        <v>5</v>
      </c>
      <c r="AM29" s="641"/>
      <c r="AN29" s="642">
        <v>4</v>
      </c>
      <c r="AO29" s="642"/>
      <c r="AP29" s="643">
        <v>10</v>
      </c>
      <c r="AQ29" s="643"/>
      <c r="AR29" s="417">
        <v>2</v>
      </c>
      <c r="AS29" s="643">
        <v>11</v>
      </c>
      <c r="AT29" s="643"/>
      <c r="AU29" s="643">
        <v>5</v>
      </c>
      <c r="AV29" s="643"/>
      <c r="AW29" s="418">
        <v>5</v>
      </c>
      <c r="AX29" s="644">
        <v>0</v>
      </c>
      <c r="AY29" s="644"/>
      <c r="AZ29" s="644">
        <v>0</v>
      </c>
      <c r="BA29" s="645"/>
      <c r="BB29" s="7"/>
      <c r="BC29" s="7"/>
      <c r="BD29" s="7"/>
      <c r="BE29" s="10"/>
      <c r="BF29" s="10"/>
      <c r="BG29" s="10"/>
      <c r="BH29" s="10"/>
      <c r="BI29" s="10"/>
      <c r="BJ29" s="10"/>
    </row>
    <row r="30" spans="1:62" ht="64.5" customHeight="1" x14ac:dyDescent="0.3">
      <c r="A30" s="228">
        <v>23</v>
      </c>
      <c r="B30" s="229">
        <v>1004</v>
      </c>
      <c r="C30" s="230" t="s">
        <v>1172</v>
      </c>
      <c r="D30" s="231" t="s">
        <v>1242</v>
      </c>
      <c r="E30" s="215" t="s">
        <v>166</v>
      </c>
      <c r="F30" s="231" t="s">
        <v>1195</v>
      </c>
      <c r="G30" s="232" t="s">
        <v>1175</v>
      </c>
      <c r="H30" s="215" t="s">
        <v>164</v>
      </c>
      <c r="I30" s="215" t="s">
        <v>165</v>
      </c>
      <c r="J30" s="215" t="s">
        <v>1260</v>
      </c>
      <c r="K30" s="215"/>
      <c r="L30" s="234"/>
      <c r="M30" s="234"/>
      <c r="N30" s="234"/>
      <c r="O30" s="218">
        <v>60000</v>
      </c>
      <c r="P30" s="228">
        <v>23</v>
      </c>
      <c r="Q30" s="229"/>
      <c r="R30" s="230"/>
      <c r="S30" s="231"/>
      <c r="T30" s="215"/>
      <c r="U30" s="231"/>
      <c r="V30" s="215"/>
      <c r="W30" s="215"/>
      <c r="X30" s="233"/>
      <c r="Y30" s="237"/>
      <c r="Z30" s="238"/>
      <c r="AA30" s="238"/>
      <c r="AB30" s="234"/>
      <c r="AC30" s="234"/>
      <c r="AD30" s="234"/>
      <c r="AE30" s="238"/>
      <c r="AF30" s="302"/>
      <c r="AG30" s="225"/>
      <c r="AH30" s="4"/>
      <c r="AI30" s="11"/>
      <c r="AJ30" s="823" t="s">
        <v>133</v>
      </c>
      <c r="AK30" s="824"/>
      <c r="AL30" s="827">
        <f>COUNTIF(F8:F67,"c")</f>
        <v>4</v>
      </c>
      <c r="AM30" s="828"/>
      <c r="AN30" s="829">
        <f>COUNTIF(F8:F67,"b")</f>
        <v>3</v>
      </c>
      <c r="AO30" s="829"/>
      <c r="AP30" s="830">
        <f>COUNTIF(F8:F67,"at")</f>
        <v>9</v>
      </c>
      <c r="AQ30" s="830"/>
      <c r="AR30" s="323">
        <f>COUNTIF(F8:F67,"aD")</f>
        <v>2</v>
      </c>
      <c r="AS30" s="830">
        <f>COUNTIF(F8:F67,"sd")</f>
        <v>9</v>
      </c>
      <c r="AT30" s="830"/>
      <c r="AU30" s="830">
        <f>COUNTIF(F8:F67,"st")</f>
        <v>5</v>
      </c>
      <c r="AV30" s="830"/>
      <c r="AW30" s="324">
        <f>COUNTIF(F8:F67,"v")</f>
        <v>1</v>
      </c>
      <c r="AX30" s="878">
        <f>COUNTIF(F8:F67,"PA")</f>
        <v>0</v>
      </c>
      <c r="AY30" s="878"/>
      <c r="AZ30" s="878">
        <f>COUNTIF(F8:F67,"특")</f>
        <v>0</v>
      </c>
      <c r="BA30" s="879"/>
      <c r="BB30" s="7"/>
      <c r="BC30" s="7"/>
      <c r="BD30" s="7"/>
      <c r="BE30" s="10"/>
      <c r="BF30" s="10"/>
      <c r="BG30" s="10"/>
      <c r="BH30" s="10"/>
      <c r="BI30" s="10"/>
      <c r="BJ30" s="10"/>
    </row>
    <row r="31" spans="1:62" ht="64.5" customHeight="1" thickBot="1" x14ac:dyDescent="0.35">
      <c r="A31" s="228">
        <v>24</v>
      </c>
      <c r="B31" s="229">
        <v>609</v>
      </c>
      <c r="C31" s="230" t="s">
        <v>74</v>
      </c>
      <c r="D31" s="231" t="s">
        <v>1265</v>
      </c>
      <c r="E31" s="215" t="s">
        <v>166</v>
      </c>
      <c r="F31" s="231"/>
      <c r="G31" s="232" t="s">
        <v>1175</v>
      </c>
      <c r="H31" s="215" t="s">
        <v>164</v>
      </c>
      <c r="I31" s="215" t="s">
        <v>165</v>
      </c>
      <c r="J31" s="215" t="s">
        <v>1260</v>
      </c>
      <c r="K31" s="215" t="s">
        <v>1196</v>
      </c>
      <c r="L31" s="234"/>
      <c r="M31" s="234"/>
      <c r="N31" s="234"/>
      <c r="O31" s="218">
        <v>60000</v>
      </c>
      <c r="P31" s="228">
        <v>24</v>
      </c>
      <c r="Q31" s="229"/>
      <c r="R31" s="230"/>
      <c r="S31" s="231"/>
      <c r="T31" s="215"/>
      <c r="U31" s="231"/>
      <c r="V31" s="215"/>
      <c r="W31" s="215"/>
      <c r="X31" s="233"/>
      <c r="Y31" s="237"/>
      <c r="Z31" s="238"/>
      <c r="AA31" s="238"/>
      <c r="AB31" s="234"/>
      <c r="AC31" s="234"/>
      <c r="AD31" s="234"/>
      <c r="AE31" s="238"/>
      <c r="AF31" s="302"/>
      <c r="AG31" s="225"/>
      <c r="AH31" s="4"/>
      <c r="AI31" s="11"/>
      <c r="AJ31" s="825" t="s">
        <v>146</v>
      </c>
      <c r="AK31" s="826"/>
      <c r="AL31" s="814">
        <f>AL29-AL30</f>
        <v>1</v>
      </c>
      <c r="AM31" s="815"/>
      <c r="AN31" s="816">
        <f>AN29-AN30</f>
        <v>1</v>
      </c>
      <c r="AO31" s="816"/>
      <c r="AP31" s="817">
        <f>AP29-AP30</f>
        <v>1</v>
      </c>
      <c r="AQ31" s="817"/>
      <c r="AR31" s="322">
        <f>AR29-AR30</f>
        <v>0</v>
      </c>
      <c r="AS31" s="817">
        <f>AS29-AS30</f>
        <v>2</v>
      </c>
      <c r="AT31" s="817"/>
      <c r="AU31" s="817">
        <f>AU29-AU30</f>
        <v>0</v>
      </c>
      <c r="AV31" s="817"/>
      <c r="AW31" s="322">
        <f>AW29-AW30</f>
        <v>4</v>
      </c>
      <c r="AX31" s="817">
        <f>AX29-AX30</f>
        <v>0</v>
      </c>
      <c r="AY31" s="817"/>
      <c r="AZ31" s="817">
        <f>AZ29-AZ30</f>
        <v>0</v>
      </c>
      <c r="BA31" s="818"/>
      <c r="BB31" s="10"/>
      <c r="BC31" s="10"/>
      <c r="BD31" s="10"/>
      <c r="BE31" s="10"/>
    </row>
    <row r="32" spans="1:62" ht="64.5" customHeight="1" x14ac:dyDescent="0.3">
      <c r="A32" s="228">
        <v>25</v>
      </c>
      <c r="B32" s="229">
        <v>409</v>
      </c>
      <c r="C32" s="230" t="s">
        <v>177</v>
      </c>
      <c r="D32" s="231" t="s">
        <v>1266</v>
      </c>
      <c r="E32" s="215" t="s">
        <v>1187</v>
      </c>
      <c r="F32" s="231" t="s">
        <v>1195</v>
      </c>
      <c r="G32" s="232" t="s">
        <v>1193</v>
      </c>
      <c r="H32" s="215" t="s">
        <v>164</v>
      </c>
      <c r="I32" s="215" t="s">
        <v>165</v>
      </c>
      <c r="J32" s="215" t="s">
        <v>1260</v>
      </c>
      <c r="K32" s="238">
        <v>2</v>
      </c>
      <c r="L32" s="234"/>
      <c r="M32" s="234"/>
      <c r="N32" s="234"/>
      <c r="O32" s="218">
        <v>143000</v>
      </c>
      <c r="P32" s="228">
        <v>25</v>
      </c>
      <c r="Q32" s="229"/>
      <c r="R32" s="230"/>
      <c r="S32" s="231"/>
      <c r="T32" s="215"/>
      <c r="U32" s="231"/>
      <c r="V32" s="215"/>
      <c r="W32" s="215"/>
      <c r="X32" s="233"/>
      <c r="Y32" s="237"/>
      <c r="Z32" s="238"/>
      <c r="AA32" s="238"/>
      <c r="AB32" s="234"/>
      <c r="AC32" s="234"/>
      <c r="AD32" s="234"/>
      <c r="AE32" s="238"/>
      <c r="AF32" s="302"/>
      <c r="AG32" s="225"/>
      <c r="AH32" s="4"/>
      <c r="AI32" s="11"/>
      <c r="AJ32" s="11"/>
      <c r="AK32" s="12" t="s">
        <v>147</v>
      </c>
      <c r="AL32" s="12"/>
      <c r="AM32" s="13"/>
      <c r="AN32" s="13"/>
      <c r="AO32" s="13"/>
      <c r="AP32" s="13"/>
      <c r="AQ32" s="13"/>
      <c r="AR32" s="13"/>
      <c r="AS32" s="7"/>
      <c r="AT32" s="7"/>
      <c r="AU32" s="7"/>
      <c r="AV32" s="7"/>
      <c r="AW32" s="7"/>
      <c r="AX32" s="7"/>
      <c r="AY32" s="7"/>
      <c r="AZ32" s="10"/>
      <c r="BA32" s="10"/>
      <c r="BB32" s="10"/>
      <c r="BC32" s="10"/>
      <c r="BD32" s="10"/>
      <c r="BE32" s="10"/>
    </row>
    <row r="33" spans="1:57" ht="64.5" customHeight="1" x14ac:dyDescent="0.3">
      <c r="A33" s="228">
        <v>26</v>
      </c>
      <c r="B33" s="229">
        <v>709</v>
      </c>
      <c r="C33" s="230" t="s">
        <v>1224</v>
      </c>
      <c r="D33" s="231" t="s">
        <v>1255</v>
      </c>
      <c r="E33" s="215"/>
      <c r="F33" s="231" t="s">
        <v>1191</v>
      </c>
      <c r="G33" s="232" t="s">
        <v>1175</v>
      </c>
      <c r="H33" s="215" t="s">
        <v>164</v>
      </c>
      <c r="I33" s="215" t="s">
        <v>165</v>
      </c>
      <c r="J33" s="215" t="s">
        <v>1194</v>
      </c>
      <c r="K33" s="215"/>
      <c r="L33" s="234"/>
      <c r="M33" s="234"/>
      <c r="N33" s="234"/>
      <c r="O33" s="218">
        <v>78750</v>
      </c>
      <c r="P33" s="228">
        <v>26</v>
      </c>
      <c r="Q33" s="229"/>
      <c r="R33" s="230"/>
      <c r="S33" s="231"/>
      <c r="T33" s="231"/>
      <c r="U33" s="231"/>
      <c r="V33" s="215"/>
      <c r="W33" s="215"/>
      <c r="X33" s="233"/>
      <c r="Y33" s="237"/>
      <c r="Z33" s="238"/>
      <c r="AA33" s="238"/>
      <c r="AB33" s="234"/>
      <c r="AC33" s="234"/>
      <c r="AD33" s="234"/>
      <c r="AE33" s="238"/>
      <c r="AF33" s="302"/>
      <c r="AG33" s="225"/>
      <c r="AH33" s="4"/>
      <c r="AI33" s="11"/>
      <c r="AJ33" s="11"/>
      <c r="AK33" s="12"/>
      <c r="AL33" s="12"/>
      <c r="AM33" s="13"/>
      <c r="AN33" s="13"/>
      <c r="AO33" s="13"/>
      <c r="AP33" s="13"/>
      <c r="AQ33" s="13"/>
      <c r="AR33" s="13"/>
      <c r="AS33" s="7"/>
      <c r="AT33" s="7"/>
      <c r="AU33" s="7"/>
      <c r="AV33" s="7"/>
      <c r="AW33" s="7"/>
      <c r="AX33" s="7"/>
      <c r="AY33" s="7"/>
      <c r="AZ33" s="10"/>
      <c r="BA33" s="10"/>
      <c r="BB33" s="10"/>
      <c r="BC33" s="10"/>
      <c r="BD33" s="10"/>
      <c r="BE33" s="10"/>
    </row>
    <row r="34" spans="1:57" ht="64.5" customHeight="1" x14ac:dyDescent="0.3">
      <c r="A34" s="228">
        <v>27</v>
      </c>
      <c r="B34" s="229"/>
      <c r="C34" s="230"/>
      <c r="D34" s="231"/>
      <c r="E34" s="215"/>
      <c r="F34" s="231"/>
      <c r="G34" s="232"/>
      <c r="H34" s="215"/>
      <c r="I34" s="215"/>
      <c r="J34" s="233"/>
      <c r="K34" s="215"/>
      <c r="L34" s="234"/>
      <c r="M34" s="234"/>
      <c r="N34" s="234"/>
      <c r="O34" s="219"/>
      <c r="P34" s="228">
        <v>27</v>
      </c>
      <c r="Q34" s="229"/>
      <c r="R34" s="230"/>
      <c r="S34" s="231"/>
      <c r="T34" s="215"/>
      <c r="U34" s="231"/>
      <c r="V34" s="215"/>
      <c r="W34" s="215"/>
      <c r="X34" s="233"/>
      <c r="Y34" s="237"/>
      <c r="Z34" s="238"/>
      <c r="AA34" s="238"/>
      <c r="AB34" s="234"/>
      <c r="AC34" s="234"/>
      <c r="AD34" s="234"/>
      <c r="AE34" s="238"/>
      <c r="AF34" s="302"/>
      <c r="AG34" s="225"/>
      <c r="AH34" s="4"/>
      <c r="AI34" s="11"/>
      <c r="AJ34" s="11"/>
      <c r="AK34" s="12"/>
      <c r="AL34" s="12"/>
      <c r="AM34" s="13"/>
      <c r="AN34" s="13"/>
      <c r="AO34" s="13"/>
      <c r="AP34" s="13"/>
      <c r="AQ34" s="13"/>
      <c r="AR34" s="13"/>
      <c r="AS34" s="7"/>
      <c r="AT34" s="7"/>
      <c r="AU34" s="7"/>
      <c r="AV34" s="7"/>
      <c r="AW34" s="7"/>
      <c r="AX34" s="7"/>
      <c r="AY34" s="7"/>
      <c r="AZ34" s="10"/>
      <c r="BA34" s="10"/>
      <c r="BB34" s="10"/>
      <c r="BC34" s="10"/>
      <c r="BD34" s="10"/>
      <c r="BE34" s="10"/>
    </row>
    <row r="35" spans="1:57" ht="64.5" customHeight="1" x14ac:dyDescent="0.3">
      <c r="A35" s="228">
        <v>28</v>
      </c>
      <c r="B35" s="229"/>
      <c r="C35" s="230"/>
      <c r="D35" s="231"/>
      <c r="E35" s="215"/>
      <c r="F35" s="231"/>
      <c r="G35" s="232"/>
      <c r="H35" s="215"/>
      <c r="I35" s="215"/>
      <c r="J35" s="237"/>
      <c r="K35" s="238"/>
      <c r="L35" s="234"/>
      <c r="M35" s="234"/>
      <c r="N35" s="234"/>
      <c r="O35" s="218"/>
      <c r="P35" s="228">
        <v>28</v>
      </c>
      <c r="Q35" s="229"/>
      <c r="R35" s="230"/>
      <c r="S35" s="231"/>
      <c r="T35" s="215"/>
      <c r="U35" s="231"/>
      <c r="V35" s="215"/>
      <c r="W35" s="215"/>
      <c r="X35" s="233"/>
      <c r="Y35" s="237"/>
      <c r="Z35" s="238"/>
      <c r="AA35" s="238"/>
      <c r="AB35" s="234"/>
      <c r="AC35" s="234"/>
      <c r="AD35" s="234"/>
      <c r="AE35" s="238"/>
      <c r="AF35" s="302"/>
      <c r="AG35" s="225"/>
      <c r="AH35" s="4"/>
      <c r="AI35" s="11"/>
      <c r="AJ35" s="11"/>
      <c r="AK35" s="12"/>
      <c r="AL35" s="12"/>
      <c r="AM35" s="13"/>
      <c r="AN35" s="13"/>
      <c r="AO35" s="13"/>
      <c r="AP35" s="13"/>
      <c r="AQ35" s="13"/>
      <c r="AR35" s="13"/>
      <c r="AS35" s="7"/>
      <c r="AT35" s="7"/>
      <c r="AU35" s="7"/>
      <c r="AV35" s="7"/>
      <c r="AW35" s="7"/>
      <c r="AX35" s="7"/>
      <c r="AY35" s="7"/>
      <c r="AZ35" s="10"/>
      <c r="BA35" s="10"/>
      <c r="BB35" s="10"/>
      <c r="BC35" s="10"/>
      <c r="BD35" s="10"/>
      <c r="BE35" s="10"/>
    </row>
    <row r="36" spans="1:57" ht="64.5" customHeight="1" x14ac:dyDescent="0.3">
      <c r="A36" s="228">
        <v>29</v>
      </c>
      <c r="B36" s="229"/>
      <c r="C36" s="230"/>
      <c r="D36" s="231"/>
      <c r="E36" s="215"/>
      <c r="F36" s="231"/>
      <c r="G36" s="232"/>
      <c r="H36" s="215"/>
      <c r="I36" s="215"/>
      <c r="J36" s="215"/>
      <c r="K36" s="215"/>
      <c r="L36" s="234"/>
      <c r="M36" s="234"/>
      <c r="N36" s="234"/>
      <c r="O36" s="218"/>
      <c r="P36" s="228">
        <v>29</v>
      </c>
      <c r="Q36" s="229"/>
      <c r="R36" s="230"/>
      <c r="S36" s="231"/>
      <c r="T36" s="215"/>
      <c r="U36" s="231"/>
      <c r="V36" s="215"/>
      <c r="W36" s="215"/>
      <c r="X36" s="233"/>
      <c r="Y36" s="237"/>
      <c r="Z36" s="238"/>
      <c r="AA36" s="238"/>
      <c r="AB36" s="234"/>
      <c r="AC36" s="234"/>
      <c r="AD36" s="234"/>
      <c r="AE36" s="238"/>
      <c r="AF36" s="302"/>
      <c r="AG36" s="225"/>
      <c r="AH36" s="4"/>
      <c r="AI36" s="11"/>
      <c r="AJ36" s="11"/>
      <c r="AK36" s="12"/>
      <c r="AL36" s="12"/>
      <c r="AM36" s="13"/>
      <c r="AN36" s="13"/>
      <c r="AO36" s="13"/>
      <c r="AP36" s="13"/>
      <c r="AQ36" s="13"/>
      <c r="AR36" s="13"/>
      <c r="AS36" s="7"/>
      <c r="AT36" s="7"/>
      <c r="AU36" s="7"/>
      <c r="AV36" s="7"/>
      <c r="AW36" s="7"/>
      <c r="AX36" s="7"/>
      <c r="AY36" s="7"/>
      <c r="AZ36" s="10"/>
      <c r="BA36" s="10"/>
      <c r="BB36" s="10"/>
      <c r="BC36" s="10"/>
      <c r="BD36" s="10"/>
      <c r="BE36" s="10"/>
    </row>
    <row r="37" spans="1:57" ht="64.5" customHeight="1" x14ac:dyDescent="0.3">
      <c r="A37" s="228">
        <v>30</v>
      </c>
      <c r="B37" s="229"/>
      <c r="C37" s="230"/>
      <c r="D37" s="231"/>
      <c r="E37" s="215"/>
      <c r="F37" s="231"/>
      <c r="G37" s="232"/>
      <c r="H37" s="215"/>
      <c r="I37" s="215"/>
      <c r="J37" s="233"/>
      <c r="K37" s="215"/>
      <c r="L37" s="234"/>
      <c r="M37" s="234"/>
      <c r="N37" s="234"/>
      <c r="O37" s="218"/>
      <c r="P37" s="228">
        <v>30</v>
      </c>
      <c r="Q37" s="229"/>
      <c r="R37" s="230"/>
      <c r="S37" s="231"/>
      <c r="T37" s="215"/>
      <c r="U37" s="231"/>
      <c r="V37" s="215"/>
      <c r="W37" s="215"/>
      <c r="X37" s="233"/>
      <c r="Y37" s="237"/>
      <c r="Z37" s="238"/>
      <c r="AA37" s="238"/>
      <c r="AB37" s="234"/>
      <c r="AC37" s="234"/>
      <c r="AD37" s="234"/>
      <c r="AE37" s="238"/>
      <c r="AF37" s="302"/>
      <c r="AG37" s="225"/>
      <c r="AH37" s="4"/>
      <c r="AI37" s="11"/>
      <c r="AJ37" s="11"/>
      <c r="AK37" s="12"/>
      <c r="AL37" s="12"/>
      <c r="AM37" s="13"/>
      <c r="AN37" s="13"/>
      <c r="AO37" s="13"/>
      <c r="AP37" s="13"/>
      <c r="AQ37" s="13"/>
      <c r="AR37" s="13"/>
      <c r="AS37" s="7"/>
      <c r="AT37" s="7"/>
      <c r="AU37" s="7"/>
      <c r="AV37" s="7"/>
      <c r="AW37" s="7"/>
      <c r="AX37" s="7"/>
      <c r="AY37" s="7"/>
      <c r="AZ37" s="10"/>
      <c r="BA37" s="10"/>
      <c r="BB37" s="10"/>
      <c r="BC37" s="10"/>
      <c r="BD37" s="10"/>
      <c r="BE37" s="10"/>
    </row>
    <row r="38" spans="1:57" ht="64.5" customHeight="1" x14ac:dyDescent="0.3">
      <c r="A38" s="228">
        <v>31</v>
      </c>
      <c r="B38" s="229"/>
      <c r="C38" s="230"/>
      <c r="D38" s="231"/>
      <c r="E38" s="215"/>
      <c r="F38" s="231"/>
      <c r="G38" s="232"/>
      <c r="H38" s="215"/>
      <c r="I38" s="215"/>
      <c r="J38" s="215"/>
      <c r="K38" s="215"/>
      <c r="L38" s="234"/>
      <c r="M38" s="234"/>
      <c r="N38" s="234"/>
      <c r="O38" s="218"/>
      <c r="P38" s="228">
        <v>31</v>
      </c>
      <c r="Q38" s="229"/>
      <c r="R38" s="230"/>
      <c r="S38" s="231"/>
      <c r="T38" s="215"/>
      <c r="U38" s="231"/>
      <c r="V38" s="215"/>
      <c r="W38" s="215"/>
      <c r="X38" s="233"/>
      <c r="Y38" s="237"/>
      <c r="Z38" s="238"/>
      <c r="AA38" s="238"/>
      <c r="AB38" s="234"/>
      <c r="AC38" s="234"/>
      <c r="AD38" s="234"/>
      <c r="AE38" s="238"/>
      <c r="AF38" s="302"/>
      <c r="AG38" s="225"/>
      <c r="AH38" s="4"/>
      <c r="AI38" s="11"/>
      <c r="AJ38" s="11"/>
      <c r="AK38" s="12"/>
      <c r="AL38" s="12"/>
      <c r="AM38" s="13"/>
      <c r="AN38" s="13"/>
      <c r="AO38" s="13"/>
      <c r="AP38" s="13"/>
      <c r="AQ38" s="13"/>
      <c r="AR38" s="13"/>
      <c r="AS38" s="7"/>
      <c r="AT38" s="7"/>
      <c r="AU38" s="7"/>
      <c r="AV38" s="7"/>
      <c r="AW38" s="7"/>
      <c r="AX38" s="7"/>
      <c r="AY38" s="7"/>
      <c r="AZ38" s="10"/>
      <c r="BA38" s="10"/>
      <c r="BB38" s="10"/>
      <c r="BC38" s="10"/>
      <c r="BD38" s="10"/>
      <c r="BE38" s="10"/>
    </row>
    <row r="39" spans="1:57" ht="64.5" customHeight="1" x14ac:dyDescent="0.3">
      <c r="A39" s="228">
        <v>32</v>
      </c>
      <c r="B39" s="229"/>
      <c r="C39" s="230"/>
      <c r="D39" s="231"/>
      <c r="E39" s="215"/>
      <c r="F39" s="231"/>
      <c r="G39" s="232"/>
      <c r="H39" s="215"/>
      <c r="I39" s="215"/>
      <c r="J39" s="233"/>
      <c r="K39" s="215"/>
      <c r="L39" s="234"/>
      <c r="M39" s="234"/>
      <c r="N39" s="234"/>
      <c r="O39" s="218"/>
      <c r="P39" s="228">
        <v>32</v>
      </c>
      <c r="Q39" s="229"/>
      <c r="R39" s="230"/>
      <c r="S39" s="231"/>
      <c r="T39" s="215"/>
      <c r="U39" s="231"/>
      <c r="V39" s="215"/>
      <c r="W39" s="215"/>
      <c r="X39" s="233"/>
      <c r="Y39" s="237"/>
      <c r="Z39" s="238"/>
      <c r="AA39" s="238"/>
      <c r="AB39" s="234"/>
      <c r="AC39" s="234"/>
      <c r="AD39" s="234"/>
      <c r="AE39" s="238"/>
      <c r="AF39" s="302"/>
      <c r="AG39" s="225"/>
      <c r="AH39" s="4"/>
      <c r="AI39" s="11"/>
      <c r="AJ39" s="11"/>
      <c r="AK39" s="12"/>
      <c r="AL39" s="12"/>
      <c r="AM39" s="13"/>
      <c r="AN39" s="13"/>
      <c r="AO39" s="13"/>
      <c r="AP39" s="13"/>
      <c r="AQ39" s="13"/>
      <c r="AR39" s="13"/>
      <c r="AS39" s="7"/>
      <c r="AT39" s="7"/>
      <c r="AU39" s="7"/>
      <c r="AV39" s="7"/>
      <c r="AW39" s="7"/>
      <c r="AX39" s="7"/>
      <c r="AY39" s="7"/>
      <c r="AZ39" s="10"/>
      <c r="BA39" s="10"/>
      <c r="BB39" s="10"/>
      <c r="BC39" s="10"/>
      <c r="BD39" s="10"/>
      <c r="BE39" s="10"/>
    </row>
    <row r="40" spans="1:57" ht="64.5" customHeight="1" x14ac:dyDescent="0.3">
      <c r="A40" s="228">
        <v>33</v>
      </c>
      <c r="B40" s="229"/>
      <c r="C40" s="230"/>
      <c r="D40" s="231"/>
      <c r="E40" s="215"/>
      <c r="F40" s="231"/>
      <c r="G40" s="232"/>
      <c r="H40" s="215"/>
      <c r="I40" s="215"/>
      <c r="J40" s="233"/>
      <c r="K40" s="215"/>
      <c r="L40" s="234" t="s">
        <v>1084</v>
      </c>
      <c r="M40" s="234"/>
      <c r="N40" s="234"/>
      <c r="O40" s="218"/>
      <c r="P40" s="228">
        <v>33</v>
      </c>
      <c r="Q40" s="229"/>
      <c r="R40" s="230"/>
      <c r="S40" s="231"/>
      <c r="T40" s="215"/>
      <c r="U40" s="231"/>
      <c r="V40" s="215"/>
      <c r="W40" s="215"/>
      <c r="X40" s="233"/>
      <c r="Y40" s="237"/>
      <c r="Z40" s="238"/>
      <c r="AA40" s="238"/>
      <c r="AB40" s="234"/>
      <c r="AC40" s="234"/>
      <c r="AD40" s="234"/>
      <c r="AE40" s="238"/>
      <c r="AF40" s="302"/>
      <c r="AG40" s="225"/>
      <c r="AH40" s="4"/>
      <c r="AI40" s="11"/>
      <c r="AJ40" s="11"/>
      <c r="AK40" s="12"/>
      <c r="AL40" s="12"/>
      <c r="AM40" s="13"/>
      <c r="AN40" s="13"/>
      <c r="AO40" s="13"/>
      <c r="AP40" s="13"/>
      <c r="AQ40" s="13"/>
      <c r="AR40" s="13"/>
      <c r="AS40" s="7"/>
      <c r="AT40" s="7"/>
      <c r="AU40" s="7"/>
      <c r="AV40" s="7"/>
      <c r="AW40" s="7"/>
      <c r="AX40" s="7"/>
      <c r="AY40" s="7"/>
      <c r="AZ40" s="10"/>
      <c r="BA40" s="10"/>
      <c r="BB40" s="10"/>
      <c r="BC40" s="10"/>
      <c r="BD40" s="10"/>
      <c r="BE40" s="10"/>
    </row>
    <row r="41" spans="1:57" ht="64.5" customHeight="1" x14ac:dyDescent="0.3">
      <c r="A41" s="228">
        <v>34</v>
      </c>
      <c r="B41" s="229"/>
      <c r="C41" s="230"/>
      <c r="D41" s="231"/>
      <c r="E41" s="215"/>
      <c r="F41" s="231"/>
      <c r="G41" s="232"/>
      <c r="H41" s="215"/>
      <c r="I41" s="215"/>
      <c r="J41" s="215"/>
      <c r="K41" s="215"/>
      <c r="L41" s="234"/>
      <c r="M41" s="234"/>
      <c r="N41" s="234"/>
      <c r="O41" s="218"/>
      <c r="P41" s="228">
        <v>34</v>
      </c>
      <c r="Q41" s="229"/>
      <c r="R41" s="230"/>
      <c r="S41" s="231"/>
      <c r="T41" s="215"/>
      <c r="U41" s="231"/>
      <c r="V41" s="215"/>
      <c r="W41" s="215"/>
      <c r="X41" s="233"/>
      <c r="Y41" s="237"/>
      <c r="Z41" s="238"/>
      <c r="AA41" s="238"/>
      <c r="AB41" s="234"/>
      <c r="AC41" s="234"/>
      <c r="AD41" s="234"/>
      <c r="AE41" s="238"/>
      <c r="AF41" s="302"/>
      <c r="AG41" s="225"/>
      <c r="AH41" s="4"/>
      <c r="AI41" s="11"/>
      <c r="AJ41" s="11"/>
      <c r="AK41" s="12"/>
      <c r="AL41" s="12"/>
      <c r="AM41" s="13"/>
      <c r="AN41" s="13"/>
      <c r="AO41" s="13"/>
      <c r="AP41" s="13"/>
      <c r="AQ41" s="13"/>
      <c r="AR41" s="13"/>
      <c r="AS41" s="7"/>
      <c r="AT41" s="7"/>
      <c r="AU41" s="7"/>
      <c r="AV41" s="7"/>
      <c r="AW41" s="7"/>
      <c r="AX41" s="7"/>
      <c r="AY41" s="7"/>
      <c r="AZ41" s="10"/>
      <c r="BA41" s="10"/>
      <c r="BB41" s="10"/>
      <c r="BC41" s="10"/>
      <c r="BD41" s="10"/>
      <c r="BE41" s="10"/>
    </row>
    <row r="42" spans="1:57" ht="64.5" customHeight="1" x14ac:dyDescent="0.3">
      <c r="A42" s="228">
        <v>35</v>
      </c>
      <c r="B42" s="229">
        <v>1105</v>
      </c>
      <c r="C42" s="230" t="s">
        <v>1172</v>
      </c>
      <c r="D42" s="263" t="s">
        <v>1245</v>
      </c>
      <c r="E42" s="215" t="s">
        <v>166</v>
      </c>
      <c r="F42" s="231" t="s">
        <v>1174</v>
      </c>
      <c r="G42" s="232" t="s">
        <v>1247</v>
      </c>
      <c r="H42" s="215" t="s">
        <v>1236</v>
      </c>
      <c r="I42" s="215" t="s">
        <v>165</v>
      </c>
      <c r="J42" s="215" t="s">
        <v>1176</v>
      </c>
      <c r="K42" s="215"/>
      <c r="L42" s="234"/>
      <c r="M42" s="234"/>
      <c r="N42" s="234"/>
      <c r="O42" s="218">
        <v>0</v>
      </c>
      <c r="P42" s="228">
        <v>35</v>
      </c>
      <c r="Q42" s="229"/>
      <c r="R42" s="230"/>
      <c r="S42" s="231"/>
      <c r="T42" s="215"/>
      <c r="U42" s="231"/>
      <c r="V42" s="215"/>
      <c r="W42" s="215"/>
      <c r="X42" s="233"/>
      <c r="Y42" s="237"/>
      <c r="Z42" s="238"/>
      <c r="AA42" s="238"/>
      <c r="AB42" s="234"/>
      <c r="AC42" s="234"/>
      <c r="AD42" s="234"/>
      <c r="AE42" s="238"/>
      <c r="AF42" s="302"/>
      <c r="AG42" s="225"/>
      <c r="AH42" s="4"/>
      <c r="AI42" s="11"/>
      <c r="AJ42" s="11"/>
      <c r="AK42" s="12"/>
      <c r="AL42" s="12"/>
      <c r="AM42" s="13"/>
      <c r="AN42" s="13"/>
      <c r="AO42" s="13"/>
      <c r="AP42" s="13"/>
      <c r="AQ42" s="13"/>
      <c r="AR42" s="13"/>
      <c r="AS42" s="7"/>
      <c r="AT42" s="7"/>
      <c r="AU42" s="7"/>
      <c r="AV42" s="7"/>
      <c r="AW42" s="7"/>
      <c r="AX42" s="7"/>
      <c r="AY42" s="7"/>
      <c r="AZ42" s="10"/>
      <c r="BA42" s="10"/>
      <c r="BB42" s="10"/>
      <c r="BC42" s="10"/>
      <c r="BD42" s="10"/>
      <c r="BE42" s="10"/>
    </row>
    <row r="43" spans="1:57" ht="64.5" customHeight="1" x14ac:dyDescent="0.3">
      <c r="A43" s="228">
        <v>36</v>
      </c>
      <c r="B43" s="229">
        <v>506</v>
      </c>
      <c r="C43" s="503" t="s">
        <v>248</v>
      </c>
      <c r="D43" s="504" t="s">
        <v>934</v>
      </c>
      <c r="E43" s="505" t="s">
        <v>936</v>
      </c>
      <c r="F43" s="504" t="s">
        <v>167</v>
      </c>
      <c r="G43" s="506" t="s">
        <v>163</v>
      </c>
      <c r="H43" s="505" t="s">
        <v>164</v>
      </c>
      <c r="I43" s="505" t="s">
        <v>165</v>
      </c>
      <c r="J43" s="505" t="s">
        <v>189</v>
      </c>
      <c r="K43" s="505"/>
      <c r="L43" s="507"/>
      <c r="M43" s="507"/>
      <c r="N43" s="507"/>
      <c r="O43" s="508">
        <v>0</v>
      </c>
      <c r="P43" s="228">
        <v>36</v>
      </c>
      <c r="Q43" s="229"/>
      <c r="R43" s="230"/>
      <c r="S43" s="231"/>
      <c r="T43" s="215"/>
      <c r="U43" s="231"/>
      <c r="V43" s="215"/>
      <c r="W43" s="215"/>
      <c r="X43" s="233"/>
      <c r="Y43" s="237"/>
      <c r="Z43" s="238"/>
      <c r="AA43" s="238"/>
      <c r="AB43" s="234"/>
      <c r="AC43" s="234"/>
      <c r="AD43" s="234"/>
      <c r="AE43" s="238"/>
      <c r="AF43" s="302"/>
      <c r="AG43" s="225"/>
      <c r="AH43" s="4"/>
      <c r="AI43" s="11"/>
      <c r="AJ43" s="11"/>
      <c r="AK43" s="12"/>
      <c r="AL43" s="12"/>
      <c r="AM43" s="13"/>
      <c r="AN43" s="13"/>
      <c r="AO43" s="13"/>
      <c r="AP43" s="13"/>
      <c r="AQ43" s="13"/>
      <c r="AR43" s="13"/>
      <c r="AS43" s="7"/>
      <c r="AT43" s="7"/>
      <c r="AU43" s="7"/>
      <c r="AV43" s="7"/>
      <c r="AW43" s="7"/>
      <c r="AX43" s="7"/>
      <c r="AY43" s="7"/>
      <c r="AZ43" s="10"/>
      <c r="BA43" s="10"/>
      <c r="BB43" s="10"/>
      <c r="BC43" s="10"/>
      <c r="BD43" s="10"/>
      <c r="BE43" s="10"/>
    </row>
    <row r="44" spans="1:57" ht="64.5" customHeight="1" x14ac:dyDescent="0.3">
      <c r="A44" s="228">
        <v>37</v>
      </c>
      <c r="B44" s="229">
        <v>1114</v>
      </c>
      <c r="C44" s="425" t="s">
        <v>52</v>
      </c>
      <c r="D44" s="426" t="s">
        <v>1140</v>
      </c>
      <c r="E44" s="427" t="s">
        <v>363</v>
      </c>
      <c r="F44" s="426" t="s">
        <v>159</v>
      </c>
      <c r="G44" s="428" t="s">
        <v>1202</v>
      </c>
      <c r="H44" s="427" t="s">
        <v>164</v>
      </c>
      <c r="I44" s="427" t="s">
        <v>165</v>
      </c>
      <c r="J44" s="429" t="s">
        <v>189</v>
      </c>
      <c r="K44" s="215"/>
      <c r="L44" s="234"/>
      <c r="M44" s="234"/>
      <c r="N44" s="234"/>
      <c r="O44" s="218">
        <v>0</v>
      </c>
      <c r="P44" s="228">
        <v>37</v>
      </c>
      <c r="Q44" s="229"/>
      <c r="R44" s="230"/>
      <c r="S44" s="231"/>
      <c r="T44" s="215"/>
      <c r="U44" s="231"/>
      <c r="V44" s="215"/>
      <c r="W44" s="215"/>
      <c r="X44" s="233"/>
      <c r="Y44" s="237"/>
      <c r="Z44" s="238"/>
      <c r="AA44" s="238"/>
      <c r="AB44" s="234"/>
      <c r="AC44" s="234"/>
      <c r="AD44" s="234"/>
      <c r="AE44" s="238"/>
      <c r="AF44" s="302"/>
      <c r="AG44" s="225"/>
      <c r="AH44" s="4"/>
      <c r="AI44" s="11"/>
      <c r="AJ44" s="11"/>
      <c r="AK44" s="12"/>
      <c r="AL44" s="12"/>
      <c r="AM44" s="13"/>
      <c r="AN44" s="13"/>
      <c r="AO44" s="13"/>
      <c r="AP44" s="13"/>
      <c r="AQ44" s="13"/>
      <c r="AR44" s="13"/>
      <c r="AS44" s="7"/>
      <c r="AT44" s="7"/>
      <c r="AU44" s="7"/>
      <c r="AV44" s="7"/>
      <c r="AW44" s="7"/>
      <c r="AX44" s="7"/>
      <c r="AY44" s="7"/>
      <c r="AZ44" s="10"/>
      <c r="BA44" s="10"/>
      <c r="BB44" s="10"/>
      <c r="BC44" s="10"/>
      <c r="BD44" s="10"/>
      <c r="BE44" s="10"/>
    </row>
    <row r="45" spans="1:57" ht="64.5" customHeight="1" x14ac:dyDescent="0.3">
      <c r="A45" s="228">
        <v>38</v>
      </c>
      <c r="B45" s="229">
        <v>1115</v>
      </c>
      <c r="C45" s="230" t="s">
        <v>52</v>
      </c>
      <c r="D45" s="251" t="s">
        <v>1138</v>
      </c>
      <c r="E45" s="215"/>
      <c r="F45" s="231" t="s">
        <v>159</v>
      </c>
      <c r="G45" s="232" t="s">
        <v>1144</v>
      </c>
      <c r="H45" s="215" t="s">
        <v>164</v>
      </c>
      <c r="I45" s="215" t="s">
        <v>165</v>
      </c>
      <c r="J45" s="237" t="s">
        <v>189</v>
      </c>
      <c r="K45" s="215"/>
      <c r="L45" s="234"/>
      <c r="M45" s="234"/>
      <c r="N45" s="234"/>
      <c r="O45" s="218">
        <v>0</v>
      </c>
      <c r="P45" s="228">
        <v>38</v>
      </c>
      <c r="Q45" s="229"/>
      <c r="R45" s="230"/>
      <c r="S45" s="231"/>
      <c r="T45" s="215"/>
      <c r="U45" s="231"/>
      <c r="V45" s="215"/>
      <c r="W45" s="215"/>
      <c r="X45" s="233"/>
      <c r="Y45" s="237"/>
      <c r="Z45" s="238"/>
      <c r="AA45" s="238"/>
      <c r="AB45" s="234"/>
      <c r="AC45" s="234"/>
      <c r="AD45" s="234"/>
      <c r="AE45" s="238"/>
      <c r="AF45" s="302"/>
      <c r="AG45" s="225"/>
      <c r="AH45" s="4"/>
      <c r="AI45" s="11"/>
      <c r="AJ45" s="11"/>
      <c r="AK45" s="12"/>
      <c r="AL45" s="12"/>
      <c r="AM45" s="13"/>
      <c r="AN45" s="13"/>
      <c r="AO45" s="13"/>
      <c r="AP45" s="13"/>
      <c r="AQ45" s="13"/>
      <c r="AR45" s="13"/>
      <c r="AS45" s="7"/>
      <c r="AT45" s="7"/>
      <c r="AU45" s="7"/>
      <c r="AV45" s="7"/>
      <c r="AW45" s="7"/>
      <c r="AX45" s="7"/>
      <c r="AY45" s="7"/>
      <c r="AZ45" s="10"/>
      <c r="BA45" s="10"/>
      <c r="BB45" s="10"/>
      <c r="BC45" s="10"/>
      <c r="BD45" s="10"/>
      <c r="BE45" s="10"/>
    </row>
    <row r="46" spans="1:57" ht="64.5" customHeight="1" x14ac:dyDescent="0.3">
      <c r="A46" s="228">
        <v>39</v>
      </c>
      <c r="B46" s="229">
        <v>1116</v>
      </c>
      <c r="C46" s="409" t="s">
        <v>52</v>
      </c>
      <c r="D46" s="251" t="s">
        <v>1137</v>
      </c>
      <c r="E46" s="215"/>
      <c r="F46" s="231" t="s">
        <v>159</v>
      </c>
      <c r="G46" s="232" t="s">
        <v>1144</v>
      </c>
      <c r="H46" s="215" t="s">
        <v>164</v>
      </c>
      <c r="I46" s="215" t="s">
        <v>165</v>
      </c>
      <c r="J46" s="237" t="s">
        <v>189</v>
      </c>
      <c r="K46" s="215"/>
      <c r="L46" s="234"/>
      <c r="M46" s="234"/>
      <c r="N46" s="234"/>
      <c r="O46" s="218">
        <v>0</v>
      </c>
      <c r="P46" s="228">
        <v>39</v>
      </c>
      <c r="Q46" s="229"/>
      <c r="R46" s="230"/>
      <c r="S46" s="231"/>
      <c r="T46" s="215"/>
      <c r="U46" s="231"/>
      <c r="V46" s="215"/>
      <c r="W46" s="215"/>
      <c r="X46" s="233"/>
      <c r="Y46" s="237"/>
      <c r="Z46" s="238"/>
      <c r="AA46" s="238"/>
      <c r="AB46" s="234"/>
      <c r="AC46" s="234"/>
      <c r="AD46" s="234"/>
      <c r="AE46" s="238"/>
      <c r="AF46" s="302"/>
      <c r="AG46" s="225"/>
      <c r="AH46" s="4"/>
      <c r="AI46" s="11"/>
      <c r="AJ46" s="11"/>
      <c r="AK46" s="12"/>
      <c r="AL46" s="12"/>
      <c r="AM46" s="13"/>
      <c r="AN46" s="13"/>
      <c r="AO46" s="13"/>
      <c r="AP46" s="13"/>
      <c r="AQ46" s="13"/>
      <c r="AR46" s="13"/>
      <c r="AS46" s="7"/>
      <c r="AT46" s="7"/>
      <c r="AU46" s="7"/>
      <c r="AV46" s="7"/>
      <c r="AW46" s="7"/>
      <c r="AX46" s="7"/>
      <c r="AY46" s="7"/>
      <c r="AZ46" s="10"/>
      <c r="BA46" s="10"/>
      <c r="BB46" s="10"/>
      <c r="BC46" s="10"/>
      <c r="BD46" s="10"/>
      <c r="BE46" s="10"/>
    </row>
    <row r="47" spans="1:57" ht="64.5" customHeight="1" x14ac:dyDescent="0.3">
      <c r="A47" s="228">
        <v>40</v>
      </c>
      <c r="B47" s="229">
        <v>911</v>
      </c>
      <c r="C47" s="230" t="s">
        <v>1043</v>
      </c>
      <c r="D47" s="231" t="s">
        <v>1115</v>
      </c>
      <c r="E47" s="215" t="s">
        <v>1072</v>
      </c>
      <c r="F47" s="231" t="s">
        <v>1067</v>
      </c>
      <c r="G47" s="232" t="s">
        <v>1117</v>
      </c>
      <c r="H47" s="215" t="s">
        <v>164</v>
      </c>
      <c r="I47" s="215" t="s">
        <v>165</v>
      </c>
      <c r="J47" s="215" t="s">
        <v>1060</v>
      </c>
      <c r="K47" s="215"/>
      <c r="L47" s="234"/>
      <c r="M47" s="234"/>
      <c r="N47" s="234"/>
      <c r="O47" s="218">
        <v>0</v>
      </c>
      <c r="P47" s="228">
        <v>40</v>
      </c>
      <c r="Q47" s="229"/>
      <c r="R47" s="230"/>
      <c r="S47" s="231"/>
      <c r="T47" s="215"/>
      <c r="U47" s="231"/>
      <c r="V47" s="215"/>
      <c r="W47" s="215"/>
      <c r="X47" s="233"/>
      <c r="Y47" s="237"/>
      <c r="Z47" s="238"/>
      <c r="AA47" s="238"/>
      <c r="AB47" s="234"/>
      <c r="AC47" s="234"/>
      <c r="AD47" s="234"/>
      <c r="AE47" s="238"/>
      <c r="AF47" s="302"/>
      <c r="AG47" s="225"/>
      <c r="AH47" s="4"/>
      <c r="AI47" s="11"/>
      <c r="AJ47" s="11"/>
      <c r="AK47" s="12"/>
      <c r="AL47" s="12"/>
      <c r="AM47" s="13"/>
      <c r="AN47" s="13"/>
      <c r="AO47" s="13"/>
      <c r="AP47" s="13"/>
      <c r="AQ47" s="13"/>
      <c r="AR47" s="13"/>
      <c r="AS47" s="7"/>
      <c r="AT47" s="7"/>
      <c r="AU47" s="7"/>
      <c r="AV47" s="7"/>
      <c r="AW47" s="7"/>
      <c r="AX47" s="7"/>
      <c r="AY47" s="7"/>
      <c r="AZ47" s="10"/>
      <c r="BA47" s="10"/>
      <c r="BB47" s="10"/>
      <c r="BC47" s="10"/>
      <c r="BD47" s="10"/>
      <c r="BE47" s="10"/>
    </row>
    <row r="48" spans="1:57" ht="64.5" customHeight="1" x14ac:dyDescent="0.3">
      <c r="A48" s="228">
        <v>41</v>
      </c>
      <c r="B48" s="229">
        <v>1208</v>
      </c>
      <c r="C48" s="230" t="s">
        <v>693</v>
      </c>
      <c r="D48" s="231" t="s">
        <v>902</v>
      </c>
      <c r="E48" s="215"/>
      <c r="F48" s="231" t="s">
        <v>700</v>
      </c>
      <c r="G48" s="232" t="s">
        <v>910</v>
      </c>
      <c r="H48" s="215" t="s">
        <v>164</v>
      </c>
      <c r="I48" s="215" t="s">
        <v>165</v>
      </c>
      <c r="J48" s="233" t="s">
        <v>713</v>
      </c>
      <c r="K48" s="215"/>
      <c r="L48" s="234"/>
      <c r="M48" s="234"/>
      <c r="N48" s="234"/>
      <c r="O48" s="218">
        <v>0</v>
      </c>
      <c r="P48" s="228">
        <v>41</v>
      </c>
      <c r="Q48" s="229"/>
      <c r="R48" s="230"/>
      <c r="S48" s="231"/>
      <c r="T48" s="215"/>
      <c r="U48" s="231"/>
      <c r="V48" s="215"/>
      <c r="W48" s="215"/>
      <c r="X48" s="233"/>
      <c r="Y48" s="237"/>
      <c r="Z48" s="238"/>
      <c r="AA48" s="238"/>
      <c r="AB48" s="234"/>
      <c r="AC48" s="234"/>
      <c r="AD48" s="234"/>
      <c r="AE48" s="238"/>
      <c r="AF48" s="302"/>
      <c r="AG48" s="225"/>
      <c r="AH48" s="4"/>
      <c r="AI48" s="11"/>
      <c r="AJ48" s="11"/>
      <c r="AK48" s="12"/>
      <c r="AL48" s="12"/>
      <c r="AM48" s="13"/>
      <c r="AN48" s="13"/>
      <c r="AO48" s="13"/>
      <c r="AP48" s="13"/>
      <c r="AQ48" s="13"/>
      <c r="AR48" s="13"/>
      <c r="AS48" s="7"/>
      <c r="AT48" s="7"/>
      <c r="AU48" s="7"/>
      <c r="AV48" s="7"/>
      <c r="AW48" s="7"/>
      <c r="AX48" s="7"/>
      <c r="AY48" s="7"/>
      <c r="AZ48" s="10"/>
      <c r="BA48" s="10"/>
      <c r="BB48" s="10"/>
      <c r="BC48" s="10"/>
      <c r="BD48" s="10"/>
      <c r="BE48" s="10"/>
    </row>
    <row r="49" spans="1:57" ht="64.5" customHeight="1" thickBot="1" x14ac:dyDescent="0.35">
      <c r="A49" s="228">
        <v>42</v>
      </c>
      <c r="B49" s="273">
        <v>309</v>
      </c>
      <c r="C49" s="285" t="s">
        <v>727</v>
      </c>
      <c r="D49" s="482" t="s">
        <v>781</v>
      </c>
      <c r="E49" s="276"/>
      <c r="F49" s="275" t="s">
        <v>700</v>
      </c>
      <c r="G49" s="277" t="s">
        <v>782</v>
      </c>
      <c r="H49" s="276" t="s">
        <v>738</v>
      </c>
      <c r="I49" s="276" t="s">
        <v>749</v>
      </c>
      <c r="J49" s="278" t="s">
        <v>691</v>
      </c>
      <c r="K49" s="276"/>
      <c r="L49" s="279"/>
      <c r="M49" s="279"/>
      <c r="N49" s="279"/>
      <c r="O49" s="280">
        <v>0</v>
      </c>
      <c r="P49" s="483">
        <v>42</v>
      </c>
      <c r="Q49" s="273"/>
      <c r="R49" s="274"/>
      <c r="S49" s="276"/>
      <c r="T49" s="276"/>
      <c r="U49" s="275"/>
      <c r="V49" s="276"/>
      <c r="W49" s="276"/>
      <c r="X49" s="278"/>
      <c r="Y49" s="282"/>
      <c r="Z49" s="283"/>
      <c r="AA49" s="283"/>
      <c r="AB49" s="279"/>
      <c r="AC49" s="279"/>
      <c r="AD49" s="279"/>
      <c r="AE49" s="283"/>
      <c r="AF49" s="339"/>
      <c r="AG49" s="284"/>
      <c r="AH49" s="4"/>
      <c r="AI49" s="11"/>
      <c r="AJ49" s="11"/>
      <c r="AK49" s="12"/>
      <c r="AL49" s="12"/>
      <c r="AM49" s="13"/>
      <c r="AN49" s="13"/>
      <c r="AO49" s="13"/>
      <c r="AP49" s="13"/>
      <c r="AQ49" s="13"/>
      <c r="AR49" s="13"/>
      <c r="AS49" s="7"/>
      <c r="AT49" s="7"/>
      <c r="AU49" s="7"/>
      <c r="AV49" s="7"/>
      <c r="AW49" s="7"/>
      <c r="AX49" s="7"/>
      <c r="AY49" s="7"/>
      <c r="AZ49" s="10"/>
      <c r="BA49" s="10"/>
      <c r="BB49" s="10"/>
      <c r="BC49" s="10"/>
      <c r="BD49" s="10"/>
      <c r="BE49" s="10"/>
    </row>
    <row r="50" spans="1:57" ht="64.5" customHeight="1" x14ac:dyDescent="0.3">
      <c r="A50" s="228">
        <v>43</v>
      </c>
      <c r="B50" s="264"/>
      <c r="C50" s="255"/>
      <c r="D50" s="265"/>
      <c r="E50" s="266"/>
      <c r="F50" s="265"/>
      <c r="G50" s="267"/>
      <c r="H50" s="266"/>
      <c r="I50" s="266"/>
      <c r="J50" s="266"/>
      <c r="K50" s="266"/>
      <c r="L50" s="257"/>
      <c r="M50" s="257"/>
      <c r="N50" s="257"/>
      <c r="O50" s="223"/>
      <c r="P50" s="268">
        <v>43</v>
      </c>
      <c r="Q50" s="264"/>
      <c r="R50" s="255"/>
      <c r="S50" s="265"/>
      <c r="T50" s="266"/>
      <c r="U50" s="265"/>
      <c r="V50" s="266"/>
      <c r="W50" s="266"/>
      <c r="X50" s="269"/>
      <c r="Y50" s="270"/>
      <c r="Z50" s="271"/>
      <c r="AA50" s="271"/>
      <c r="AB50" s="257"/>
      <c r="AC50" s="257"/>
      <c r="AD50" s="257"/>
      <c r="AE50" s="271"/>
      <c r="AF50" s="340"/>
      <c r="AG50" s="272"/>
      <c r="AH50" s="4"/>
      <c r="AI50" s="14" t="s">
        <v>32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</row>
    <row r="51" spans="1:57" ht="64.5" customHeight="1" x14ac:dyDescent="0.3">
      <c r="A51" s="228">
        <v>44</v>
      </c>
      <c r="B51" s="242"/>
      <c r="C51" s="230"/>
      <c r="D51" s="231"/>
      <c r="E51" s="215"/>
      <c r="F51" s="231"/>
      <c r="G51" s="232"/>
      <c r="H51" s="215"/>
      <c r="I51" s="215"/>
      <c r="J51" s="233"/>
      <c r="K51" s="215"/>
      <c r="L51" s="238"/>
      <c r="M51" s="234"/>
      <c r="N51" s="234"/>
      <c r="O51" s="218"/>
      <c r="P51" s="228">
        <v>44</v>
      </c>
      <c r="Q51" s="242"/>
      <c r="R51" s="230"/>
      <c r="S51" s="231"/>
      <c r="T51" s="215"/>
      <c r="U51" s="231"/>
      <c r="V51" s="215"/>
      <c r="W51" s="215"/>
      <c r="X51" s="233"/>
      <c r="Y51" s="237"/>
      <c r="Z51" s="238"/>
      <c r="AA51" s="238"/>
      <c r="AB51" s="234"/>
      <c r="AC51" s="234"/>
      <c r="AD51" s="234"/>
      <c r="AE51" s="238"/>
      <c r="AF51" s="302"/>
      <c r="AG51" s="225"/>
      <c r="AH51" s="4"/>
      <c r="AI51" s="717" t="s">
        <v>20</v>
      </c>
      <c r="AJ51" s="718"/>
      <c r="AK51" s="717" t="s">
        <v>33</v>
      </c>
      <c r="AL51" s="762"/>
      <c r="AM51" s="763" t="s">
        <v>29</v>
      </c>
      <c r="AN51" s="764"/>
      <c r="AO51" s="765"/>
      <c r="AP51" s="766" t="s">
        <v>28</v>
      </c>
      <c r="AQ51" s="767"/>
      <c r="AR51" s="768"/>
      <c r="AS51" s="717" t="s">
        <v>31</v>
      </c>
      <c r="AT51" s="718"/>
      <c r="AU51" s="769" t="s">
        <v>20</v>
      </c>
      <c r="AV51" s="753"/>
      <c r="AW51" s="753" t="s">
        <v>34</v>
      </c>
      <c r="AX51" s="753"/>
      <c r="AY51" s="753"/>
      <c r="AZ51" s="753"/>
      <c r="BA51" s="753"/>
      <c r="BB51" s="753"/>
      <c r="BC51" s="753" t="s">
        <v>31</v>
      </c>
      <c r="BD51" s="753"/>
      <c r="BE51" s="754"/>
    </row>
    <row r="52" spans="1:57" ht="64.5" customHeight="1" x14ac:dyDescent="0.3">
      <c r="A52" s="228">
        <v>45</v>
      </c>
      <c r="B52" s="242"/>
      <c r="C52" s="230"/>
      <c r="D52" s="231"/>
      <c r="E52" s="215"/>
      <c r="F52" s="231"/>
      <c r="G52" s="232"/>
      <c r="H52" s="215"/>
      <c r="I52" s="215"/>
      <c r="J52" s="215"/>
      <c r="K52" s="215"/>
      <c r="L52" s="234"/>
      <c r="M52" s="234"/>
      <c r="N52" s="234"/>
      <c r="O52" s="218"/>
      <c r="P52" s="228">
        <v>45</v>
      </c>
      <c r="Q52" s="242"/>
      <c r="R52" s="230"/>
      <c r="S52" s="231"/>
      <c r="T52" s="215"/>
      <c r="U52" s="231"/>
      <c r="V52" s="215"/>
      <c r="W52" s="215"/>
      <c r="X52" s="233"/>
      <c r="Y52" s="237"/>
      <c r="Z52" s="238"/>
      <c r="AA52" s="238"/>
      <c r="AB52" s="234"/>
      <c r="AC52" s="234"/>
      <c r="AD52" s="234"/>
      <c r="AE52" s="238"/>
      <c r="AF52" s="302"/>
      <c r="AG52" s="225"/>
      <c r="AH52" s="4"/>
      <c r="AI52" s="719"/>
      <c r="AJ52" s="720"/>
      <c r="AK52" s="719" t="s">
        <v>35</v>
      </c>
      <c r="AL52" s="757"/>
      <c r="AM52" s="36" t="s">
        <v>35</v>
      </c>
      <c r="AN52" s="758" t="s">
        <v>27</v>
      </c>
      <c r="AO52" s="759"/>
      <c r="AP52" s="37" t="s">
        <v>35</v>
      </c>
      <c r="AQ52" s="760" t="s">
        <v>27</v>
      </c>
      <c r="AR52" s="761"/>
      <c r="AS52" s="719"/>
      <c r="AT52" s="720"/>
      <c r="AU52" s="770"/>
      <c r="AV52" s="755"/>
      <c r="AW52" s="755" t="s">
        <v>36</v>
      </c>
      <c r="AX52" s="755"/>
      <c r="AY52" s="755"/>
      <c r="AZ52" s="755"/>
      <c r="BA52" s="755" t="s">
        <v>35</v>
      </c>
      <c r="BB52" s="755"/>
      <c r="BC52" s="755"/>
      <c r="BD52" s="755"/>
      <c r="BE52" s="756"/>
    </row>
    <row r="53" spans="1:57" ht="64.5" customHeight="1" x14ac:dyDescent="0.3">
      <c r="A53" s="228">
        <v>46</v>
      </c>
      <c r="B53" s="242"/>
      <c r="C53" s="239"/>
      <c r="D53" s="231"/>
      <c r="E53" s="215"/>
      <c r="F53" s="231"/>
      <c r="G53" s="231"/>
      <c r="H53" s="215"/>
      <c r="I53" s="215"/>
      <c r="J53" s="215"/>
      <c r="K53" s="215"/>
      <c r="L53" s="234"/>
      <c r="M53" s="234"/>
      <c r="N53" s="234"/>
      <c r="O53" s="218"/>
      <c r="P53" s="228">
        <v>46</v>
      </c>
      <c r="Q53" s="242"/>
      <c r="R53" s="230"/>
      <c r="S53" s="231"/>
      <c r="T53" s="215"/>
      <c r="U53" s="231"/>
      <c r="V53" s="215"/>
      <c r="W53" s="215"/>
      <c r="X53" s="233"/>
      <c r="Y53" s="237"/>
      <c r="Z53" s="238"/>
      <c r="AA53" s="238"/>
      <c r="AB53" s="234"/>
      <c r="AC53" s="234"/>
      <c r="AD53" s="234"/>
      <c r="AE53" s="238"/>
      <c r="AF53" s="302"/>
      <c r="AG53" s="225"/>
      <c r="AH53" s="4"/>
      <c r="AI53" s="717" t="s">
        <v>37</v>
      </c>
      <c r="AJ53" s="718"/>
      <c r="AK53" s="721" t="s">
        <v>38</v>
      </c>
      <c r="AL53" s="722"/>
      <c r="AM53" s="38">
        <f>COUNTIF($R$8:$R$67, "워크인")</f>
        <v>0</v>
      </c>
      <c r="AN53" s="723">
        <f>SUMIF($R$8:$R$73, "워크인", $AE$8:$AE$73)+SUMIF($R$8:$R$73, "워크인", $AB$8:$AB$73)+SUMIF($R$8:$R$73, "워크인", $AA$8:$AA$73)+SUMIF($R$8:$R$73, "워크인", $Z$8:$Z$73)</f>
        <v>0</v>
      </c>
      <c r="AO53" s="724"/>
      <c r="AP53" s="39">
        <f>COUNTIF($C$8:$C$67, "워크인")</f>
        <v>0</v>
      </c>
      <c r="AQ53" s="742">
        <f>SUMIF($C$8:$C$72, "워크인", $L$8:$L$72)+SUMIF($C$8:$C$72, "워크인", $M$8:$M$72)+SUMIF($C$8:$C$72, "워크인", $N$8:$N$72)+SUMIF($C$8:$C$72, "워크인", $O$8:$O$72)</f>
        <v>0</v>
      </c>
      <c r="AR53" s="743"/>
      <c r="AS53" s="744">
        <f>SUM(AN53+AQ53)</f>
        <v>0</v>
      </c>
      <c r="AT53" s="745"/>
      <c r="AU53" s="675" t="s">
        <v>39</v>
      </c>
      <c r="AV53" s="676"/>
      <c r="AW53" s="679" t="s">
        <v>40</v>
      </c>
      <c r="AX53" s="680"/>
      <c r="AY53" s="680"/>
      <c r="AZ53" s="681"/>
      <c r="BA53" s="679"/>
      <c r="BB53" s="681"/>
      <c r="BC53" s="679"/>
      <c r="BD53" s="680"/>
      <c r="BE53" s="681"/>
    </row>
    <row r="54" spans="1:57" ht="64.5" customHeight="1" x14ac:dyDescent="0.3">
      <c r="A54" s="228">
        <v>47</v>
      </c>
      <c r="B54" s="242"/>
      <c r="C54" s="243"/>
      <c r="D54" s="231"/>
      <c r="E54" s="215"/>
      <c r="F54" s="231"/>
      <c r="G54" s="233"/>
      <c r="H54" s="215"/>
      <c r="I54" s="215"/>
      <c r="J54" s="215"/>
      <c r="K54" s="215"/>
      <c r="L54" s="234"/>
      <c r="M54" s="234"/>
      <c r="N54" s="234"/>
      <c r="O54" s="218"/>
      <c r="P54" s="228">
        <v>47</v>
      </c>
      <c r="Q54" s="242"/>
      <c r="R54" s="230"/>
      <c r="S54" s="231"/>
      <c r="T54" s="215"/>
      <c r="U54" s="231"/>
      <c r="V54" s="215"/>
      <c r="W54" s="215"/>
      <c r="X54" s="233"/>
      <c r="Y54" s="237"/>
      <c r="Z54" s="238"/>
      <c r="AA54" s="238"/>
      <c r="AB54" s="234"/>
      <c r="AC54" s="234"/>
      <c r="AD54" s="234"/>
      <c r="AE54" s="238"/>
      <c r="AF54" s="302"/>
      <c r="AG54" s="225"/>
      <c r="AH54" s="4"/>
      <c r="AI54" s="732"/>
      <c r="AJ54" s="733"/>
      <c r="AK54" s="734" t="s">
        <v>59</v>
      </c>
      <c r="AL54" s="735"/>
      <c r="AM54" s="40">
        <f>COUNTIF($R$8:$R$73, "무료")</f>
        <v>0</v>
      </c>
      <c r="AN54" s="736">
        <f>SUMIF($R$8:$R$73, "무료", $AE$8:$AE$73)+SUMIF($R$8:$R$73, "무료", $AB$8:$AB$73)+SUMIF($R$8:$R$73, "무료", $AA$8:$AA$73)+SUMIF($R$8:$R$73, "무료", $Z$8:$Z$73)</f>
        <v>0</v>
      </c>
      <c r="AO54" s="737"/>
      <c r="AP54" s="41">
        <f>COUNTIF($C$8:$C$76, "무료")</f>
        <v>0</v>
      </c>
      <c r="AQ54" s="738">
        <f>SUMIF($C$8:$C$72, "무료", $L$8:$L$72)+SUMIF($C$8:$C$72, "무료", $M$8:$M$72)+SUMIF($C$8:$C$72, "무료", $N$8:$N$72)+SUMIF($C$8:$C$72, "무료", $O$8:$O$72)</f>
        <v>0</v>
      </c>
      <c r="AR54" s="739"/>
      <c r="AS54" s="740">
        <f>SUM(AN54+AQ54)</f>
        <v>0</v>
      </c>
      <c r="AT54" s="741"/>
      <c r="AU54" s="663"/>
      <c r="AV54" s="706"/>
      <c r="AW54" s="679" t="s">
        <v>65</v>
      </c>
      <c r="AX54" s="680"/>
      <c r="AY54" s="680"/>
      <c r="AZ54" s="681"/>
      <c r="BA54" s="679">
        <f>AX24</f>
        <v>4</v>
      </c>
      <c r="BB54" s="681"/>
      <c r="BC54" s="679">
        <f>AZ24</f>
        <v>8000</v>
      </c>
      <c r="BD54" s="680"/>
      <c r="BE54" s="681"/>
    </row>
    <row r="55" spans="1:57" ht="64.5" customHeight="1" x14ac:dyDescent="0.3">
      <c r="A55" s="228">
        <v>48</v>
      </c>
      <c r="B55" s="242"/>
      <c r="C55" s="239"/>
      <c r="D55" s="231"/>
      <c r="E55" s="215"/>
      <c r="F55" s="231"/>
      <c r="G55" s="233"/>
      <c r="H55" s="215"/>
      <c r="I55" s="215"/>
      <c r="J55" s="215"/>
      <c r="K55" s="215"/>
      <c r="L55" s="234"/>
      <c r="M55" s="234"/>
      <c r="N55" s="234"/>
      <c r="O55" s="218"/>
      <c r="P55" s="228">
        <v>48</v>
      </c>
      <c r="Q55" s="242"/>
      <c r="R55" s="230"/>
      <c r="S55" s="231"/>
      <c r="T55" s="215"/>
      <c r="U55" s="231"/>
      <c r="V55" s="215"/>
      <c r="W55" s="215"/>
      <c r="X55" s="233"/>
      <c r="Y55" s="237"/>
      <c r="Z55" s="238"/>
      <c r="AA55" s="238"/>
      <c r="AB55" s="234"/>
      <c r="AC55" s="234"/>
      <c r="AD55" s="234"/>
      <c r="AE55" s="238"/>
      <c r="AF55" s="302"/>
      <c r="AG55" s="225"/>
      <c r="AH55" s="4"/>
      <c r="AI55" s="719"/>
      <c r="AJ55" s="720"/>
      <c r="AK55" s="729" t="s">
        <v>41</v>
      </c>
      <c r="AL55" s="746"/>
      <c r="AM55" s="42">
        <f>COUNTIF($R$8:$R$73, "계좌")</f>
        <v>0</v>
      </c>
      <c r="AN55" s="747">
        <f>SUMIF($R$8:$R$73, "계좌", $AE$8:$AE$73)+SUMIF($R$8:$R$73, "계좌", $AB$8:$AB$73)+SUMIF($R$8:$R$73, "계좌", $AA$8:$AA$73)+SUMIF($R$8:$R$73, "계좌", $Z$8:$Z$73)</f>
        <v>0</v>
      </c>
      <c r="AO55" s="748"/>
      <c r="AP55" s="43">
        <f>COUNTIF($C$8:$C$76, "계좌")</f>
        <v>0</v>
      </c>
      <c r="AQ55" s="749">
        <f>SUMIF($C$8:$C$72, "계좌", $L$8:$L$72)+SUMIF($C$8:$C$72, "계좌", $M$8:$M$72)+SUMIF($C$8:$C$72, "계좌", $N$8:$N$72)+SUMIF($C$8:$C$72, "계좌", $O$8:$O$72)</f>
        <v>0</v>
      </c>
      <c r="AR55" s="750"/>
      <c r="AS55" s="751">
        <f>SUM(AN55+AQ55)</f>
        <v>0</v>
      </c>
      <c r="AT55" s="752"/>
      <c r="AU55" s="677"/>
      <c r="AV55" s="678"/>
      <c r="AW55" s="679" t="s">
        <v>42</v>
      </c>
      <c r="AX55" s="680"/>
      <c r="AY55" s="680"/>
      <c r="AZ55" s="681"/>
      <c r="BA55" s="679">
        <f>SUM(BA53:BB54)</f>
        <v>4</v>
      </c>
      <c r="BB55" s="681"/>
      <c r="BC55" s="679">
        <f>SUM(BC53:BE54)</f>
        <v>8000</v>
      </c>
      <c r="BD55" s="680"/>
      <c r="BE55" s="681"/>
    </row>
    <row r="56" spans="1:57" ht="64.5" customHeight="1" x14ac:dyDescent="0.3">
      <c r="A56" s="228">
        <v>49</v>
      </c>
      <c r="B56" s="242"/>
      <c r="C56" s="243"/>
      <c r="D56" s="231"/>
      <c r="E56" s="215"/>
      <c r="F56" s="231"/>
      <c r="G56" s="231"/>
      <c r="H56" s="215"/>
      <c r="I56" s="215"/>
      <c r="J56" s="215"/>
      <c r="K56" s="215"/>
      <c r="L56" s="234"/>
      <c r="M56" s="234"/>
      <c r="N56" s="234"/>
      <c r="O56" s="218"/>
      <c r="P56" s="228">
        <v>49</v>
      </c>
      <c r="Q56" s="242"/>
      <c r="R56" s="230"/>
      <c r="S56" s="231"/>
      <c r="T56" s="215"/>
      <c r="U56" s="231"/>
      <c r="V56" s="215"/>
      <c r="W56" s="215"/>
      <c r="X56" s="233"/>
      <c r="Y56" s="237"/>
      <c r="Z56" s="238"/>
      <c r="AA56" s="238"/>
      <c r="AB56" s="234"/>
      <c r="AC56" s="234"/>
      <c r="AD56" s="234"/>
      <c r="AE56" s="238"/>
      <c r="AF56" s="302"/>
      <c r="AG56" s="225"/>
      <c r="AH56" s="4"/>
      <c r="AI56" s="717" t="s">
        <v>43</v>
      </c>
      <c r="AJ56" s="718"/>
      <c r="AK56" s="721"/>
      <c r="AL56" s="722"/>
      <c r="AM56" s="40">
        <f>COUNTIF($R$8:$R$73, "부킹닷컴")</f>
        <v>0</v>
      </c>
      <c r="AN56" s="723">
        <f>SUMIF($R$8:$R$73, "부킹닷컴", $AE$8:$AE$73)+SUMIF($R$8:$R$73, "부킹닷컴", $AB$8:$AB$73)+SUMIF($R$8:$R$73, "부킹닷컴", $AA$8:$AA$73)+SUMIF($R$8:$R$73, "부킹닷컴", $Z$8:$Z$73)</f>
        <v>0</v>
      </c>
      <c r="AO56" s="724"/>
      <c r="AP56" s="44">
        <f>COUNTIF($C$8:$C$76, "부킹닷컴")</f>
        <v>0</v>
      </c>
      <c r="AQ56" s="725">
        <f>SUMIF($C$8:$C$72, "부킹닷컴", $L$8:$L$72)+SUMIF($C$8:$C$72, "부킹닷컴", $M$8:$M$72)+SUMIF($C$8:$C$72, "부킹닷컴", $N$8:$N$72)+SUMIF($C$8:$C$72, "부킹닷컴", $O$8:$O$72)</f>
        <v>0</v>
      </c>
      <c r="AR56" s="726"/>
      <c r="AS56" s="727">
        <f>SUM(AN56+AQ56)</f>
        <v>0</v>
      </c>
      <c r="AT56" s="728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6"/>
    </row>
    <row r="57" spans="1:57" ht="64.5" customHeight="1" x14ac:dyDescent="0.3">
      <c r="A57" s="228">
        <v>50</v>
      </c>
      <c r="B57" s="242"/>
      <c r="C57" s="243"/>
      <c r="D57" s="231"/>
      <c r="E57" s="215"/>
      <c r="F57" s="231"/>
      <c r="G57" s="231"/>
      <c r="H57" s="215"/>
      <c r="I57" s="215"/>
      <c r="J57" s="215"/>
      <c r="K57" s="215"/>
      <c r="L57" s="234"/>
      <c r="M57" s="234"/>
      <c r="N57" s="234"/>
      <c r="O57" s="218"/>
      <c r="P57" s="228">
        <v>50</v>
      </c>
      <c r="Q57" s="242"/>
      <c r="R57" s="230"/>
      <c r="S57" s="231"/>
      <c r="T57" s="215"/>
      <c r="U57" s="231"/>
      <c r="V57" s="215"/>
      <c r="W57" s="215"/>
      <c r="X57" s="233"/>
      <c r="Y57" s="237"/>
      <c r="Z57" s="238"/>
      <c r="AA57" s="238"/>
      <c r="AB57" s="234"/>
      <c r="AC57" s="234"/>
      <c r="AD57" s="234"/>
      <c r="AE57" s="238"/>
      <c r="AF57" s="302"/>
      <c r="AG57" s="225"/>
      <c r="AH57" s="4"/>
      <c r="AI57" s="719"/>
      <c r="AJ57" s="720"/>
      <c r="AK57" s="729" t="s">
        <v>30</v>
      </c>
      <c r="AL57" s="730"/>
      <c r="AM57" s="47"/>
      <c r="AN57" s="731">
        <f>SUMIF($R$68:$R$72, "추가", $AA$68:$AA$72)+SUMIF($R$68:$R$72, "추가", $Z$68:$Z$72)</f>
        <v>0</v>
      </c>
      <c r="AO57" s="731"/>
      <c r="AP57" s="48"/>
      <c r="AQ57" s="707">
        <f>SUMIF($C$68:$C$72, "추가", $L$68:$L$72)+SUMIF($C$68:$C$72, "추가", $M$68:$M$72)+SUMIF($C$68:$C$72, "추가", $N$68:$N$72)+SUMIF($C$68:$C$72, "추가", $O$68:$O$72)</f>
        <v>0</v>
      </c>
      <c r="AR57" s="708"/>
      <c r="AS57" s="709">
        <f>SUM(AN57+AQ57)</f>
        <v>0</v>
      </c>
      <c r="AT57" s="710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6"/>
    </row>
    <row r="58" spans="1:57" ht="64.5" customHeight="1" x14ac:dyDescent="0.3">
      <c r="A58" s="228">
        <v>51</v>
      </c>
      <c r="B58" s="242"/>
      <c r="C58" s="243"/>
      <c r="D58" s="231"/>
      <c r="E58" s="215"/>
      <c r="F58" s="231"/>
      <c r="G58" s="231"/>
      <c r="H58" s="215"/>
      <c r="I58" s="215"/>
      <c r="J58" s="215"/>
      <c r="K58" s="215"/>
      <c r="L58" s="234"/>
      <c r="M58" s="234"/>
      <c r="N58" s="234"/>
      <c r="O58" s="218"/>
      <c r="P58" s="228">
        <v>51</v>
      </c>
      <c r="Q58" s="242"/>
      <c r="R58" s="230"/>
      <c r="S58" s="231"/>
      <c r="T58" s="215"/>
      <c r="U58" s="231"/>
      <c r="V58" s="215"/>
      <c r="W58" s="215"/>
      <c r="X58" s="236"/>
      <c r="Y58" s="237"/>
      <c r="Z58" s="238"/>
      <c r="AA58" s="238"/>
      <c r="AB58" s="234"/>
      <c r="AC58" s="234"/>
      <c r="AD58" s="234"/>
      <c r="AE58" s="238"/>
      <c r="AF58" s="302"/>
      <c r="AG58" s="225"/>
      <c r="AH58" s="4"/>
      <c r="AI58" s="711" t="s">
        <v>25</v>
      </c>
      <c r="AJ58" s="712"/>
      <c r="AK58" s="712"/>
      <c r="AL58" s="712"/>
      <c r="AM58" s="49">
        <f>SUM(AM53:AM56)</f>
        <v>0</v>
      </c>
      <c r="AN58" s="713">
        <f>SUM(AN53:AO57)</f>
        <v>0</v>
      </c>
      <c r="AO58" s="713"/>
      <c r="AP58" s="50">
        <f>SUM(AP53:AP57)</f>
        <v>0</v>
      </c>
      <c r="AQ58" s="714">
        <f>SUM(AQ53:AR57)</f>
        <v>0</v>
      </c>
      <c r="AR58" s="714"/>
      <c r="AS58" s="715">
        <f>SUM(AS53:AT57)</f>
        <v>0</v>
      </c>
      <c r="AT58" s="716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6"/>
    </row>
    <row r="59" spans="1:57" ht="64.5" customHeight="1" x14ac:dyDescent="0.3">
      <c r="A59" s="228">
        <v>52</v>
      </c>
      <c r="B59" s="242"/>
      <c r="C59" s="243"/>
      <c r="D59" s="231"/>
      <c r="E59" s="215"/>
      <c r="F59" s="231"/>
      <c r="G59" s="231"/>
      <c r="H59" s="215"/>
      <c r="I59" s="215"/>
      <c r="J59" s="215"/>
      <c r="K59" s="215"/>
      <c r="L59" s="234"/>
      <c r="M59" s="234"/>
      <c r="N59" s="234"/>
      <c r="O59" s="218"/>
      <c r="P59" s="228">
        <v>52</v>
      </c>
      <c r="Q59" s="242"/>
      <c r="R59" s="230"/>
      <c r="S59" s="231"/>
      <c r="T59" s="215"/>
      <c r="U59" s="231"/>
      <c r="V59" s="215"/>
      <c r="W59" s="215"/>
      <c r="X59" s="236"/>
      <c r="Y59" s="237"/>
      <c r="Z59" s="238"/>
      <c r="AA59" s="238"/>
      <c r="AB59" s="234"/>
      <c r="AC59" s="234"/>
      <c r="AD59" s="234"/>
      <c r="AE59" s="238"/>
      <c r="AF59" s="302"/>
      <c r="AG59" s="225"/>
      <c r="AH59" s="4"/>
      <c r="AI59" s="700" t="s">
        <v>23</v>
      </c>
      <c r="AJ59" s="701"/>
      <c r="AK59" s="51" t="s">
        <v>44</v>
      </c>
      <c r="AL59" s="51"/>
      <c r="AM59" s="71" t="s">
        <v>26</v>
      </c>
      <c r="AN59" s="71" t="s">
        <v>45</v>
      </c>
      <c r="AO59" s="71" t="s">
        <v>46</v>
      </c>
      <c r="AP59" s="72" t="s">
        <v>26</v>
      </c>
      <c r="AQ59" s="73" t="s">
        <v>45</v>
      </c>
      <c r="AR59" s="72" t="s">
        <v>46</v>
      </c>
      <c r="AS59" s="52" t="s">
        <v>47</v>
      </c>
      <c r="AT59" s="53" t="s">
        <v>48</v>
      </c>
      <c r="AU59" s="675" t="s">
        <v>49</v>
      </c>
      <c r="AV59" s="676"/>
      <c r="AW59" s="679">
        <v>20</v>
      </c>
      <c r="AX59" s="680"/>
      <c r="AY59" s="680"/>
      <c r="AZ59" s="680"/>
      <c r="BA59" s="681"/>
      <c r="BB59" s="679">
        <f>COUNTIF($K$8:$K$67, "20")+COUNTIF($Y$8:$Y$67, "20")</f>
        <v>0</v>
      </c>
      <c r="BC59" s="680"/>
      <c r="BD59" s="680"/>
      <c r="BE59" s="681"/>
    </row>
    <row r="60" spans="1:57" ht="64.5" customHeight="1" x14ac:dyDescent="0.3">
      <c r="A60" s="228">
        <v>53</v>
      </c>
      <c r="B60" s="242"/>
      <c r="C60" s="230"/>
      <c r="D60" s="231"/>
      <c r="E60" s="215"/>
      <c r="F60" s="231"/>
      <c r="G60" s="231"/>
      <c r="H60" s="215"/>
      <c r="I60" s="215"/>
      <c r="J60" s="215"/>
      <c r="K60" s="215"/>
      <c r="L60" s="234"/>
      <c r="M60" s="234"/>
      <c r="N60" s="234"/>
      <c r="O60" s="218"/>
      <c r="P60" s="228">
        <v>53</v>
      </c>
      <c r="Q60" s="242"/>
      <c r="R60" s="230"/>
      <c r="S60" s="233"/>
      <c r="T60" s="215"/>
      <c r="U60" s="233"/>
      <c r="V60" s="215"/>
      <c r="W60" s="215"/>
      <c r="X60" s="233"/>
      <c r="Y60" s="237"/>
      <c r="Z60" s="238"/>
      <c r="AA60" s="238"/>
      <c r="AB60" s="234"/>
      <c r="AC60" s="234"/>
      <c r="AD60" s="234"/>
      <c r="AE60" s="238"/>
      <c r="AF60" s="302"/>
      <c r="AG60" s="225"/>
      <c r="AH60" s="4"/>
      <c r="AI60" s="702"/>
      <c r="AJ60" s="703"/>
      <c r="AK60" s="673" t="s">
        <v>50</v>
      </c>
      <c r="AL60" s="674"/>
      <c r="AM60" s="54">
        <f t="shared" ref="AM60:AM70" si="2">COUNTIF($R$8:$R$73, $AK60)</f>
        <v>0</v>
      </c>
      <c r="AN60" s="54">
        <f t="shared" ref="AN60:AN70" si="3">SUMIF($R$8:$R$73, $AK60, $Z$8:$Z$73)+SUMIF($R$8:$R$73, $AK60, $AB$8:$AB$73)+SUMIF($R$8:$R$73, $AK60, $AA$8:$AA$73)+SUMIF($R$8:$R$73, $AK60, $AE$8:$AE$73)</f>
        <v>0</v>
      </c>
      <c r="AO60" s="54">
        <f>AN60*0.9</f>
        <v>0</v>
      </c>
      <c r="AP60" s="55">
        <f>COUNTIF($C$8:$C$73, $AK60)</f>
        <v>11</v>
      </c>
      <c r="AQ60" s="56">
        <f>SUMIF($C$8:$C$72, $AK60, $L$8:$L$72)+SUMIF($C$8:$C$72, $AK60, $M$8:$M$72)+SUMIF($C$8:$C$72, $AK60, $N$8:$N$72)+SUMIF($C$8:$C$72, $AK60, $O$8:$O$72)</f>
        <v>605000</v>
      </c>
      <c r="AR60" s="57">
        <f>AQ60*0.9</f>
        <v>544500</v>
      </c>
      <c r="AS60" s="58">
        <f t="shared" ref="AS60:AS70" si="4">SUM(AN60+AQ60)</f>
        <v>605000</v>
      </c>
      <c r="AT60" s="59">
        <f t="shared" ref="AT60:AT70" si="5">AO60+AR60</f>
        <v>544500</v>
      </c>
      <c r="AU60" s="663"/>
      <c r="AV60" s="706"/>
      <c r="AW60" s="679">
        <v>30</v>
      </c>
      <c r="AX60" s="680"/>
      <c r="AY60" s="680"/>
      <c r="AZ60" s="680"/>
      <c r="BA60" s="681"/>
      <c r="BB60" s="679">
        <f>COUNTIF($K$8:$K$67, "30")+COUNTIF($Y$8:$Y$67, "30")</f>
        <v>0</v>
      </c>
      <c r="BC60" s="680"/>
      <c r="BD60" s="680"/>
      <c r="BE60" s="681"/>
    </row>
    <row r="61" spans="1:57" ht="64.5" customHeight="1" x14ac:dyDescent="0.3">
      <c r="A61" s="228">
        <v>54</v>
      </c>
      <c r="B61" s="242"/>
      <c r="C61" s="243"/>
      <c r="D61" s="231"/>
      <c r="E61" s="215"/>
      <c r="F61" s="231"/>
      <c r="G61" s="231"/>
      <c r="H61" s="215"/>
      <c r="I61" s="215"/>
      <c r="J61" s="215"/>
      <c r="K61" s="215"/>
      <c r="L61" s="234"/>
      <c r="M61" s="234"/>
      <c r="N61" s="234"/>
      <c r="O61" s="218"/>
      <c r="P61" s="228">
        <v>54</v>
      </c>
      <c r="Q61" s="242"/>
      <c r="R61" s="230"/>
      <c r="S61" s="233"/>
      <c r="T61" s="215"/>
      <c r="U61" s="233"/>
      <c r="V61" s="215"/>
      <c r="W61" s="215"/>
      <c r="X61" s="233"/>
      <c r="Y61" s="237"/>
      <c r="Z61" s="238"/>
      <c r="AA61" s="238"/>
      <c r="AB61" s="234"/>
      <c r="AC61" s="234"/>
      <c r="AD61" s="234"/>
      <c r="AE61" s="238"/>
      <c r="AF61" s="302"/>
      <c r="AG61" s="225"/>
      <c r="AH61" s="4"/>
      <c r="AI61" s="702"/>
      <c r="AJ61" s="703"/>
      <c r="AK61" s="673" t="s">
        <v>51</v>
      </c>
      <c r="AL61" s="674"/>
      <c r="AM61" s="54">
        <f t="shared" si="2"/>
        <v>0</v>
      </c>
      <c r="AN61" s="54">
        <f t="shared" si="3"/>
        <v>0</v>
      </c>
      <c r="AO61" s="54">
        <f t="shared" ref="AO61:AO70" si="6">AN61*0.9</f>
        <v>0</v>
      </c>
      <c r="AP61" s="55">
        <f t="shared" ref="AP61:AP70" si="7">COUNTIF($C$8:$C$73, $AK61)</f>
        <v>9</v>
      </c>
      <c r="AQ61" s="56">
        <f t="shared" ref="AQ61:AQ70" si="8">SUMIF($C$8:$C$72, $AK61, $L$8:$L$72)+SUMIF($C$8:$C$72, $AK61, $M$8:$M$72)+SUMIF($C$8:$C$72, $AK61, $N$8:$N$72)+SUMIF($C$8:$C$72, $AK61, $O$8:$O$72)</f>
        <v>580000</v>
      </c>
      <c r="AR61" s="57">
        <f t="shared" ref="AR61:AR70" si="9">AQ61*0.9</f>
        <v>522000</v>
      </c>
      <c r="AS61" s="58">
        <f t="shared" si="4"/>
        <v>580000</v>
      </c>
      <c r="AT61" s="59">
        <f t="shared" si="5"/>
        <v>522000</v>
      </c>
      <c r="AU61" s="663"/>
      <c r="AV61" s="706"/>
      <c r="AW61" s="679">
        <v>40</v>
      </c>
      <c r="AX61" s="680"/>
      <c r="AY61" s="680"/>
      <c r="AZ61" s="680"/>
      <c r="BA61" s="681"/>
      <c r="BB61" s="679">
        <f>COUNTIF($K$8:$K$67, "40")+COUNTIF($Y$8:$Y$67, "40")</f>
        <v>0</v>
      </c>
      <c r="BC61" s="680"/>
      <c r="BD61" s="680"/>
      <c r="BE61" s="681"/>
    </row>
    <row r="62" spans="1:57" ht="64.5" customHeight="1" x14ac:dyDescent="0.3">
      <c r="A62" s="228">
        <v>55</v>
      </c>
      <c r="B62" s="242"/>
      <c r="C62" s="230"/>
      <c r="D62" s="231"/>
      <c r="E62" s="215"/>
      <c r="F62" s="231"/>
      <c r="G62" s="231"/>
      <c r="H62" s="215"/>
      <c r="I62" s="215"/>
      <c r="J62" s="215"/>
      <c r="K62" s="215"/>
      <c r="L62" s="234"/>
      <c r="M62" s="234"/>
      <c r="N62" s="234"/>
      <c r="O62" s="218"/>
      <c r="P62" s="228">
        <v>55</v>
      </c>
      <c r="Q62" s="242"/>
      <c r="R62" s="230"/>
      <c r="S62" s="231"/>
      <c r="T62" s="215"/>
      <c r="U62" s="231"/>
      <c r="V62" s="215"/>
      <c r="W62" s="215"/>
      <c r="X62" s="233"/>
      <c r="Y62" s="237"/>
      <c r="Z62" s="238"/>
      <c r="AA62" s="238"/>
      <c r="AB62" s="234"/>
      <c r="AC62" s="234"/>
      <c r="AD62" s="234"/>
      <c r="AE62" s="238"/>
      <c r="AF62" s="302"/>
      <c r="AG62" s="225"/>
      <c r="AH62" s="4"/>
      <c r="AI62" s="702"/>
      <c r="AJ62" s="703"/>
      <c r="AK62" s="673" t="s">
        <v>52</v>
      </c>
      <c r="AL62" s="674"/>
      <c r="AM62" s="54">
        <f t="shared" si="2"/>
        <v>0</v>
      </c>
      <c r="AN62" s="54">
        <f t="shared" si="3"/>
        <v>0</v>
      </c>
      <c r="AO62" s="54">
        <f t="shared" si="6"/>
        <v>0</v>
      </c>
      <c r="AP62" s="55">
        <f t="shared" si="7"/>
        <v>4</v>
      </c>
      <c r="AQ62" s="56">
        <f t="shared" si="8"/>
        <v>0</v>
      </c>
      <c r="AR62" s="57">
        <f t="shared" si="9"/>
        <v>0</v>
      </c>
      <c r="AS62" s="58">
        <f t="shared" si="4"/>
        <v>0</v>
      </c>
      <c r="AT62" s="59">
        <f t="shared" si="5"/>
        <v>0</v>
      </c>
      <c r="AU62" s="663"/>
      <c r="AV62" s="706"/>
      <c r="AW62" s="679">
        <v>50</v>
      </c>
      <c r="AX62" s="680"/>
      <c r="AY62" s="680"/>
      <c r="AZ62" s="680"/>
      <c r="BA62" s="681"/>
      <c r="BB62" s="679">
        <f>COUNTIF($K$8:$K$67, "50")+COUNTIF($Y$8:$Y$67, "50")</f>
        <v>0</v>
      </c>
      <c r="BC62" s="680"/>
      <c r="BD62" s="680"/>
      <c r="BE62" s="681"/>
    </row>
    <row r="63" spans="1:57" ht="64.5" customHeight="1" x14ac:dyDescent="0.3">
      <c r="A63" s="228">
        <v>56</v>
      </c>
      <c r="B63" s="242"/>
      <c r="C63" s="243"/>
      <c r="D63" s="231"/>
      <c r="E63" s="215"/>
      <c r="F63" s="231"/>
      <c r="G63" s="231"/>
      <c r="H63" s="215"/>
      <c r="I63" s="215"/>
      <c r="J63" s="215"/>
      <c r="K63" s="215"/>
      <c r="L63" s="234"/>
      <c r="M63" s="234"/>
      <c r="N63" s="234"/>
      <c r="O63" s="218"/>
      <c r="P63" s="228">
        <v>56</v>
      </c>
      <c r="Q63" s="242"/>
      <c r="R63" s="230"/>
      <c r="S63" s="231"/>
      <c r="T63" s="215"/>
      <c r="U63" s="231"/>
      <c r="V63" s="215"/>
      <c r="W63" s="215"/>
      <c r="X63" s="233"/>
      <c r="Y63" s="237"/>
      <c r="Z63" s="238"/>
      <c r="AA63" s="238"/>
      <c r="AB63" s="234"/>
      <c r="AC63" s="234"/>
      <c r="AD63" s="234"/>
      <c r="AE63" s="238"/>
      <c r="AF63" s="302"/>
      <c r="AG63" s="225"/>
      <c r="AH63" s="4"/>
      <c r="AI63" s="702"/>
      <c r="AJ63" s="703"/>
      <c r="AK63" s="673" t="s">
        <v>69</v>
      </c>
      <c r="AL63" s="674"/>
      <c r="AM63" s="54">
        <f t="shared" si="2"/>
        <v>0</v>
      </c>
      <c r="AN63" s="54">
        <f t="shared" si="3"/>
        <v>0</v>
      </c>
      <c r="AO63" s="54">
        <f t="shared" si="6"/>
        <v>0</v>
      </c>
      <c r="AP63" s="55">
        <f t="shared" si="7"/>
        <v>0</v>
      </c>
      <c r="AQ63" s="56">
        <f t="shared" si="8"/>
        <v>0</v>
      </c>
      <c r="AR63" s="57">
        <f t="shared" si="9"/>
        <v>0</v>
      </c>
      <c r="AS63" s="58">
        <f t="shared" si="4"/>
        <v>0</v>
      </c>
      <c r="AT63" s="59">
        <f t="shared" si="5"/>
        <v>0</v>
      </c>
      <c r="AU63" s="677"/>
      <c r="AV63" s="678"/>
      <c r="AW63" s="679">
        <v>60</v>
      </c>
      <c r="AX63" s="680"/>
      <c r="AY63" s="680"/>
      <c r="AZ63" s="680"/>
      <c r="BA63" s="681"/>
      <c r="BB63" s="679">
        <f>COUNTIF($K$8:$K$67, "60")+COUNTIF($Y$8:$Y$67, "60")</f>
        <v>0</v>
      </c>
      <c r="BC63" s="680"/>
      <c r="BD63" s="680"/>
      <c r="BE63" s="681"/>
    </row>
    <row r="64" spans="1:57" ht="64.5" customHeight="1" x14ac:dyDescent="0.3">
      <c r="A64" s="228">
        <v>57</v>
      </c>
      <c r="B64" s="242"/>
      <c r="C64" s="243"/>
      <c r="D64" s="231"/>
      <c r="E64" s="215"/>
      <c r="F64" s="231"/>
      <c r="G64" s="231"/>
      <c r="H64" s="215"/>
      <c r="I64" s="215"/>
      <c r="J64" s="215"/>
      <c r="K64" s="215"/>
      <c r="L64" s="234"/>
      <c r="M64" s="234"/>
      <c r="N64" s="234"/>
      <c r="O64" s="218"/>
      <c r="P64" s="228">
        <v>57</v>
      </c>
      <c r="Q64" s="242"/>
      <c r="R64" s="230"/>
      <c r="S64" s="231"/>
      <c r="T64" s="215"/>
      <c r="U64" s="231"/>
      <c r="V64" s="215"/>
      <c r="W64" s="215"/>
      <c r="X64" s="233"/>
      <c r="Y64" s="237"/>
      <c r="Z64" s="238"/>
      <c r="AA64" s="238"/>
      <c r="AB64" s="234"/>
      <c r="AC64" s="234"/>
      <c r="AD64" s="234"/>
      <c r="AE64" s="238"/>
      <c r="AF64" s="302"/>
      <c r="AG64" s="225"/>
      <c r="AH64" s="4"/>
      <c r="AI64" s="702"/>
      <c r="AJ64" s="703"/>
      <c r="AK64" s="673" t="s">
        <v>180</v>
      </c>
      <c r="AL64" s="674"/>
      <c r="AM64" s="54">
        <f t="shared" si="2"/>
        <v>0</v>
      </c>
      <c r="AN64" s="54">
        <f t="shared" si="3"/>
        <v>0</v>
      </c>
      <c r="AO64" s="54">
        <f t="shared" si="6"/>
        <v>0</v>
      </c>
      <c r="AP64" s="55">
        <f t="shared" si="7"/>
        <v>0</v>
      </c>
      <c r="AQ64" s="56">
        <f t="shared" si="8"/>
        <v>0</v>
      </c>
      <c r="AR64" s="57">
        <f t="shared" si="9"/>
        <v>0</v>
      </c>
      <c r="AS64" s="58">
        <f t="shared" si="4"/>
        <v>0</v>
      </c>
      <c r="AT64" s="59">
        <f t="shared" si="5"/>
        <v>0</v>
      </c>
      <c r="AU64" s="675" t="s">
        <v>53</v>
      </c>
      <c r="AV64" s="676"/>
      <c r="AW64" s="679" t="s">
        <v>54</v>
      </c>
      <c r="AX64" s="680"/>
      <c r="AY64" s="680"/>
      <c r="AZ64" s="680"/>
      <c r="BA64" s="681"/>
      <c r="BB64" s="679">
        <f>COUNTIF($J$8:$J$67, "w")+COUNTIF($X$8:$X$67, "w")</f>
        <v>0</v>
      </c>
      <c r="BC64" s="680"/>
      <c r="BD64" s="680"/>
      <c r="BE64" s="681"/>
    </row>
    <row r="65" spans="1:57" ht="64.5" customHeight="1" x14ac:dyDescent="0.3">
      <c r="A65" s="228">
        <v>58</v>
      </c>
      <c r="B65" s="242"/>
      <c r="C65" s="243"/>
      <c r="D65" s="231"/>
      <c r="E65" s="215"/>
      <c r="F65" s="231"/>
      <c r="G65" s="231"/>
      <c r="H65" s="215"/>
      <c r="I65" s="215"/>
      <c r="J65" s="215"/>
      <c r="K65" s="215"/>
      <c r="L65" s="234"/>
      <c r="M65" s="234"/>
      <c r="N65" s="234"/>
      <c r="O65" s="218"/>
      <c r="P65" s="228">
        <v>58</v>
      </c>
      <c r="Q65" s="242"/>
      <c r="R65" s="230"/>
      <c r="S65" s="231"/>
      <c r="T65" s="215"/>
      <c r="U65" s="231"/>
      <c r="V65" s="215"/>
      <c r="W65" s="215"/>
      <c r="X65" s="233"/>
      <c r="Y65" s="237"/>
      <c r="Z65" s="238"/>
      <c r="AA65" s="238"/>
      <c r="AB65" s="234"/>
      <c r="AC65" s="234"/>
      <c r="AD65" s="234"/>
      <c r="AE65" s="238"/>
      <c r="AF65" s="302"/>
      <c r="AG65" s="225"/>
      <c r="AH65" s="4"/>
      <c r="AI65" s="702"/>
      <c r="AJ65" s="703"/>
      <c r="AK65" s="673" t="s">
        <v>135</v>
      </c>
      <c r="AL65" s="674"/>
      <c r="AM65" s="54">
        <f t="shared" si="2"/>
        <v>0</v>
      </c>
      <c r="AN65" s="54">
        <f t="shared" si="3"/>
        <v>0</v>
      </c>
      <c r="AO65" s="54">
        <f t="shared" si="6"/>
        <v>0</v>
      </c>
      <c r="AP65" s="55">
        <f t="shared" si="7"/>
        <v>0</v>
      </c>
      <c r="AQ65" s="56">
        <f t="shared" si="8"/>
        <v>0</v>
      </c>
      <c r="AR65" s="57">
        <f t="shared" si="9"/>
        <v>0</v>
      </c>
      <c r="AS65" s="58">
        <f t="shared" si="4"/>
        <v>0</v>
      </c>
      <c r="AT65" s="59">
        <f t="shared" si="5"/>
        <v>0</v>
      </c>
      <c r="AU65" s="677"/>
      <c r="AV65" s="678"/>
      <c r="AW65" s="679" t="s">
        <v>55</v>
      </c>
      <c r="AX65" s="680"/>
      <c r="AY65" s="680"/>
      <c r="AZ65" s="680"/>
      <c r="BA65" s="681"/>
      <c r="BB65" s="679">
        <f>COUNTIF($J$8:$J$67, "c")+COUNTIF($X$8:$X$67, "c")</f>
        <v>0</v>
      </c>
      <c r="BC65" s="680"/>
      <c r="BD65" s="680"/>
      <c r="BE65" s="681"/>
    </row>
    <row r="66" spans="1:57" ht="64.5" customHeight="1" x14ac:dyDescent="0.3">
      <c r="A66" s="228">
        <v>59</v>
      </c>
      <c r="B66" s="242"/>
      <c r="C66" s="230"/>
      <c r="D66" s="231"/>
      <c r="E66" s="215"/>
      <c r="F66" s="231"/>
      <c r="G66" s="231"/>
      <c r="H66" s="215"/>
      <c r="I66" s="215"/>
      <c r="J66" s="215"/>
      <c r="K66" s="215"/>
      <c r="L66" s="234"/>
      <c r="M66" s="234"/>
      <c r="N66" s="234"/>
      <c r="O66" s="218"/>
      <c r="P66" s="228">
        <v>59</v>
      </c>
      <c r="Q66" s="242"/>
      <c r="R66" s="230"/>
      <c r="S66" s="231"/>
      <c r="T66" s="215"/>
      <c r="U66" s="231"/>
      <c r="V66" s="215"/>
      <c r="W66" s="215"/>
      <c r="X66" s="233"/>
      <c r="Y66" s="237"/>
      <c r="Z66" s="238"/>
      <c r="AA66" s="238"/>
      <c r="AB66" s="234"/>
      <c r="AC66" s="234"/>
      <c r="AD66" s="234"/>
      <c r="AE66" s="238"/>
      <c r="AF66" s="302"/>
      <c r="AG66" s="225"/>
      <c r="AH66" s="4"/>
      <c r="AI66" s="702"/>
      <c r="AJ66" s="703"/>
      <c r="AK66" s="673" t="s">
        <v>70</v>
      </c>
      <c r="AL66" s="674"/>
      <c r="AM66" s="54">
        <f t="shared" si="2"/>
        <v>0</v>
      </c>
      <c r="AN66" s="54">
        <f t="shared" si="3"/>
        <v>0</v>
      </c>
      <c r="AO66" s="54">
        <f t="shared" si="6"/>
        <v>0</v>
      </c>
      <c r="AP66" s="55">
        <f t="shared" si="7"/>
        <v>5</v>
      </c>
      <c r="AQ66" s="56">
        <f t="shared" si="8"/>
        <v>420000</v>
      </c>
      <c r="AR66" s="57">
        <f t="shared" si="9"/>
        <v>378000</v>
      </c>
      <c r="AS66" s="58">
        <f t="shared" si="4"/>
        <v>420000</v>
      </c>
      <c r="AT66" s="59">
        <f t="shared" si="5"/>
        <v>378000</v>
      </c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6"/>
    </row>
    <row r="67" spans="1:57" ht="64.5" customHeight="1" thickBot="1" x14ac:dyDescent="0.35">
      <c r="A67" s="244">
        <v>60</v>
      </c>
      <c r="B67" s="245"/>
      <c r="C67" s="246"/>
      <c r="D67" s="247"/>
      <c r="E67" s="216"/>
      <c r="F67" s="247"/>
      <c r="G67" s="247"/>
      <c r="H67" s="216"/>
      <c r="I67" s="216"/>
      <c r="J67" s="216"/>
      <c r="K67" s="216"/>
      <c r="L67" s="248"/>
      <c r="M67" s="248"/>
      <c r="N67" s="248"/>
      <c r="O67" s="221"/>
      <c r="P67" s="228">
        <v>60</v>
      </c>
      <c r="Q67" s="245"/>
      <c r="R67" s="247"/>
      <c r="S67" s="247"/>
      <c r="T67" s="216"/>
      <c r="U67" s="247"/>
      <c r="V67" s="216"/>
      <c r="W67" s="216"/>
      <c r="X67" s="216"/>
      <c r="Y67" s="216"/>
      <c r="Z67" s="248"/>
      <c r="AA67" s="248"/>
      <c r="AB67" s="248"/>
      <c r="AC67" s="248"/>
      <c r="AD67" s="248"/>
      <c r="AE67" s="248"/>
      <c r="AF67" s="341"/>
      <c r="AG67" s="221"/>
      <c r="AH67" s="4"/>
      <c r="AI67" s="702"/>
      <c r="AJ67" s="703"/>
      <c r="AK67" s="673" t="s">
        <v>81</v>
      </c>
      <c r="AL67" s="674"/>
      <c r="AM67" s="54">
        <f t="shared" si="2"/>
        <v>0</v>
      </c>
      <c r="AN67" s="54">
        <f t="shared" si="3"/>
        <v>0</v>
      </c>
      <c r="AO67" s="54">
        <f t="shared" si="6"/>
        <v>0</v>
      </c>
      <c r="AP67" s="55">
        <f t="shared" si="7"/>
        <v>0</v>
      </c>
      <c r="AQ67" s="56">
        <f t="shared" si="8"/>
        <v>0</v>
      </c>
      <c r="AR67" s="57">
        <f t="shared" si="9"/>
        <v>0</v>
      </c>
      <c r="AS67" s="58">
        <f t="shared" si="4"/>
        <v>0</v>
      </c>
      <c r="AT67" s="59">
        <f t="shared" si="5"/>
        <v>0</v>
      </c>
      <c r="AU67" s="45"/>
      <c r="AV67" s="45"/>
      <c r="AW67" s="45"/>
      <c r="AX67" s="45"/>
      <c r="AY67" s="45"/>
      <c r="AZ67" s="698" t="s">
        <v>29</v>
      </c>
      <c r="BA67" s="698"/>
      <c r="BB67" s="698"/>
      <c r="BC67" s="699" t="s">
        <v>28</v>
      </c>
      <c r="BD67" s="699"/>
      <c r="BE67" s="699"/>
    </row>
    <row r="68" spans="1:57" ht="64.5" customHeight="1" x14ac:dyDescent="0.3">
      <c r="A68" s="657" t="s">
        <v>56</v>
      </c>
      <c r="B68" s="658"/>
      <c r="C68" s="249"/>
      <c r="D68" s="251"/>
      <c r="E68" s="217"/>
      <c r="F68" s="250"/>
      <c r="G68" s="251"/>
      <c r="H68" s="217"/>
      <c r="I68" s="217"/>
      <c r="J68" s="217"/>
      <c r="K68" s="217"/>
      <c r="L68" s="252"/>
      <c r="M68" s="252"/>
      <c r="N68" s="252"/>
      <c r="O68" s="222"/>
      <c r="P68" s="802" t="s">
        <v>56</v>
      </c>
      <c r="Q68" s="658"/>
      <c r="R68" s="249"/>
      <c r="S68" s="250"/>
      <c r="T68" s="217"/>
      <c r="U68" s="250"/>
      <c r="V68" s="217"/>
      <c r="W68" s="217"/>
      <c r="X68" s="217"/>
      <c r="Y68" s="217"/>
      <c r="Z68" s="252"/>
      <c r="AA68" s="252"/>
      <c r="AB68" s="252"/>
      <c r="AC68" s="252"/>
      <c r="AD68" s="252"/>
      <c r="AE68" s="252"/>
      <c r="AF68" s="342"/>
      <c r="AG68" s="222"/>
      <c r="AH68" s="4"/>
      <c r="AI68" s="702"/>
      <c r="AJ68" s="703"/>
      <c r="AK68" s="663" t="s">
        <v>170</v>
      </c>
      <c r="AL68" s="664"/>
      <c r="AM68" s="54">
        <f t="shared" si="2"/>
        <v>0</v>
      </c>
      <c r="AN68" s="54">
        <f t="shared" si="3"/>
        <v>0</v>
      </c>
      <c r="AO68" s="54">
        <f t="shared" si="6"/>
        <v>0</v>
      </c>
      <c r="AP68" s="55">
        <f t="shared" si="7"/>
        <v>1</v>
      </c>
      <c r="AQ68" s="56">
        <f t="shared" si="8"/>
        <v>193376</v>
      </c>
      <c r="AR68" s="57">
        <f t="shared" si="9"/>
        <v>174038.39999999999</v>
      </c>
      <c r="AS68" s="58">
        <f t="shared" si="4"/>
        <v>193376</v>
      </c>
      <c r="AT68" s="59">
        <f t="shared" si="5"/>
        <v>174038.39999999999</v>
      </c>
      <c r="AU68" s="665"/>
      <c r="AV68" s="665"/>
      <c r="AW68" s="665"/>
      <c r="AX68" s="665"/>
      <c r="AY68" s="665"/>
      <c r="AZ68" s="666">
        <f>SUM(AN58+AN73)</f>
        <v>0</v>
      </c>
      <c r="BA68" s="666"/>
      <c r="BB68" s="666"/>
      <c r="BC68" s="656">
        <f>AQ58+AQ73</f>
        <v>2012876</v>
      </c>
      <c r="BD68" s="656"/>
      <c r="BE68" s="655"/>
    </row>
    <row r="69" spans="1:57" ht="64.5" customHeight="1" x14ac:dyDescent="0.3">
      <c r="A69" s="659"/>
      <c r="B69" s="660"/>
      <c r="C69" s="249"/>
      <c r="D69" s="251"/>
      <c r="E69" s="217"/>
      <c r="F69" s="250"/>
      <c r="G69" s="251"/>
      <c r="H69" s="217"/>
      <c r="I69" s="217"/>
      <c r="J69" s="217"/>
      <c r="K69" s="217"/>
      <c r="L69" s="253"/>
      <c r="M69" s="253"/>
      <c r="N69" s="253"/>
      <c r="O69" s="222"/>
      <c r="P69" s="803"/>
      <c r="Q69" s="660"/>
      <c r="R69" s="249"/>
      <c r="S69" s="250"/>
      <c r="T69" s="217"/>
      <c r="U69" s="250"/>
      <c r="V69" s="217"/>
      <c r="W69" s="217"/>
      <c r="X69" s="217"/>
      <c r="Y69" s="217"/>
      <c r="Z69" s="253"/>
      <c r="AA69" s="253"/>
      <c r="AB69" s="253"/>
      <c r="AC69" s="347"/>
      <c r="AD69" s="347"/>
      <c r="AE69" s="252"/>
      <c r="AF69" s="343"/>
      <c r="AG69" s="222"/>
      <c r="AH69" s="4"/>
      <c r="AI69" s="702"/>
      <c r="AJ69" s="703"/>
      <c r="AK69" s="673" t="s">
        <v>176</v>
      </c>
      <c r="AL69" s="674"/>
      <c r="AM69" s="54">
        <f t="shared" si="2"/>
        <v>0</v>
      </c>
      <c r="AN69" s="54">
        <f t="shared" si="3"/>
        <v>0</v>
      </c>
      <c r="AO69" s="54">
        <f t="shared" si="6"/>
        <v>0</v>
      </c>
      <c r="AP69" s="55">
        <f t="shared" si="7"/>
        <v>1</v>
      </c>
      <c r="AQ69" s="56">
        <f t="shared" si="8"/>
        <v>71500</v>
      </c>
      <c r="AR69" s="57">
        <f t="shared" si="9"/>
        <v>64350</v>
      </c>
      <c r="AS69" s="58">
        <f t="shared" si="4"/>
        <v>71500</v>
      </c>
      <c r="AT69" s="59">
        <f t="shared" si="5"/>
        <v>64350</v>
      </c>
      <c r="AU69" s="74"/>
      <c r="AV69" s="69"/>
      <c r="AW69" s="69"/>
      <c r="AX69" s="69"/>
      <c r="AY69" s="70"/>
      <c r="AZ69" s="75"/>
      <c r="BA69" s="76"/>
      <c r="BB69" s="76"/>
      <c r="BC69" s="68"/>
      <c r="BD69" s="68"/>
      <c r="BE69" s="67"/>
    </row>
    <row r="70" spans="1:57" ht="64.5" customHeight="1" thickBot="1" x14ac:dyDescent="0.35">
      <c r="A70" s="659"/>
      <c r="B70" s="660"/>
      <c r="C70" s="249"/>
      <c r="D70" s="251"/>
      <c r="E70" s="217"/>
      <c r="F70" s="250"/>
      <c r="G70" s="251"/>
      <c r="H70" s="217"/>
      <c r="I70" s="217"/>
      <c r="J70" s="217"/>
      <c r="K70" s="217"/>
      <c r="L70" s="254"/>
      <c r="M70" s="254"/>
      <c r="N70" s="254"/>
      <c r="O70" s="222"/>
      <c r="P70" s="803"/>
      <c r="Q70" s="660"/>
      <c r="R70" s="249"/>
      <c r="S70" s="250"/>
      <c r="T70" s="217"/>
      <c r="U70" s="250"/>
      <c r="V70" s="217"/>
      <c r="W70" s="217"/>
      <c r="X70" s="217"/>
      <c r="Y70" s="217"/>
      <c r="Z70" s="254"/>
      <c r="AA70" s="254"/>
      <c r="AB70" s="254"/>
      <c r="AC70" s="252"/>
      <c r="AD70" s="252"/>
      <c r="AE70" s="252"/>
      <c r="AF70" s="344"/>
      <c r="AG70" s="222"/>
      <c r="AH70" s="4"/>
      <c r="AI70" s="702"/>
      <c r="AJ70" s="703"/>
      <c r="AK70" s="673" t="s">
        <v>177</v>
      </c>
      <c r="AL70" s="674"/>
      <c r="AM70" s="54">
        <f t="shared" si="2"/>
        <v>0</v>
      </c>
      <c r="AN70" s="54">
        <f t="shared" si="3"/>
        <v>0</v>
      </c>
      <c r="AO70" s="54">
        <f t="shared" si="6"/>
        <v>0</v>
      </c>
      <c r="AP70" s="55">
        <f t="shared" si="7"/>
        <v>1</v>
      </c>
      <c r="AQ70" s="56">
        <f t="shared" si="8"/>
        <v>143000</v>
      </c>
      <c r="AR70" s="57">
        <f t="shared" si="9"/>
        <v>128700</v>
      </c>
      <c r="AS70" s="58">
        <f t="shared" si="4"/>
        <v>143000</v>
      </c>
      <c r="AT70" s="59">
        <f t="shared" si="5"/>
        <v>128700</v>
      </c>
      <c r="AU70" s="60"/>
      <c r="AV70" s="61"/>
      <c r="AW70" s="61"/>
      <c r="AX70" s="61"/>
      <c r="AY70" s="62"/>
      <c r="AZ70" s="77"/>
      <c r="BA70" s="63"/>
      <c r="BB70" s="63"/>
      <c r="BC70" s="64"/>
      <c r="BD70" s="64"/>
      <c r="BE70" s="65"/>
    </row>
    <row r="71" spans="1:57" ht="64.5" customHeight="1" x14ac:dyDescent="0.3">
      <c r="A71" s="659"/>
      <c r="B71" s="660"/>
      <c r="C71" s="249"/>
      <c r="D71" s="251"/>
      <c r="E71" s="217"/>
      <c r="F71" s="250"/>
      <c r="G71" s="251"/>
      <c r="H71" s="217"/>
      <c r="I71" s="217"/>
      <c r="J71" s="217"/>
      <c r="K71" s="217"/>
      <c r="L71" s="254"/>
      <c r="M71" s="254"/>
      <c r="N71" s="254"/>
      <c r="O71" s="222"/>
      <c r="P71" s="803"/>
      <c r="Q71" s="660"/>
      <c r="R71" s="249"/>
      <c r="S71" s="250"/>
      <c r="T71" s="217"/>
      <c r="U71" s="250"/>
      <c r="V71" s="217"/>
      <c r="W71" s="217"/>
      <c r="X71" s="217"/>
      <c r="Y71" s="217"/>
      <c r="Z71" s="254"/>
      <c r="AA71" s="254"/>
      <c r="AB71" s="254"/>
      <c r="AC71" s="252"/>
      <c r="AD71" s="252"/>
      <c r="AE71" s="252"/>
      <c r="AF71" s="344"/>
      <c r="AG71" s="222"/>
      <c r="AH71" s="4"/>
      <c r="AI71" s="702"/>
      <c r="AJ71" s="703"/>
      <c r="AK71" s="673"/>
      <c r="AL71" s="674"/>
      <c r="AM71" s="54"/>
      <c r="AN71" s="54"/>
      <c r="AO71" s="54"/>
      <c r="AP71" s="55"/>
      <c r="AQ71" s="56"/>
      <c r="AR71" s="57"/>
      <c r="AS71" s="58"/>
      <c r="AT71" s="66"/>
      <c r="AU71" s="667" t="s">
        <v>66</v>
      </c>
      <c r="AV71" s="668"/>
      <c r="AW71" s="668"/>
      <c r="AX71" s="668"/>
      <c r="AY71" s="669"/>
      <c r="AZ71" s="670">
        <f>SUM(BC55)</f>
        <v>8000</v>
      </c>
      <c r="BA71" s="671"/>
      <c r="BB71" s="671"/>
      <c r="BC71" s="671"/>
      <c r="BD71" s="671"/>
      <c r="BE71" s="672"/>
    </row>
    <row r="72" spans="1:57" ht="64.5" customHeight="1" x14ac:dyDescent="0.3">
      <c r="A72" s="659"/>
      <c r="B72" s="660"/>
      <c r="C72" s="249"/>
      <c r="D72" s="251"/>
      <c r="E72" s="217"/>
      <c r="F72" s="250"/>
      <c r="G72" s="251"/>
      <c r="H72" s="217"/>
      <c r="I72" s="217"/>
      <c r="J72" s="217"/>
      <c r="K72" s="217"/>
      <c r="L72" s="252"/>
      <c r="M72" s="252"/>
      <c r="N72" s="252"/>
      <c r="O72" s="222"/>
      <c r="P72" s="803"/>
      <c r="Q72" s="660"/>
      <c r="R72" s="249"/>
      <c r="S72" s="250"/>
      <c r="T72" s="217"/>
      <c r="U72" s="250"/>
      <c r="V72" s="217"/>
      <c r="W72" s="217"/>
      <c r="X72" s="217"/>
      <c r="Y72" s="217"/>
      <c r="Z72" s="252"/>
      <c r="AA72" s="252"/>
      <c r="AB72" s="252"/>
      <c r="AC72" s="252"/>
      <c r="AD72" s="252"/>
      <c r="AE72" s="252"/>
      <c r="AF72" s="342"/>
      <c r="AG72" s="222"/>
      <c r="AH72" s="4"/>
      <c r="AI72" s="704"/>
      <c r="AJ72" s="705"/>
      <c r="AK72" s="677"/>
      <c r="AL72" s="683"/>
      <c r="AM72" s="54">
        <f>COUNTIF($R$8:$R$73, $AK72)</f>
        <v>0</v>
      </c>
      <c r="AN72" s="54">
        <f>SUMIF($R$8:$R$73, $AK72, $Z$8:$Z$73)+SUMIF($R$8:$R$73, $AK72, $AB$8:$AB$73)+SUMIF($R$8:$R$73, $AK72, $AA$8:$AA$73)+SUMIF($R$8:$R$73, $AK72, $AE$8:$AE$73)</f>
        <v>0</v>
      </c>
      <c r="AO72" s="54"/>
      <c r="AP72" s="55">
        <f>COUNTIF($C$8:$C$73, $AK72)</f>
        <v>0</v>
      </c>
      <c r="AQ72" s="56">
        <f>SUMIF($C$8:$C$72, $AK72, $L$8:$L$72)+SUMIF($C$8:$C$72, $AK72, $M$8:$M$72)+SUMIF($C$8:$C$72, $AK72, $N$8:$N$72)+SUMIF($C$8:$C$72, $AK72, $O$8:$O$72)</f>
        <v>0</v>
      </c>
      <c r="AR72" s="57"/>
      <c r="AS72" s="58">
        <f>SUM(AN72+AQ72)</f>
        <v>0</v>
      </c>
      <c r="AT72" s="66">
        <f>AO72+AR72</f>
        <v>0</v>
      </c>
      <c r="AU72" s="684" t="s">
        <v>57</v>
      </c>
      <c r="AV72" s="685"/>
      <c r="AW72" s="685"/>
      <c r="AX72" s="685"/>
      <c r="AY72" s="686"/>
      <c r="AZ72" s="687">
        <f>BD16</f>
        <v>2020876</v>
      </c>
      <c r="BA72" s="688"/>
      <c r="BB72" s="688"/>
      <c r="BC72" s="688"/>
      <c r="BD72" s="688"/>
      <c r="BE72" s="689"/>
    </row>
    <row r="73" spans="1:57" ht="64.5" customHeight="1" thickBot="1" x14ac:dyDescent="0.35">
      <c r="A73" s="659"/>
      <c r="B73" s="660"/>
      <c r="C73" s="255"/>
      <c r="D73" s="231"/>
      <c r="E73" s="215"/>
      <c r="F73" s="256"/>
      <c r="G73" s="231"/>
      <c r="H73" s="215"/>
      <c r="I73" s="215"/>
      <c r="J73" s="215"/>
      <c r="K73" s="215"/>
      <c r="L73" s="257"/>
      <c r="M73" s="257"/>
      <c r="N73" s="257"/>
      <c r="O73" s="223"/>
      <c r="P73" s="803"/>
      <c r="Q73" s="660"/>
      <c r="R73" s="230"/>
      <c r="S73" s="231"/>
      <c r="T73" s="215"/>
      <c r="U73" s="231"/>
      <c r="V73" s="215"/>
      <c r="W73" s="215"/>
      <c r="X73" s="233"/>
      <c r="Y73" s="237"/>
      <c r="Z73" s="257"/>
      <c r="AA73" s="257"/>
      <c r="AB73" s="257"/>
      <c r="AC73" s="257"/>
      <c r="AD73" s="257"/>
      <c r="AE73" s="346"/>
      <c r="AF73" s="340"/>
      <c r="AG73" s="226"/>
      <c r="AH73" s="4"/>
      <c r="AI73" s="690" t="s">
        <v>25</v>
      </c>
      <c r="AJ73" s="691"/>
      <c r="AK73" s="17"/>
      <c r="AL73" s="17"/>
      <c r="AM73" s="18">
        <f t="shared" ref="AM73:AT73" si="10">SUM(AM60:AM72)</f>
        <v>0</v>
      </c>
      <c r="AN73" s="19">
        <f t="shared" si="10"/>
        <v>0</v>
      </c>
      <c r="AO73" s="20">
        <f t="shared" si="10"/>
        <v>0</v>
      </c>
      <c r="AP73" s="21">
        <f t="shared" si="10"/>
        <v>32</v>
      </c>
      <c r="AQ73" s="22">
        <f t="shared" si="10"/>
        <v>2012876</v>
      </c>
      <c r="AR73" s="23">
        <f t="shared" si="10"/>
        <v>1811588.4</v>
      </c>
      <c r="AS73" s="24">
        <f t="shared" si="10"/>
        <v>2012876</v>
      </c>
      <c r="AT73" s="25">
        <f t="shared" si="10"/>
        <v>1811588.4</v>
      </c>
      <c r="AU73" s="692" t="s">
        <v>58</v>
      </c>
      <c r="AV73" s="693"/>
      <c r="AW73" s="693"/>
      <c r="AX73" s="693"/>
      <c r="AY73" s="694"/>
      <c r="AZ73" s="695">
        <f>AS58+AT73</f>
        <v>1811588.4</v>
      </c>
      <c r="BA73" s="696"/>
      <c r="BB73" s="696"/>
      <c r="BC73" s="696"/>
      <c r="BD73" s="696"/>
      <c r="BE73" s="697"/>
    </row>
    <row r="74" spans="1:57" ht="64.5" customHeight="1" x14ac:dyDescent="0.3">
      <c r="A74" s="659"/>
      <c r="B74" s="660"/>
      <c r="C74" s="256"/>
      <c r="D74" s="251"/>
      <c r="E74" s="217"/>
      <c r="F74" s="250"/>
      <c r="G74" s="251"/>
      <c r="H74" s="217"/>
      <c r="I74" s="217"/>
      <c r="J74" s="217"/>
      <c r="K74" s="217"/>
      <c r="L74" s="254"/>
      <c r="M74" s="254"/>
      <c r="N74" s="254"/>
      <c r="O74" s="224"/>
      <c r="P74" s="803"/>
      <c r="Q74" s="660"/>
      <c r="R74" s="250"/>
      <c r="S74" s="250"/>
      <c r="T74" s="217"/>
      <c r="U74" s="250"/>
      <c r="V74" s="217"/>
      <c r="W74" s="217"/>
      <c r="X74" s="217"/>
      <c r="Y74" s="217"/>
      <c r="Z74" s="254"/>
      <c r="AA74" s="254"/>
      <c r="AB74" s="254"/>
      <c r="AC74" s="254"/>
      <c r="AD74" s="254"/>
      <c r="AE74" s="234"/>
      <c r="AF74" s="344"/>
      <c r="AG74" s="218"/>
      <c r="AH74" s="4"/>
      <c r="AI74" s="682"/>
      <c r="AJ74" s="682"/>
      <c r="AK74" s="4"/>
      <c r="AL74" s="26"/>
      <c r="AM74" s="26"/>
      <c r="AN74" s="26"/>
      <c r="AO74" s="26"/>
      <c r="AP74" s="26"/>
      <c r="AQ74" s="26"/>
      <c r="AR74" s="2"/>
      <c r="AS74" s="26"/>
      <c r="AT74" s="26"/>
      <c r="AU74" s="26"/>
      <c r="AV74" s="26"/>
      <c r="AW74" s="26"/>
      <c r="AX74" s="26"/>
      <c r="AY74" s="4"/>
      <c r="AZ74" s="4"/>
      <c r="BA74" s="4"/>
      <c r="BB74" s="4"/>
      <c r="BC74" s="4"/>
      <c r="BD74" s="4"/>
      <c r="BE74" s="4"/>
    </row>
    <row r="75" spans="1:57" ht="64.5" customHeight="1" x14ac:dyDescent="0.3">
      <c r="A75" s="659"/>
      <c r="B75" s="660"/>
      <c r="C75" s="230"/>
      <c r="D75" s="251"/>
      <c r="E75" s="217"/>
      <c r="F75" s="250"/>
      <c r="G75" s="251"/>
      <c r="H75" s="217"/>
      <c r="I75" s="217"/>
      <c r="J75" s="217"/>
      <c r="K75" s="217"/>
      <c r="L75" s="254"/>
      <c r="M75" s="254"/>
      <c r="N75" s="254"/>
      <c r="O75" s="224"/>
      <c r="P75" s="803"/>
      <c r="Q75" s="660"/>
      <c r="R75" s="250"/>
      <c r="S75" s="250"/>
      <c r="T75" s="217"/>
      <c r="U75" s="250"/>
      <c r="V75" s="217"/>
      <c r="W75" s="217"/>
      <c r="X75" s="217"/>
      <c r="Y75" s="217"/>
      <c r="Z75" s="254"/>
      <c r="AA75" s="254"/>
      <c r="AB75" s="254"/>
      <c r="AC75" s="254"/>
      <c r="AD75" s="254"/>
      <c r="AE75" s="234"/>
      <c r="AF75" s="344"/>
      <c r="AG75" s="218"/>
      <c r="AH75" s="4"/>
      <c r="AI75" s="78"/>
      <c r="AJ75" s="78"/>
      <c r="AK75" s="4"/>
      <c r="AL75" s="26"/>
      <c r="AM75" s="26"/>
      <c r="AN75" s="26"/>
      <c r="AO75" s="26"/>
      <c r="AP75" s="26"/>
      <c r="AQ75" s="26"/>
      <c r="AR75" s="2"/>
      <c r="AS75" s="26"/>
      <c r="AT75" s="26"/>
      <c r="AU75" s="26"/>
      <c r="AV75" s="26"/>
      <c r="AW75" s="26"/>
      <c r="AX75" s="26"/>
      <c r="AY75" s="4"/>
      <c r="AZ75" s="4"/>
      <c r="BA75" s="4"/>
      <c r="BB75" s="4"/>
      <c r="BC75" s="4"/>
      <c r="BD75" s="4"/>
      <c r="BE75" s="4"/>
    </row>
    <row r="76" spans="1:57" ht="64.5" customHeight="1" thickBot="1" x14ac:dyDescent="0.35">
      <c r="A76" s="661"/>
      <c r="B76" s="662"/>
      <c r="C76" s="258"/>
      <c r="D76" s="247"/>
      <c r="E76" s="216"/>
      <c r="F76" s="247"/>
      <c r="G76" s="247"/>
      <c r="H76" s="216"/>
      <c r="I76" s="216"/>
      <c r="J76" s="216"/>
      <c r="K76" s="216"/>
      <c r="L76" s="248"/>
      <c r="M76" s="248"/>
      <c r="N76" s="248"/>
      <c r="O76" s="221"/>
      <c r="P76" s="804"/>
      <c r="Q76" s="662"/>
      <c r="R76" s="246"/>
      <c r="S76" s="247"/>
      <c r="T76" s="216"/>
      <c r="U76" s="247"/>
      <c r="V76" s="216"/>
      <c r="W76" s="216"/>
      <c r="X76" s="247"/>
      <c r="Y76" s="259"/>
      <c r="Z76" s="248"/>
      <c r="AA76" s="248"/>
      <c r="AB76" s="248"/>
      <c r="AC76" s="248"/>
      <c r="AD76" s="248"/>
      <c r="AE76" s="260"/>
      <c r="AF76" s="341"/>
      <c r="AG76" s="227"/>
      <c r="AH76" s="4"/>
      <c r="AI76" s="78"/>
      <c r="AJ76" s="78"/>
      <c r="AK76" s="4"/>
      <c r="AL76" s="26"/>
      <c r="AM76" s="26"/>
      <c r="AN76" s="26"/>
      <c r="AO76" s="26"/>
      <c r="AP76" s="26"/>
      <c r="AQ76" s="26"/>
      <c r="AR76" s="2"/>
      <c r="AS76" s="26"/>
      <c r="AT76" s="26"/>
      <c r="AU76" s="26"/>
      <c r="AV76" s="26"/>
      <c r="AW76" s="26"/>
      <c r="AX76" s="26"/>
      <c r="AY76" s="4"/>
      <c r="AZ76" s="4"/>
      <c r="BA76" s="4"/>
      <c r="BB76" s="4"/>
      <c r="BC76" s="4"/>
      <c r="BD76" s="4"/>
      <c r="BE76" s="4"/>
    </row>
    <row r="77" spans="1:57" ht="60" customHeight="1" x14ac:dyDescent="0.3">
      <c r="AH77" s="4"/>
      <c r="AI77" s="78"/>
      <c r="AJ77" s="78"/>
      <c r="AK77" s="4"/>
      <c r="AL77" s="26"/>
      <c r="AM77" s="26"/>
      <c r="AN77" s="26"/>
      <c r="AO77" s="26"/>
      <c r="AP77" s="26"/>
      <c r="AQ77" s="26"/>
      <c r="AR77" s="2"/>
      <c r="AS77" s="26"/>
      <c r="AT77" s="26"/>
      <c r="AU77" s="26"/>
      <c r="AV77" s="26"/>
      <c r="AW77" s="26"/>
      <c r="AX77" s="26"/>
      <c r="AY77" s="4"/>
      <c r="AZ77" s="4"/>
      <c r="BA77" s="4"/>
      <c r="BB77" s="4"/>
      <c r="BC77" s="4"/>
      <c r="BD77" s="4"/>
      <c r="BE77" s="4"/>
    </row>
    <row r="78" spans="1:57" ht="60" customHeight="1" x14ac:dyDescent="0.3">
      <c r="AH78" s="4"/>
      <c r="AI78" s="2"/>
      <c r="AJ78" s="27"/>
      <c r="AK78" s="27"/>
      <c r="AL78" s="26"/>
      <c r="AM78" s="26"/>
      <c r="AN78" s="26"/>
      <c r="AO78" s="27"/>
      <c r="AP78" s="26"/>
      <c r="AQ78" s="26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 ht="24" customHeight="1" x14ac:dyDescent="0.3"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 ht="84" customHeight="1" x14ac:dyDescent="0.3"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34:57" ht="60" customHeight="1" x14ac:dyDescent="0.3"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34:57" ht="60" customHeight="1" x14ac:dyDescent="0.3"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34:57" ht="60" customHeight="1" x14ac:dyDescent="0.3"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34:57" ht="60" customHeight="1" x14ac:dyDescent="0.3"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34:57" ht="60" customHeight="1" x14ac:dyDescent="0.3"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34:57" ht="60" customHeight="1" x14ac:dyDescent="0.3"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34:57" ht="60" customHeight="1" x14ac:dyDescent="0.3"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34:57" ht="60" customHeight="1" x14ac:dyDescent="0.3"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34:57" ht="60" customHeight="1" x14ac:dyDescent="0.3"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</sheetData>
  <sheetProtection formatCells="0" formatColumns="0" formatRows="0" insertColumns="0" insertRows="0" deleteColumns="0" deleteRows="0"/>
  <autoFilter ref="R7:R67" xr:uid="{00000000-0009-0000-0000-00001D000000}"/>
  <mergeCells count="307">
    <mergeCell ref="AI73:AJ73"/>
    <mergeCell ref="AU73:AY73"/>
    <mergeCell ref="AZ73:BE73"/>
    <mergeCell ref="AI74:AJ74"/>
    <mergeCell ref="AK68:AL68"/>
    <mergeCell ref="AU68:AY68"/>
    <mergeCell ref="BC68:BE68"/>
    <mergeCell ref="AK69:AL69"/>
    <mergeCell ref="AK70:AL70"/>
    <mergeCell ref="AK71:AL71"/>
    <mergeCell ref="AU71:AY71"/>
    <mergeCell ref="AZ71:BE71"/>
    <mergeCell ref="AK61:AL61"/>
    <mergeCell ref="AW61:BA61"/>
    <mergeCell ref="AK72:AL72"/>
    <mergeCell ref="AU72:AY72"/>
    <mergeCell ref="AZ72:BE72"/>
    <mergeCell ref="AZ67:BB67"/>
    <mergeCell ref="BB64:BE64"/>
    <mergeCell ref="AK65:AL65"/>
    <mergeCell ref="AW65:BA65"/>
    <mergeCell ref="BB65:BE65"/>
    <mergeCell ref="AK66:AL66"/>
    <mergeCell ref="AK67:AL67"/>
    <mergeCell ref="BC67:BE67"/>
    <mergeCell ref="BB61:BE61"/>
    <mergeCell ref="AK62:AL62"/>
    <mergeCell ref="AW62:BA62"/>
    <mergeCell ref="BB62:BE62"/>
    <mergeCell ref="AK63:AL63"/>
    <mergeCell ref="AW63:BA63"/>
    <mergeCell ref="BB63:BE63"/>
    <mergeCell ref="AI53:AJ55"/>
    <mergeCell ref="AK56:AL56"/>
    <mergeCell ref="AN56:AO56"/>
    <mergeCell ref="AK54:AL54"/>
    <mergeCell ref="AN54:AO54"/>
    <mergeCell ref="AK53:AL53"/>
    <mergeCell ref="AN53:AO53"/>
    <mergeCell ref="AK55:AL55"/>
    <mergeCell ref="AN55:AO55"/>
    <mergeCell ref="BC53:BE53"/>
    <mergeCell ref="AQ54:AR54"/>
    <mergeCell ref="AS54:AT54"/>
    <mergeCell ref="AW54:AZ54"/>
    <mergeCell ref="BA54:BB54"/>
    <mergeCell ref="BC54:BE54"/>
    <mergeCell ref="BC51:BE52"/>
    <mergeCell ref="AQ52:AR52"/>
    <mergeCell ref="AW52:AZ52"/>
    <mergeCell ref="BA52:BB52"/>
    <mergeCell ref="AQ53:AR53"/>
    <mergeCell ref="AS53:AT53"/>
    <mergeCell ref="AU53:AV55"/>
    <mergeCell ref="AW53:AZ53"/>
    <mergeCell ref="BA53:BB53"/>
    <mergeCell ref="AQ55:AR55"/>
    <mergeCell ref="AS55:AT55"/>
    <mergeCell ref="AW55:AZ55"/>
    <mergeCell ref="BA55:BB55"/>
    <mergeCell ref="BC55:BE55"/>
    <mergeCell ref="AX31:AY31"/>
    <mergeCell ref="AZ31:BA31"/>
    <mergeCell ref="AI51:AJ52"/>
    <mergeCell ref="AK51:AL51"/>
    <mergeCell ref="AP51:AR51"/>
    <mergeCell ref="AS51:AT52"/>
    <mergeCell ref="AU51:AV52"/>
    <mergeCell ref="AW51:BB51"/>
    <mergeCell ref="AJ30:AK30"/>
    <mergeCell ref="AL30:AM30"/>
    <mergeCell ref="AN30:AO30"/>
    <mergeCell ref="AS30:AT30"/>
    <mergeCell ref="AX30:AY30"/>
    <mergeCell ref="AZ30:BA30"/>
    <mergeCell ref="AK52:AL52"/>
    <mergeCell ref="AN52:AO52"/>
    <mergeCell ref="AU31:AV31"/>
    <mergeCell ref="AM51:AO51"/>
    <mergeCell ref="AJ31:AK31"/>
    <mergeCell ref="AP31:AQ31"/>
    <mergeCell ref="AL31:AM31"/>
    <mergeCell ref="AN31:AO31"/>
    <mergeCell ref="AS31:AT31"/>
    <mergeCell ref="AP30:AQ30"/>
    <mergeCell ref="AZ28:BA28"/>
    <mergeCell ref="AJ29:AK29"/>
    <mergeCell ref="AL29:AM29"/>
    <mergeCell ref="AN29:AO29"/>
    <mergeCell ref="AS29:AT29"/>
    <mergeCell ref="AX29:AY29"/>
    <mergeCell ref="AZ29:BA29"/>
    <mergeCell ref="AJ27:AO27"/>
    <mergeCell ref="AJ28:AK28"/>
    <mergeCell ref="AL28:AM28"/>
    <mergeCell ref="AN28:AO28"/>
    <mergeCell ref="AS28:AT28"/>
    <mergeCell ref="AX28:AY28"/>
    <mergeCell ref="AU29:AV29"/>
    <mergeCell ref="AX23:AY23"/>
    <mergeCell ref="AZ23:BA23"/>
    <mergeCell ref="AX24:AY24"/>
    <mergeCell ref="AZ24:BA24"/>
    <mergeCell ref="AI25:AJ25"/>
    <mergeCell ref="AN25:AO25"/>
    <mergeCell ref="AP25:AQ25"/>
    <mergeCell ref="AR25:AS25"/>
    <mergeCell ref="AV25:AW25"/>
    <mergeCell ref="AX25:AY25"/>
    <mergeCell ref="AZ25:BA25"/>
    <mergeCell ref="AL24:AM24"/>
    <mergeCell ref="AN24:AO24"/>
    <mergeCell ref="AP24:AQ24"/>
    <mergeCell ref="AR24:AS24"/>
    <mergeCell ref="AT24:AU24"/>
    <mergeCell ref="AV24:AW24"/>
    <mergeCell ref="AI15:AJ15"/>
    <mergeCell ref="AX19:AY19"/>
    <mergeCell ref="AZ19:BA19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16:BC16"/>
    <mergeCell ref="BD16:BE16"/>
    <mergeCell ref="AI18:AJ24"/>
    <mergeCell ref="AK18:AK19"/>
    <mergeCell ref="AL18:AO18"/>
    <mergeCell ref="AP18:AS18"/>
    <mergeCell ref="AT18:AW18"/>
    <mergeCell ref="AX18:BA18"/>
    <mergeCell ref="AL19:AM19"/>
    <mergeCell ref="AT21:AU21"/>
    <mergeCell ref="AV21:AW21"/>
    <mergeCell ref="AX21:AY21"/>
    <mergeCell ref="AZ21:BA21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L23:AM23"/>
    <mergeCell ref="AN23:AO23"/>
    <mergeCell ref="AP23:AQ23"/>
    <mergeCell ref="BD14:BE14"/>
    <mergeCell ref="AL15:AM15"/>
    <mergeCell ref="AN15:AO15"/>
    <mergeCell ref="AP15:AQ15"/>
    <mergeCell ref="AR15:AS15"/>
    <mergeCell ref="AV15:AW15"/>
    <mergeCell ref="AX15:AY15"/>
    <mergeCell ref="AZ15:BA15"/>
    <mergeCell ref="BB15:BC15"/>
    <mergeCell ref="BD15:BE15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2:BE12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AT8:AW8"/>
    <mergeCell ref="AX8:BA8"/>
    <mergeCell ref="BB8:BE8"/>
    <mergeCell ref="AL9:AM9"/>
    <mergeCell ref="AP9:AQ9"/>
    <mergeCell ref="AR9:AS9"/>
    <mergeCell ref="AT9:AU9"/>
    <mergeCell ref="AV9:AW9"/>
    <mergeCell ref="AX9:AY9"/>
    <mergeCell ref="AZ9:BA9"/>
    <mergeCell ref="BB9:BC9"/>
    <mergeCell ref="BD9:BE9"/>
    <mergeCell ref="A68:B76"/>
    <mergeCell ref="P68:Q76"/>
    <mergeCell ref="AZ68:BB68"/>
    <mergeCell ref="AK64:AL64"/>
    <mergeCell ref="AU64:AV65"/>
    <mergeCell ref="AW64:BA64"/>
    <mergeCell ref="AN57:AO57"/>
    <mergeCell ref="AN58:AO58"/>
    <mergeCell ref="AI58:AL58"/>
    <mergeCell ref="AQ58:AR58"/>
    <mergeCell ref="AK57:AL57"/>
    <mergeCell ref="AI56:AJ57"/>
    <mergeCell ref="AQ56:AR56"/>
    <mergeCell ref="AS56:AT56"/>
    <mergeCell ref="AQ57:AR57"/>
    <mergeCell ref="AS57:AT57"/>
    <mergeCell ref="AS58:AT58"/>
    <mergeCell ref="AI59:AJ72"/>
    <mergeCell ref="AU59:AV63"/>
    <mergeCell ref="AW59:BA59"/>
    <mergeCell ref="BB59:BE59"/>
    <mergeCell ref="AK60:AL60"/>
    <mergeCell ref="AW60:BA60"/>
    <mergeCell ref="BB60:BE60"/>
    <mergeCell ref="AU30:AV30"/>
    <mergeCell ref="AP29:AQ29"/>
    <mergeCell ref="AP28:AQ28"/>
    <mergeCell ref="AU28:AV28"/>
    <mergeCell ref="AL21:AM21"/>
    <mergeCell ref="AN21:AO21"/>
    <mergeCell ref="AP21:AQ21"/>
    <mergeCell ref="AR21:AS21"/>
    <mergeCell ref="AP19:AQ19"/>
    <mergeCell ref="AR19:AS19"/>
    <mergeCell ref="AT19:AU19"/>
    <mergeCell ref="AV19:AW19"/>
    <mergeCell ref="AR23:AS23"/>
    <mergeCell ref="AT23:AU23"/>
    <mergeCell ref="AV23:AW23"/>
    <mergeCell ref="AI8:AJ14"/>
    <mergeCell ref="AK8:AK9"/>
    <mergeCell ref="AL8:AO8"/>
    <mergeCell ref="AP8:AS8"/>
    <mergeCell ref="Y5:Z5"/>
    <mergeCell ref="A6:B6"/>
    <mergeCell ref="K6:L6"/>
    <mergeCell ref="N6:O6"/>
    <mergeCell ref="P6:Q6"/>
    <mergeCell ref="U6:V6"/>
    <mergeCell ref="W6:X6"/>
    <mergeCell ref="Y6:Z6"/>
    <mergeCell ref="A5:B5"/>
    <mergeCell ref="K5:L5"/>
    <mergeCell ref="N5:O5"/>
    <mergeCell ref="P5:Q5"/>
    <mergeCell ref="U5:V5"/>
    <mergeCell ref="W5:X5"/>
    <mergeCell ref="AL5:AP5"/>
    <mergeCell ref="AL6:AP6"/>
    <mergeCell ref="AL7:AM7"/>
    <mergeCell ref="AN7:AP7"/>
    <mergeCell ref="AL10:AM10"/>
    <mergeCell ref="AN10:AO10"/>
    <mergeCell ref="H3:L3"/>
    <mergeCell ref="N3:O3"/>
    <mergeCell ref="A4:M4"/>
    <mergeCell ref="AS2:AY2"/>
    <mergeCell ref="BA2:BE2"/>
    <mergeCell ref="N2:O2"/>
    <mergeCell ref="Z2:Z3"/>
    <mergeCell ref="AB3:AG3"/>
    <mergeCell ref="A1:O1"/>
    <mergeCell ref="P1:R3"/>
    <mergeCell ref="S1:Y3"/>
    <mergeCell ref="A2:B3"/>
    <mergeCell ref="C2:F3"/>
    <mergeCell ref="G2:G3"/>
    <mergeCell ref="H2:L2"/>
    <mergeCell ref="M2:M3"/>
    <mergeCell ref="P4:AE4"/>
    <mergeCell ref="AL4:AP4"/>
    <mergeCell ref="AA1:AG1"/>
    <mergeCell ref="AI1:BE1"/>
    <mergeCell ref="AB2:AG2"/>
    <mergeCell ref="AI2:AK2"/>
    <mergeCell ref="AL2:AO2"/>
    <mergeCell ref="AP2:AR2"/>
  </mergeCells>
  <phoneticPr fontId="2" type="noConversion"/>
  <conditionalFormatting sqref="C8:C67">
    <cfRule type="cellIs" dxfId="61" priority="1" operator="equal">
      <formula>"여기어때"</formula>
    </cfRule>
    <cfRule type="cellIs" dxfId="60" priority="2" operator="equal">
      <formula>"야놀자"</formula>
    </cfRule>
  </conditionalFormatting>
  <conditionalFormatting sqref="R8:R66">
    <cfRule type="cellIs" dxfId="59" priority="123" operator="equal">
      <formula>"여기어때"</formula>
    </cfRule>
    <cfRule type="cellIs" dxfId="58" priority="124" operator="equal">
      <formula>"야놀자"</formula>
    </cfRule>
  </conditionalFormatting>
  <conditionalFormatting sqref="R73">
    <cfRule type="cellIs" dxfId="57" priority="125" operator="equal">
      <formula>"여기어때"</formula>
    </cfRule>
    <cfRule type="cellIs" dxfId="56" priority="126" operator="equal">
      <formula>"야놀자"</formula>
    </cfRule>
  </conditionalFormatting>
  <conditionalFormatting sqref="AL30:AM30">
    <cfRule type="cellIs" dxfId="55" priority="110" operator="greaterThan">
      <formula>$AL$29</formula>
    </cfRule>
    <cfRule type="cellIs" dxfId="54" priority="118" operator="equal">
      <formula>$AL$29</formula>
    </cfRule>
  </conditionalFormatting>
  <conditionalFormatting sqref="AN30:AO30">
    <cfRule type="cellIs" dxfId="53" priority="109" operator="greaterThan">
      <formula>$AN$29</formula>
    </cfRule>
    <cfRule type="cellIs" dxfId="52" priority="117" operator="equal">
      <formula>$AN$29</formula>
    </cfRule>
  </conditionalFormatting>
  <conditionalFormatting sqref="AP30:AQ30">
    <cfRule type="cellIs" dxfId="51" priority="108" operator="greaterThan">
      <formula>$AP$29</formula>
    </cfRule>
    <cfRule type="cellIs" dxfId="50" priority="116" operator="equal">
      <formula>$AP$29</formula>
    </cfRule>
  </conditionalFormatting>
  <conditionalFormatting sqref="AR30">
    <cfRule type="cellIs" dxfId="49" priority="107" operator="greaterThan">
      <formula>$AR$29</formula>
    </cfRule>
    <cfRule type="cellIs" dxfId="48" priority="115" operator="equal">
      <formula>$AR$29</formula>
    </cfRule>
  </conditionalFormatting>
  <conditionalFormatting sqref="AS30:AT30">
    <cfRule type="cellIs" dxfId="47" priority="106" operator="greaterThan">
      <formula>$AS$29</formula>
    </cfRule>
    <cfRule type="cellIs" dxfId="46" priority="114" operator="equal">
      <formula>$AS$29</formula>
    </cfRule>
  </conditionalFormatting>
  <conditionalFormatting sqref="AU30:AV30">
    <cfRule type="cellIs" dxfId="45" priority="105" operator="greaterThan">
      <formula>$AU$29</formula>
    </cfRule>
    <cfRule type="cellIs" dxfId="44" priority="113" operator="equal">
      <formula>$AU$29</formula>
    </cfRule>
  </conditionalFormatting>
  <conditionalFormatting sqref="AW30">
    <cfRule type="cellIs" dxfId="43" priority="104" operator="greaterThan">
      <formula>$AW$29</formula>
    </cfRule>
    <cfRule type="cellIs" dxfId="42" priority="112" operator="equal">
      <formula>$AW$29</formula>
    </cfRule>
  </conditionalFormatting>
  <conditionalFormatting sqref="AX30:AY30">
    <cfRule type="cellIs" dxfId="41" priority="103" operator="greaterThan">
      <formula>$AX$29</formula>
    </cfRule>
    <cfRule type="cellIs" dxfId="40" priority="111" operator="equal">
      <formula>$AX$29</formula>
    </cfRule>
  </conditionalFormatting>
  <dataValidations count="1">
    <dataValidation type="list" allowBlank="1" showInputMessage="1" showErrorMessage="1" sqref="A8:A67 C68:C73 C75:C76 P8:P67" xr:uid="{BCA76471-619E-4AC1-956A-C9CD25601206}">
      <formula1>#REF!</formula1>
    </dataValidation>
  </dataValidations>
  <printOptions horizontalCentered="1" verticalCentered="1"/>
  <pageMargins left="0.23622047244094491" right="0.23622047244094491" top="0.39370078740157483" bottom="0.39370078740157483" header="0" footer="0"/>
  <pageSetup paperSize="9" scale="10" orientation="portrait" horizontalDpi="4294967293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P34"/>
  <sheetViews>
    <sheetView view="pageBreakPreview" zoomScale="85" zoomScaleNormal="85" zoomScaleSheetLayoutView="85" workbookViewId="0">
      <pane ySplit="3" topLeftCell="A25" activePane="bottomLeft" state="frozen"/>
      <selection activeCell="L27" sqref="L27"/>
      <selection pane="bottomLeft" activeCell="S20" sqref="S20"/>
    </sheetView>
  </sheetViews>
  <sheetFormatPr defaultColWidth="12" defaultRowHeight="17.25" x14ac:dyDescent="0.3"/>
  <cols>
    <col min="1" max="1" width="27.875" style="172" customWidth="1"/>
    <col min="2" max="2" width="17" style="191" customWidth="1"/>
    <col min="3" max="3" width="8" style="191" customWidth="1"/>
    <col min="4" max="10" width="9.125" style="172" customWidth="1"/>
    <col min="11" max="11" width="9.125" style="172" hidden="1" customWidth="1"/>
    <col min="12" max="12" width="9.125" style="172" customWidth="1"/>
    <col min="13" max="13" width="10" style="172" bestFit="1" customWidth="1"/>
    <col min="14" max="14" width="12.125" style="329" customWidth="1"/>
    <col min="15" max="15" width="14.125" style="172" customWidth="1"/>
    <col min="16" max="16" width="14.5" style="172" customWidth="1"/>
    <col min="17" max="16384" width="12" style="172"/>
  </cols>
  <sheetData>
    <row r="1" spans="1:15" ht="45.75" customHeight="1" thickBot="1" x14ac:dyDescent="0.35">
      <c r="A1" s="170" t="s">
        <v>126</v>
      </c>
      <c r="B1" s="171">
        <f ca="1">TODAY()</f>
        <v>45940</v>
      </c>
      <c r="C1" s="903" t="s">
        <v>226</v>
      </c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419"/>
      <c r="O1" s="420"/>
    </row>
    <row r="2" spans="1:15" ht="31.5" customHeight="1" x14ac:dyDescent="0.3">
      <c r="A2" s="909" t="s">
        <v>127</v>
      </c>
      <c r="B2" s="910"/>
      <c r="C2" s="173">
        <v>5</v>
      </c>
      <c r="D2" s="325">
        <v>4</v>
      </c>
      <c r="E2" s="325">
        <v>10</v>
      </c>
      <c r="F2" s="325">
        <v>2</v>
      </c>
      <c r="G2" s="325">
        <v>11</v>
      </c>
      <c r="H2" s="325">
        <v>5</v>
      </c>
      <c r="I2" s="325">
        <v>5</v>
      </c>
      <c r="J2" s="325">
        <v>0</v>
      </c>
      <c r="K2" s="174"/>
      <c r="L2" s="326">
        <v>0</v>
      </c>
      <c r="M2" s="510" t="s">
        <v>162</v>
      </c>
      <c r="N2" s="907" t="s">
        <v>157</v>
      </c>
      <c r="O2" s="175">
        <v>42</v>
      </c>
    </row>
    <row r="3" spans="1:15" ht="27.75" customHeight="1" thickBot="1" x14ac:dyDescent="0.35">
      <c r="A3" s="911" t="s">
        <v>128</v>
      </c>
      <c r="B3" s="912"/>
      <c r="C3" s="176" t="s">
        <v>55</v>
      </c>
      <c r="D3" s="176" t="s">
        <v>158</v>
      </c>
      <c r="E3" s="176" t="s">
        <v>159</v>
      </c>
      <c r="F3" s="176" t="s">
        <v>160</v>
      </c>
      <c r="G3" s="176" t="s">
        <v>167</v>
      </c>
      <c r="H3" s="176" t="s">
        <v>168</v>
      </c>
      <c r="I3" s="176" t="s">
        <v>161</v>
      </c>
      <c r="J3" s="176"/>
      <c r="K3" s="178"/>
      <c r="L3" s="177"/>
      <c r="M3" s="421"/>
      <c r="N3" s="908"/>
      <c r="O3" s="179" t="s">
        <v>129</v>
      </c>
    </row>
    <row r="4" spans="1:15" ht="24" customHeight="1" thickBot="1" x14ac:dyDescent="0.35">
      <c r="A4" s="901">
        <v>45901</v>
      </c>
      <c r="B4" s="902"/>
      <c r="C4" s="180">
        <f>SUM('1'!$AL$30:$AM$30)</f>
        <v>6</v>
      </c>
      <c r="D4" s="180">
        <f>SUM('1'!$AN$30:$AO$30)</f>
        <v>1</v>
      </c>
      <c r="E4" s="180">
        <f>SUM('1'!$AP$30:$AQ$30)</f>
        <v>3</v>
      </c>
      <c r="F4" s="180">
        <f>SUM('1'!$AR$30)</f>
        <v>1</v>
      </c>
      <c r="G4" s="180">
        <f>SUM('1'!$AS$30:$AT$30)</f>
        <v>2</v>
      </c>
      <c r="H4" s="180">
        <f>SUM('1'!$AU$30:$AV$30)</f>
        <v>1</v>
      </c>
      <c r="I4" s="180">
        <f>SUM('1'!$AW$30)</f>
        <v>0</v>
      </c>
      <c r="J4" s="180"/>
      <c r="K4" s="180"/>
      <c r="L4" s="180"/>
      <c r="M4" s="181"/>
      <c r="N4" s="327">
        <f>O4/$O$2</f>
        <v>0.33333333333333331</v>
      </c>
      <c r="O4" s="182">
        <f>SUM(C4:L4)</f>
        <v>14</v>
      </c>
    </row>
    <row r="5" spans="1:15" ht="24" customHeight="1" thickBot="1" x14ac:dyDescent="0.35">
      <c r="A5" s="901">
        <v>45902</v>
      </c>
      <c r="B5" s="902"/>
      <c r="C5" s="180">
        <f>SUM('2'!$AL$30:$AM$30)</f>
        <v>5</v>
      </c>
      <c r="D5" s="180">
        <f>SUM('2'!$AN$30:$AO$30)</f>
        <v>0</v>
      </c>
      <c r="E5" s="180">
        <f>SUM('2'!$AP$30:$AQ$30)</f>
        <v>3</v>
      </c>
      <c r="F5" s="180">
        <f>SUM('2'!$AR$30)</f>
        <v>1</v>
      </c>
      <c r="G5" s="180">
        <f>SUM('2'!$AS$30:$AT$30)</f>
        <v>6</v>
      </c>
      <c r="H5" s="180">
        <f>SUM('2'!$AU$30:$AV$30)</f>
        <v>1</v>
      </c>
      <c r="I5" s="180">
        <f>SUM('2'!$AW$30)</f>
        <v>2</v>
      </c>
      <c r="J5" s="180"/>
      <c r="K5" s="180"/>
      <c r="L5" s="180"/>
      <c r="M5" s="183"/>
      <c r="N5" s="327">
        <f t="shared" ref="N5:N33" si="0">O5/$O$2</f>
        <v>0.42857142857142855</v>
      </c>
      <c r="O5" s="182">
        <f t="shared" ref="O5:O33" si="1">SUM(C5:L5)</f>
        <v>18</v>
      </c>
    </row>
    <row r="6" spans="1:15" ht="24" customHeight="1" thickBot="1" x14ac:dyDescent="0.35">
      <c r="A6" s="901">
        <v>45903</v>
      </c>
      <c r="B6" s="902"/>
      <c r="C6" s="180">
        <f>SUM('3'!$AL$30:$AM$30)</f>
        <v>5</v>
      </c>
      <c r="D6" s="180">
        <f>SUM('3'!$AN$30:$AO$30)</f>
        <v>3</v>
      </c>
      <c r="E6" s="180">
        <f>SUM('3'!$AP$30:$AQ$30)</f>
        <v>1</v>
      </c>
      <c r="F6" s="180">
        <f>SUM('3'!$AR$30)</f>
        <v>1</v>
      </c>
      <c r="G6" s="180">
        <f>SUM('3'!$AS$30:$AT$30)</f>
        <v>3</v>
      </c>
      <c r="H6" s="180">
        <f>SUM('3'!$AU$30:$AV$30)</f>
        <v>1</v>
      </c>
      <c r="I6" s="180">
        <f>SUM('3'!$AW$30)</f>
        <v>1</v>
      </c>
      <c r="J6" s="180"/>
      <c r="K6" s="180"/>
      <c r="L6" s="180"/>
      <c r="M6" s="183"/>
      <c r="N6" s="327">
        <f t="shared" si="0"/>
        <v>0.35714285714285715</v>
      </c>
      <c r="O6" s="182">
        <f t="shared" si="1"/>
        <v>15</v>
      </c>
    </row>
    <row r="7" spans="1:15" ht="24" customHeight="1" thickBot="1" x14ac:dyDescent="0.35">
      <c r="A7" s="901">
        <v>45904</v>
      </c>
      <c r="B7" s="902"/>
      <c r="C7" s="180">
        <f>SUM('4'!$AL$30:$AM$30)</f>
        <v>4</v>
      </c>
      <c r="D7" s="180">
        <f>SUM('4'!$AN$30:$AO$30)</f>
        <v>2</v>
      </c>
      <c r="E7" s="180">
        <f>SUM('4'!$AP$30:$AQ$30)</f>
        <v>2</v>
      </c>
      <c r="F7" s="180">
        <f>SUM('4'!$AR$30)</f>
        <v>0</v>
      </c>
      <c r="G7" s="180">
        <f>SUM('4'!$AS$30:$AT$30)</f>
        <v>1</v>
      </c>
      <c r="H7" s="180">
        <f>SUM('4'!$AU$30:$AV$30)</f>
        <v>1</v>
      </c>
      <c r="I7" s="180">
        <f>SUM('4'!$AW$30)</f>
        <v>2</v>
      </c>
      <c r="J7" s="180"/>
      <c r="K7" s="180"/>
      <c r="L7" s="180"/>
      <c r="M7" s="184"/>
      <c r="N7" s="327">
        <f t="shared" si="0"/>
        <v>0.2857142857142857</v>
      </c>
      <c r="O7" s="182">
        <f t="shared" si="1"/>
        <v>12</v>
      </c>
    </row>
    <row r="8" spans="1:15" ht="24" customHeight="1" thickBot="1" x14ac:dyDescent="0.35">
      <c r="A8" s="901">
        <v>45905</v>
      </c>
      <c r="B8" s="902"/>
      <c r="C8" s="180">
        <f>SUM('5'!$AL$30:$AM$30)</f>
        <v>5</v>
      </c>
      <c r="D8" s="180">
        <f>SUM('5'!$AN$30:$AO$30)</f>
        <v>3</v>
      </c>
      <c r="E8" s="180">
        <f>SUM('5'!$AP$30:$AQ$30)</f>
        <v>9</v>
      </c>
      <c r="F8" s="180">
        <f>SUM('5'!$AR$30)</f>
        <v>1</v>
      </c>
      <c r="G8" s="180">
        <f>SUM('5'!$AS$30:$AT$30)</f>
        <v>7</v>
      </c>
      <c r="H8" s="180">
        <f>SUM('5'!$AU$30:$AV$30)</f>
        <v>2</v>
      </c>
      <c r="I8" s="180">
        <f>SUM('5'!$AW$30)</f>
        <v>3</v>
      </c>
      <c r="J8" s="180"/>
      <c r="K8" s="180"/>
      <c r="L8" s="180"/>
      <c r="M8" s="183"/>
      <c r="N8" s="327">
        <f t="shared" si="0"/>
        <v>0.7142857142857143</v>
      </c>
      <c r="O8" s="182">
        <f t="shared" si="1"/>
        <v>30</v>
      </c>
    </row>
    <row r="9" spans="1:15" ht="24" customHeight="1" thickBot="1" x14ac:dyDescent="0.35">
      <c r="A9" s="901">
        <v>45906</v>
      </c>
      <c r="B9" s="902"/>
      <c r="C9" s="180">
        <f>SUM('6'!$AL$30:$AM$30)</f>
        <v>5</v>
      </c>
      <c r="D9" s="180">
        <f>SUM('6'!$AN$30:$AO$30)</f>
        <v>4</v>
      </c>
      <c r="E9" s="180">
        <f>SUM('6'!$AP$30:$AQ$30)</f>
        <v>10</v>
      </c>
      <c r="F9" s="180">
        <f>SUM('6'!$AR$30)</f>
        <v>2</v>
      </c>
      <c r="G9" s="180">
        <f>SUM('6'!$AS$30:$AT$30)</f>
        <v>9</v>
      </c>
      <c r="H9" s="180">
        <f>SUM('6'!$AU$30:$AV$30)</f>
        <v>4</v>
      </c>
      <c r="I9" s="180">
        <f>SUM('6'!$AW$30)</f>
        <v>5</v>
      </c>
      <c r="J9" s="180"/>
      <c r="K9" s="180"/>
      <c r="L9" s="180"/>
      <c r="M9" s="183"/>
      <c r="N9" s="327">
        <f t="shared" si="0"/>
        <v>0.9285714285714286</v>
      </c>
      <c r="O9" s="182">
        <f t="shared" si="1"/>
        <v>39</v>
      </c>
    </row>
    <row r="10" spans="1:15" ht="24" customHeight="1" thickBot="1" x14ac:dyDescent="0.35">
      <c r="A10" s="901">
        <v>45907</v>
      </c>
      <c r="B10" s="902"/>
      <c r="C10" s="180">
        <f>SUM('7'!$AL$30:$AM$30)</f>
        <v>5</v>
      </c>
      <c r="D10" s="180">
        <f>SUM('7'!$AN$30:$AO$30)</f>
        <v>1</v>
      </c>
      <c r="E10" s="180">
        <f>SUM('7'!$AP$30:$AQ$30)</f>
        <v>1</v>
      </c>
      <c r="F10" s="180">
        <f>SUM('7'!$AR$30)</f>
        <v>1</v>
      </c>
      <c r="G10" s="180">
        <f>SUM('7'!$AS$30:$AT$30)</f>
        <v>5</v>
      </c>
      <c r="H10" s="180">
        <f>SUM('7'!$AU$30:$AV$30)</f>
        <v>0</v>
      </c>
      <c r="I10" s="180">
        <f>SUM('7'!$AW$30)</f>
        <v>3</v>
      </c>
      <c r="J10" s="180"/>
      <c r="K10" s="180"/>
      <c r="L10" s="180"/>
      <c r="M10" s="183"/>
      <c r="N10" s="327">
        <f t="shared" si="0"/>
        <v>0.38095238095238093</v>
      </c>
      <c r="O10" s="182">
        <f t="shared" si="1"/>
        <v>16</v>
      </c>
    </row>
    <row r="11" spans="1:15" ht="24" customHeight="1" thickBot="1" x14ac:dyDescent="0.35">
      <c r="A11" s="901">
        <v>45908</v>
      </c>
      <c r="B11" s="902"/>
      <c r="C11" s="180">
        <f>SUM('8'!$AL$30:$AM$30)</f>
        <v>5</v>
      </c>
      <c r="D11" s="180">
        <f>SUM('8'!$AN$30:$AO$30)</f>
        <v>3</v>
      </c>
      <c r="E11" s="180">
        <f>SUM('8'!$AP$30:$AQ$30)</f>
        <v>2</v>
      </c>
      <c r="F11" s="180">
        <f>SUM('8'!$AR$30)</f>
        <v>1</v>
      </c>
      <c r="G11" s="180">
        <f>SUM('8'!$AS$30:$AT$30)</f>
        <v>5</v>
      </c>
      <c r="H11" s="180">
        <f>SUM('8'!$AU$30:$AV$30)</f>
        <v>0</v>
      </c>
      <c r="I11" s="180">
        <f>SUM('8'!$AW$30)</f>
        <v>3</v>
      </c>
      <c r="J11" s="180"/>
      <c r="K11" s="180"/>
      <c r="L11" s="180"/>
      <c r="M11" s="183"/>
      <c r="N11" s="327">
        <f t="shared" si="0"/>
        <v>0.45238095238095238</v>
      </c>
      <c r="O11" s="182">
        <f t="shared" si="1"/>
        <v>19</v>
      </c>
    </row>
    <row r="12" spans="1:15" ht="24" customHeight="1" thickBot="1" x14ac:dyDescent="0.35">
      <c r="A12" s="901">
        <v>45909</v>
      </c>
      <c r="B12" s="902"/>
      <c r="C12" s="180">
        <f>SUM('9'!$AL$30:$AM$30)</f>
        <v>5</v>
      </c>
      <c r="D12" s="180">
        <f>SUM('9'!$AN$30:$AO$30)</f>
        <v>2</v>
      </c>
      <c r="E12" s="180">
        <f>SUM('9'!$AP$30:$AQ$30)</f>
        <v>9</v>
      </c>
      <c r="F12" s="180">
        <f>SUM('9'!$AR$30)</f>
        <v>1</v>
      </c>
      <c r="G12" s="180">
        <f>SUM('9'!$AS$30:$AT$30)</f>
        <v>3</v>
      </c>
      <c r="H12" s="180">
        <f>SUM('9'!$AU$30:$AV$30)</f>
        <v>3</v>
      </c>
      <c r="I12" s="180">
        <f>SUM('9'!$AW$30)</f>
        <v>4</v>
      </c>
      <c r="J12" s="180"/>
      <c r="K12" s="180"/>
      <c r="L12" s="180"/>
      <c r="M12" s="183"/>
      <c r="N12" s="327">
        <f t="shared" si="0"/>
        <v>0.6428571428571429</v>
      </c>
      <c r="O12" s="182">
        <f t="shared" si="1"/>
        <v>27</v>
      </c>
    </row>
    <row r="13" spans="1:15" ht="24" customHeight="1" thickBot="1" x14ac:dyDescent="0.35">
      <c r="A13" s="901">
        <v>45910</v>
      </c>
      <c r="B13" s="902"/>
      <c r="C13" s="180">
        <f>SUM('10'!$AL$30:$AM$30)</f>
        <v>3</v>
      </c>
      <c r="D13" s="180">
        <f>SUM('10'!$AN$30:$AO$30)</f>
        <v>3</v>
      </c>
      <c r="E13" s="180">
        <f>SUM('10'!$AP$30:$AQ$30)</f>
        <v>3</v>
      </c>
      <c r="F13" s="180">
        <f>SUM('10'!$AR$30)</f>
        <v>0</v>
      </c>
      <c r="G13" s="180">
        <f>SUM('10'!$AS$30:$AT$30)</f>
        <v>1</v>
      </c>
      <c r="H13" s="180">
        <f>SUM('10'!$AU$30:$AV$30)</f>
        <v>0</v>
      </c>
      <c r="I13" s="180">
        <f>SUM('10'!$AW$30)</f>
        <v>4</v>
      </c>
      <c r="J13" s="180"/>
      <c r="K13" s="180"/>
      <c r="L13" s="180"/>
      <c r="M13" s="183"/>
      <c r="N13" s="327">
        <f t="shared" si="0"/>
        <v>0.33333333333333331</v>
      </c>
      <c r="O13" s="182">
        <f t="shared" si="1"/>
        <v>14</v>
      </c>
    </row>
    <row r="14" spans="1:15" ht="24" customHeight="1" thickBot="1" x14ac:dyDescent="0.35">
      <c r="A14" s="901">
        <v>45911</v>
      </c>
      <c r="B14" s="902"/>
      <c r="C14" s="180">
        <f>SUM('11'!$AL$30:$AM$30)</f>
        <v>4</v>
      </c>
      <c r="D14" s="180">
        <f>SUM('11'!$AN$30:$AO$30)</f>
        <v>4</v>
      </c>
      <c r="E14" s="180">
        <f>SUM('11'!$AP$30:$AQ$30)</f>
        <v>5</v>
      </c>
      <c r="F14" s="180">
        <f>SUM('11'!$AR$30)</f>
        <v>2</v>
      </c>
      <c r="G14" s="180">
        <f>SUM('11'!$AS$30:$AT$30)</f>
        <v>7</v>
      </c>
      <c r="H14" s="180">
        <f>SUM('11'!$AU$30:$AV$30)</f>
        <v>1</v>
      </c>
      <c r="I14" s="180">
        <f>SUM('11'!$AW$30)</f>
        <v>5</v>
      </c>
      <c r="J14" s="180"/>
      <c r="K14" s="180"/>
      <c r="L14" s="180"/>
      <c r="M14" s="183"/>
      <c r="N14" s="327">
        <f t="shared" si="0"/>
        <v>0.66666666666666663</v>
      </c>
      <c r="O14" s="182">
        <f t="shared" si="1"/>
        <v>28</v>
      </c>
    </row>
    <row r="15" spans="1:15" ht="24" customHeight="1" thickBot="1" x14ac:dyDescent="0.35">
      <c r="A15" s="901">
        <v>45912</v>
      </c>
      <c r="B15" s="902"/>
      <c r="C15" s="180">
        <f>SUM('12'!$AL$30:$AM$30)</f>
        <v>5</v>
      </c>
      <c r="D15" s="180">
        <f>SUM('12'!$AN$30:$AO$30)</f>
        <v>4</v>
      </c>
      <c r="E15" s="180">
        <f>SUM('12'!$AP$30:$AQ$30)</f>
        <v>8</v>
      </c>
      <c r="F15" s="180">
        <f>SUM('12'!$AR$30)</f>
        <v>2</v>
      </c>
      <c r="G15" s="180">
        <f>SUM('12'!$AS$30:$AT$30)</f>
        <v>11</v>
      </c>
      <c r="H15" s="180">
        <f>SUM('12'!$AU$30:$AV$30)</f>
        <v>5</v>
      </c>
      <c r="I15" s="180">
        <f>SUM('12'!$AW$30)</f>
        <v>5</v>
      </c>
      <c r="J15" s="180"/>
      <c r="K15" s="180"/>
      <c r="L15" s="180"/>
      <c r="M15" s="183"/>
      <c r="N15" s="327">
        <f t="shared" si="0"/>
        <v>0.95238095238095233</v>
      </c>
      <c r="O15" s="182">
        <f t="shared" si="1"/>
        <v>40</v>
      </c>
    </row>
    <row r="16" spans="1:15" ht="24" customHeight="1" thickBot="1" x14ac:dyDescent="0.35">
      <c r="A16" s="901">
        <v>45913</v>
      </c>
      <c r="B16" s="902"/>
      <c r="C16" s="180">
        <f>SUM('13'!$AL$30:$AM$30)</f>
        <v>5</v>
      </c>
      <c r="D16" s="180">
        <f>SUM('13'!$AN$30:$AO$30)</f>
        <v>3</v>
      </c>
      <c r="E16" s="180">
        <f>SUM('13'!$AP$30:$AQ$30)</f>
        <v>10</v>
      </c>
      <c r="F16" s="180">
        <f>SUM('13'!$AR$30)</f>
        <v>2</v>
      </c>
      <c r="G16" s="180">
        <f>SUM('13'!$AS$30:$AT$30)</f>
        <v>11</v>
      </c>
      <c r="H16" s="180">
        <f>SUM('13'!$AU$30:$AV$30)</f>
        <v>5</v>
      </c>
      <c r="I16" s="180">
        <f>SUM('13'!$AW$30)</f>
        <v>5</v>
      </c>
      <c r="J16" s="180"/>
      <c r="K16" s="180"/>
      <c r="L16" s="180"/>
      <c r="M16" s="185"/>
      <c r="N16" s="327">
        <f t="shared" si="0"/>
        <v>0.97619047619047616</v>
      </c>
      <c r="O16" s="182">
        <f t="shared" si="1"/>
        <v>41</v>
      </c>
    </row>
    <row r="17" spans="1:16" ht="24" customHeight="1" thickBot="1" x14ac:dyDescent="0.35">
      <c r="A17" s="901">
        <v>45914</v>
      </c>
      <c r="B17" s="902"/>
      <c r="C17" s="180">
        <f>SUM('14'!$AL$30:$AM$30)</f>
        <v>4</v>
      </c>
      <c r="D17" s="180">
        <f>SUM('14'!$AN$30:$AO$30)</f>
        <v>3</v>
      </c>
      <c r="E17" s="180">
        <f>SUM('14'!$AP$30:$AQ$30)</f>
        <v>4</v>
      </c>
      <c r="F17" s="180">
        <f>SUM('14'!$AR$30)</f>
        <v>1</v>
      </c>
      <c r="G17" s="180">
        <f>SUM('14'!$AS$30:$AT$30)</f>
        <v>4</v>
      </c>
      <c r="H17" s="180">
        <f>SUM('14'!$AU$30:$AV$30)</f>
        <v>2</v>
      </c>
      <c r="I17" s="180">
        <f>SUM('14'!$AW$30)</f>
        <v>0</v>
      </c>
      <c r="J17" s="180"/>
      <c r="K17" s="180"/>
      <c r="L17" s="180"/>
      <c r="M17" s="185"/>
      <c r="N17" s="327">
        <f t="shared" si="0"/>
        <v>0.42857142857142855</v>
      </c>
      <c r="O17" s="182">
        <f t="shared" si="1"/>
        <v>18</v>
      </c>
      <c r="P17" s="905"/>
    </row>
    <row r="18" spans="1:16" ht="24" customHeight="1" thickBot="1" x14ac:dyDescent="0.35">
      <c r="A18" s="901">
        <v>45915</v>
      </c>
      <c r="B18" s="902"/>
      <c r="C18" s="180">
        <f>SUM('15'!$AL$30:$AM$30)</f>
        <v>5</v>
      </c>
      <c r="D18" s="180">
        <f>SUM('15'!$AN$30:$AO$30)</f>
        <v>3</v>
      </c>
      <c r="E18" s="180">
        <f>SUM('15'!$AP$30:$AQ$30)</f>
        <v>5</v>
      </c>
      <c r="F18" s="180">
        <f>SUM('15'!$AR$30)</f>
        <v>0</v>
      </c>
      <c r="G18" s="180">
        <f>SUM('15'!$AS$30:$AT$30)</f>
        <v>7</v>
      </c>
      <c r="H18" s="180">
        <f>SUM('15'!$AU$30:$AV$30)</f>
        <v>1</v>
      </c>
      <c r="I18" s="180">
        <f>SUM('15'!$AW$30)</f>
        <v>1</v>
      </c>
      <c r="J18" s="180"/>
      <c r="K18" s="180"/>
      <c r="L18" s="180"/>
      <c r="M18" s="185"/>
      <c r="N18" s="327">
        <f t="shared" si="0"/>
        <v>0.52380952380952384</v>
      </c>
      <c r="O18" s="182">
        <f t="shared" si="1"/>
        <v>22</v>
      </c>
      <c r="P18" s="906"/>
    </row>
    <row r="19" spans="1:16" ht="24" customHeight="1" thickBot="1" x14ac:dyDescent="0.35">
      <c r="A19" s="901">
        <v>45916</v>
      </c>
      <c r="B19" s="902"/>
      <c r="C19" s="180">
        <f>SUM('16'!$AL$30:$AM$30)</f>
        <v>3</v>
      </c>
      <c r="D19" s="180">
        <f>SUM('16'!$AN$30:$AO$30)</f>
        <v>3</v>
      </c>
      <c r="E19" s="180">
        <f>SUM('16'!$AP$30:$AQ$30)</f>
        <v>7</v>
      </c>
      <c r="F19" s="180">
        <f>SUM('16'!$AR$30)</f>
        <v>0</v>
      </c>
      <c r="G19" s="180">
        <f>SUM('16'!$AS$30:$AT$30)</f>
        <v>8</v>
      </c>
      <c r="H19" s="180">
        <f>SUM('16'!$AU$30:$AV$30)</f>
        <v>3</v>
      </c>
      <c r="I19" s="180">
        <f>SUM('16'!$AW$30)</f>
        <v>0</v>
      </c>
      <c r="J19" s="180"/>
      <c r="K19" s="180"/>
      <c r="L19" s="180"/>
      <c r="M19" s="183"/>
      <c r="N19" s="327">
        <f t="shared" si="0"/>
        <v>0.5714285714285714</v>
      </c>
      <c r="O19" s="182">
        <f t="shared" si="1"/>
        <v>24</v>
      </c>
      <c r="P19" s="906"/>
    </row>
    <row r="20" spans="1:16" ht="24" customHeight="1" thickBot="1" x14ac:dyDescent="0.35">
      <c r="A20" s="901">
        <v>45917</v>
      </c>
      <c r="B20" s="902"/>
      <c r="C20" s="180">
        <f>SUM('17'!$AL$30:$AM$30)</f>
        <v>5</v>
      </c>
      <c r="D20" s="180">
        <f>SUM('17'!$AN$30:$AO$30)</f>
        <v>4</v>
      </c>
      <c r="E20" s="180">
        <f>SUM('17'!$AP$30:$AQ$30)</f>
        <v>10</v>
      </c>
      <c r="F20" s="180">
        <f>SUM('17'!$AR$30)</f>
        <v>1</v>
      </c>
      <c r="G20" s="180">
        <f>SUM('17'!$AS$30:$AT$30)</f>
        <v>10</v>
      </c>
      <c r="H20" s="180">
        <f>SUM('17'!$AU$30:$AV$30)</f>
        <v>4</v>
      </c>
      <c r="I20" s="180">
        <f>SUM('17'!$AW$30)</f>
        <v>2</v>
      </c>
      <c r="J20" s="180"/>
      <c r="K20" s="180"/>
      <c r="L20" s="180"/>
      <c r="M20" s="183"/>
      <c r="N20" s="327">
        <f t="shared" si="0"/>
        <v>0.8571428571428571</v>
      </c>
      <c r="O20" s="182">
        <f t="shared" si="1"/>
        <v>36</v>
      </c>
      <c r="P20" s="906"/>
    </row>
    <row r="21" spans="1:16" ht="24" customHeight="1" thickBot="1" x14ac:dyDescent="0.35">
      <c r="A21" s="901">
        <v>45918</v>
      </c>
      <c r="B21" s="902"/>
      <c r="C21" s="180">
        <f>SUM('18'!$AL$30:$AM$30)</f>
        <v>5</v>
      </c>
      <c r="D21" s="180">
        <f>SUM('18'!$AN$30:$AO$30)</f>
        <v>4</v>
      </c>
      <c r="E21" s="180">
        <f>SUM('18'!$AP$30:$AQ$30)</f>
        <v>10</v>
      </c>
      <c r="F21" s="180">
        <f>SUM('18'!$AR$30)</f>
        <v>2</v>
      </c>
      <c r="G21" s="180">
        <f>SUM('18'!$AS$30:$AT$30)</f>
        <v>11</v>
      </c>
      <c r="H21" s="180">
        <f>SUM('18'!$AU$30:$AV$30)</f>
        <v>4</v>
      </c>
      <c r="I21" s="180">
        <f>SUM('18'!$AW$30)</f>
        <v>4</v>
      </c>
      <c r="J21" s="180"/>
      <c r="K21" s="180"/>
      <c r="L21" s="180"/>
      <c r="M21" s="183"/>
      <c r="N21" s="327">
        <f t="shared" si="0"/>
        <v>0.95238095238095233</v>
      </c>
      <c r="O21" s="182">
        <f t="shared" si="1"/>
        <v>40</v>
      </c>
    </row>
    <row r="22" spans="1:16" ht="24" customHeight="1" thickBot="1" x14ac:dyDescent="0.35">
      <c r="A22" s="901">
        <v>45919</v>
      </c>
      <c r="B22" s="902"/>
      <c r="C22" s="180">
        <f>SUM('19'!$AL$30:$AM$30)</f>
        <v>5</v>
      </c>
      <c r="D22" s="180">
        <f>SUM('19'!$AN$30:$AO$30)</f>
        <v>4</v>
      </c>
      <c r="E22" s="180">
        <f>SUM('19'!$AP$30:$AQ$30)</f>
        <v>9</v>
      </c>
      <c r="F22" s="180">
        <f>SUM('19'!$AR$30)</f>
        <v>2</v>
      </c>
      <c r="G22" s="180">
        <f>SUM('19'!$AS$30:$AT$30)</f>
        <v>10</v>
      </c>
      <c r="H22" s="180">
        <f>SUM('19'!$AU$30:$AV$30)</f>
        <v>4</v>
      </c>
      <c r="I22" s="180">
        <f>SUM('19'!$AW$30)</f>
        <v>4</v>
      </c>
      <c r="J22" s="180"/>
      <c r="K22" s="180"/>
      <c r="L22" s="180"/>
      <c r="M22" s="183"/>
      <c r="N22" s="327">
        <f t="shared" si="0"/>
        <v>0.90476190476190477</v>
      </c>
      <c r="O22" s="182">
        <f t="shared" si="1"/>
        <v>38</v>
      </c>
    </row>
    <row r="23" spans="1:16" ht="24" customHeight="1" thickBot="1" x14ac:dyDescent="0.35">
      <c r="A23" s="901">
        <v>45920</v>
      </c>
      <c r="B23" s="902"/>
      <c r="C23" s="180">
        <f>SUM('20'!$AL$30:$AM$30)</f>
        <v>5</v>
      </c>
      <c r="D23" s="180">
        <f>SUM('20'!$AN$30:$AO$30)</f>
        <v>4</v>
      </c>
      <c r="E23" s="180">
        <f>SUM('20'!$AP$30:$AQ$30)</f>
        <v>10</v>
      </c>
      <c r="F23" s="180">
        <f>SUM('20'!$AR$30)</f>
        <v>2</v>
      </c>
      <c r="G23" s="180">
        <f>SUM('20'!$AS$30:$AT$30)</f>
        <v>11</v>
      </c>
      <c r="H23" s="180">
        <f>SUM('20'!$AU$30:$AV$30)</f>
        <v>5</v>
      </c>
      <c r="I23" s="180">
        <f>SUM('20'!$AW$30)</f>
        <v>5</v>
      </c>
      <c r="J23" s="180"/>
      <c r="K23" s="180"/>
      <c r="L23" s="180"/>
      <c r="M23" s="183"/>
      <c r="N23" s="327">
        <f t="shared" si="0"/>
        <v>1</v>
      </c>
      <c r="O23" s="182">
        <f t="shared" si="1"/>
        <v>42</v>
      </c>
      <c r="P23" s="905"/>
    </row>
    <row r="24" spans="1:16" ht="24" customHeight="1" thickBot="1" x14ac:dyDescent="0.35">
      <c r="A24" s="901">
        <v>45921</v>
      </c>
      <c r="B24" s="902"/>
      <c r="C24" s="180">
        <f>SUM('21'!$AL$30:$AM$30)</f>
        <v>4</v>
      </c>
      <c r="D24" s="180">
        <f>SUM('21'!$AN$30:$AO$30)</f>
        <v>4</v>
      </c>
      <c r="E24" s="180">
        <f>SUM('21'!$AP$30:$AQ$30)</f>
        <v>8</v>
      </c>
      <c r="F24" s="180">
        <f>SUM('21'!$AR$30)</f>
        <v>2</v>
      </c>
      <c r="G24" s="180">
        <f>SUM('21'!$AS$30:$AT$30)</f>
        <v>8</v>
      </c>
      <c r="H24" s="180">
        <f>SUM('21'!$AU$30:$AV$30)</f>
        <v>1</v>
      </c>
      <c r="I24" s="180">
        <f>SUM('21'!$AW$30)</f>
        <v>2</v>
      </c>
      <c r="J24" s="180"/>
      <c r="K24" s="180"/>
      <c r="L24" s="180"/>
      <c r="M24" s="183"/>
      <c r="N24" s="327">
        <f t="shared" si="0"/>
        <v>0.69047619047619047</v>
      </c>
      <c r="O24" s="182">
        <f t="shared" si="1"/>
        <v>29</v>
      </c>
      <c r="P24" s="906"/>
    </row>
    <row r="25" spans="1:16" ht="24" customHeight="1" thickBot="1" x14ac:dyDescent="0.35">
      <c r="A25" s="901">
        <v>45922</v>
      </c>
      <c r="B25" s="902"/>
      <c r="C25" s="180">
        <f>SUM('22'!$AL$30:$AM$30)</f>
        <v>5</v>
      </c>
      <c r="D25" s="180">
        <f>SUM('22'!$AN$30:$AO$30)</f>
        <v>2</v>
      </c>
      <c r="E25" s="180">
        <f>SUM('22'!$AP$30:$AQ$30)</f>
        <v>10</v>
      </c>
      <c r="F25" s="180">
        <f>SUM('22'!$AR$30)</f>
        <v>2</v>
      </c>
      <c r="G25" s="180">
        <f>SUM('22'!$AS$30:$AT$30)</f>
        <v>11</v>
      </c>
      <c r="H25" s="180">
        <f>SUM('22'!$AU$30:$AV$30)</f>
        <v>4</v>
      </c>
      <c r="I25" s="180">
        <f>SUM('22'!$AW$30)</f>
        <v>4</v>
      </c>
      <c r="J25" s="180"/>
      <c r="K25" s="180"/>
      <c r="L25" s="180"/>
      <c r="M25" s="183"/>
      <c r="N25" s="327">
        <f t="shared" si="0"/>
        <v>0.90476190476190477</v>
      </c>
      <c r="O25" s="182">
        <f t="shared" si="1"/>
        <v>38</v>
      </c>
    </row>
    <row r="26" spans="1:16" ht="24" customHeight="1" thickBot="1" x14ac:dyDescent="0.35">
      <c r="A26" s="901">
        <v>45923</v>
      </c>
      <c r="B26" s="902"/>
      <c r="C26" s="180">
        <f>SUM('23'!$AL$30:$AM$30)</f>
        <v>5</v>
      </c>
      <c r="D26" s="180">
        <f>SUM('23'!$AN$30:$AO$30)</f>
        <v>4</v>
      </c>
      <c r="E26" s="180">
        <f>SUM('23'!$AP$30:$AQ$30)</f>
        <v>10</v>
      </c>
      <c r="F26" s="180">
        <f>SUM('23'!$AR$30)</f>
        <v>2</v>
      </c>
      <c r="G26" s="180">
        <f>SUM('23'!$AS$30:$AT$30)</f>
        <v>11</v>
      </c>
      <c r="H26" s="180">
        <f>SUM('23'!$AU$30:$AV$30)</f>
        <v>5</v>
      </c>
      <c r="I26" s="180">
        <f>SUM('23'!$AW$30)</f>
        <v>5</v>
      </c>
      <c r="J26" s="180"/>
      <c r="K26" s="180"/>
      <c r="L26" s="180"/>
      <c r="M26" s="183"/>
      <c r="N26" s="327">
        <f t="shared" si="0"/>
        <v>1</v>
      </c>
      <c r="O26" s="182">
        <f t="shared" si="1"/>
        <v>42</v>
      </c>
    </row>
    <row r="27" spans="1:16" ht="24" customHeight="1" thickBot="1" x14ac:dyDescent="0.35">
      <c r="A27" s="901">
        <v>45924</v>
      </c>
      <c r="B27" s="902"/>
      <c r="C27" s="180">
        <f>SUM('24'!$AL$30:$AM$30)</f>
        <v>4</v>
      </c>
      <c r="D27" s="180">
        <f>SUM('24'!$AN$30:$AO$30)</f>
        <v>3</v>
      </c>
      <c r="E27" s="180">
        <f>SUM('24'!$AP$30:$AQ$30)</f>
        <v>10</v>
      </c>
      <c r="F27" s="180">
        <f>SUM('24'!$AR$30)</f>
        <v>2</v>
      </c>
      <c r="G27" s="180">
        <f>SUM('24'!$AS$30:$AT$30)</f>
        <v>6</v>
      </c>
      <c r="H27" s="180">
        <f>SUM('24'!$AU$30:$AV$30)</f>
        <v>4</v>
      </c>
      <c r="I27" s="180">
        <f>SUM('24'!$AW$30)</f>
        <v>2</v>
      </c>
      <c r="J27" s="180"/>
      <c r="K27" s="180"/>
      <c r="L27" s="180"/>
      <c r="M27" s="183"/>
      <c r="N27" s="327">
        <f t="shared" si="0"/>
        <v>0.73809523809523814</v>
      </c>
      <c r="O27" s="182">
        <f t="shared" si="1"/>
        <v>31</v>
      </c>
    </row>
    <row r="28" spans="1:16" ht="24" customHeight="1" thickBot="1" x14ac:dyDescent="0.35">
      <c r="A28" s="901">
        <v>45925</v>
      </c>
      <c r="B28" s="902"/>
      <c r="C28" s="180">
        <f>SUM('25'!$AL$30:$AM$30)</f>
        <v>5</v>
      </c>
      <c r="D28" s="180">
        <f>SUM('25'!$AN$30:$AO$30)</f>
        <v>4</v>
      </c>
      <c r="E28" s="180">
        <f>SUM('25'!$AP$30:$AQ$30)</f>
        <v>11</v>
      </c>
      <c r="F28" s="180">
        <f>SUM('25'!$AR$30)</f>
        <v>2</v>
      </c>
      <c r="G28" s="180">
        <f>SUM('25'!$AS$30:$AT$30)</f>
        <v>11</v>
      </c>
      <c r="H28" s="180">
        <f>SUM('25'!$AU$30:$AV$30)</f>
        <v>5</v>
      </c>
      <c r="I28" s="180">
        <f>SUM('25'!$AW$30)</f>
        <v>3</v>
      </c>
      <c r="J28" s="180"/>
      <c r="K28" s="180"/>
      <c r="L28" s="180"/>
      <c r="M28" s="183"/>
      <c r="N28" s="327">
        <f t="shared" si="0"/>
        <v>0.97619047619047616</v>
      </c>
      <c r="O28" s="182">
        <f t="shared" si="1"/>
        <v>41</v>
      </c>
    </row>
    <row r="29" spans="1:16" ht="24" customHeight="1" thickBot="1" x14ac:dyDescent="0.35">
      <c r="A29" s="901">
        <v>45926</v>
      </c>
      <c r="B29" s="902"/>
      <c r="C29" s="180">
        <f>SUM('26'!$AL$30:$AM$30)</f>
        <v>5</v>
      </c>
      <c r="D29" s="180">
        <f>SUM('26'!$AN$30:$AO$30)</f>
        <v>4</v>
      </c>
      <c r="E29" s="180">
        <f>SUM('26'!$AP$30:$AQ$30)</f>
        <v>10</v>
      </c>
      <c r="F29" s="180">
        <f>SUM('26'!$AR$30)</f>
        <v>2</v>
      </c>
      <c r="G29" s="180">
        <f>SUM('26'!$AS$30:$AT$30)</f>
        <v>11</v>
      </c>
      <c r="H29" s="180">
        <f>SUM('26'!$AU$30:$AV$30)</f>
        <v>5</v>
      </c>
      <c r="I29" s="180">
        <f>SUM('26'!$AW$30)</f>
        <v>5</v>
      </c>
      <c r="J29" s="180"/>
      <c r="K29" s="180"/>
      <c r="L29" s="180"/>
      <c r="M29" s="183"/>
      <c r="N29" s="327">
        <f t="shared" si="0"/>
        <v>1</v>
      </c>
      <c r="O29" s="182">
        <f t="shared" si="1"/>
        <v>42</v>
      </c>
    </row>
    <row r="30" spans="1:16" ht="24" customHeight="1" thickBot="1" x14ac:dyDescent="0.35">
      <c r="A30" s="901">
        <v>45927</v>
      </c>
      <c r="B30" s="902"/>
      <c r="C30" s="180">
        <f>SUM('27'!$AL$30:$AM$30)</f>
        <v>5</v>
      </c>
      <c r="D30" s="180">
        <f>SUM('27'!$AN$30:$AO$30)</f>
        <v>4</v>
      </c>
      <c r="E30" s="180">
        <f>SUM('27'!$AP$30:$AQ$30)</f>
        <v>10</v>
      </c>
      <c r="F30" s="180">
        <f>SUM('27'!$AR$30)</f>
        <v>2</v>
      </c>
      <c r="G30" s="180">
        <f>SUM('27'!$AS$30:$AT$30)</f>
        <v>11</v>
      </c>
      <c r="H30" s="180">
        <f>SUM('27'!$AU$30:$AV$30)</f>
        <v>5</v>
      </c>
      <c r="I30" s="180">
        <f>SUM('27'!$AW$30)</f>
        <v>5</v>
      </c>
      <c r="J30" s="180"/>
      <c r="K30" s="180"/>
      <c r="L30" s="180"/>
      <c r="M30" s="183"/>
      <c r="N30" s="327">
        <f t="shared" si="0"/>
        <v>1</v>
      </c>
      <c r="O30" s="182">
        <f t="shared" si="1"/>
        <v>42</v>
      </c>
    </row>
    <row r="31" spans="1:16" ht="24" customHeight="1" thickBot="1" x14ac:dyDescent="0.35">
      <c r="A31" s="901">
        <v>45928</v>
      </c>
      <c r="B31" s="902"/>
      <c r="C31" s="180">
        <f>SUM('28'!$AL$30:$AM$30)</f>
        <v>5</v>
      </c>
      <c r="D31" s="180">
        <f>SUM('28'!$AN$30:$AO$30)</f>
        <v>1</v>
      </c>
      <c r="E31" s="180">
        <f>SUM('28'!$AP$30:$AQ$30)</f>
        <v>5</v>
      </c>
      <c r="F31" s="180">
        <f>SUM('28'!$AR$30)</f>
        <v>0</v>
      </c>
      <c r="G31" s="180">
        <f>SUM('28'!$AS$30:$AT$30)</f>
        <v>8</v>
      </c>
      <c r="H31" s="180">
        <f>SUM('28'!$AU$30:$AV$30)</f>
        <v>0</v>
      </c>
      <c r="I31" s="180">
        <f>SUM('28'!$AW$30)</f>
        <v>2</v>
      </c>
      <c r="J31" s="180"/>
      <c r="K31" s="180"/>
      <c r="L31" s="180"/>
      <c r="M31" s="183"/>
      <c r="N31" s="327">
        <f t="shared" si="0"/>
        <v>0.5</v>
      </c>
      <c r="O31" s="182">
        <f t="shared" si="1"/>
        <v>21</v>
      </c>
    </row>
    <row r="32" spans="1:16" ht="24" customHeight="1" thickBot="1" x14ac:dyDescent="0.35">
      <c r="A32" s="901">
        <v>45929</v>
      </c>
      <c r="B32" s="902"/>
      <c r="C32" s="180">
        <f>SUM('29'!$AL$30:$AM$30)</f>
        <v>5</v>
      </c>
      <c r="D32" s="180">
        <f>SUM('29'!$AN$30:$AO$30)</f>
        <v>4</v>
      </c>
      <c r="E32" s="180">
        <f>SUM('29'!$AP$30:$AQ$30)</f>
        <v>7</v>
      </c>
      <c r="F32" s="180">
        <f>SUM('29'!$AR$30)</f>
        <v>2</v>
      </c>
      <c r="G32" s="180">
        <f>SUM('29'!$AS$30:$AT$30)</f>
        <v>10</v>
      </c>
      <c r="H32" s="180">
        <f>SUM('29'!$AU$30:$AV$30)</f>
        <v>2</v>
      </c>
      <c r="I32" s="180">
        <f>SUM('29'!$AW$30)</f>
        <v>2</v>
      </c>
      <c r="J32" s="180"/>
      <c r="K32" s="180"/>
      <c r="L32" s="180"/>
      <c r="M32" s="183"/>
      <c r="N32" s="327">
        <f t="shared" si="0"/>
        <v>0.76190476190476186</v>
      </c>
      <c r="O32" s="182">
        <f t="shared" si="1"/>
        <v>32</v>
      </c>
    </row>
    <row r="33" spans="1:15" ht="24" customHeight="1" thickBot="1" x14ac:dyDescent="0.35">
      <c r="A33" s="901">
        <v>45930</v>
      </c>
      <c r="B33" s="902"/>
      <c r="C33" s="180">
        <f>SUM('30'!$AL$30:$AM$30)</f>
        <v>4</v>
      </c>
      <c r="D33" s="180">
        <f>SUM('30'!$AN$30:$AO$30)</f>
        <v>3</v>
      </c>
      <c r="E33" s="180">
        <f>SUM('30'!$AP$30:$AQ$30)</f>
        <v>9</v>
      </c>
      <c r="F33" s="180">
        <f>SUM('30'!$AR$30)</f>
        <v>2</v>
      </c>
      <c r="G33" s="180">
        <f>SUM('30'!$AS$30:$AT$30)</f>
        <v>9</v>
      </c>
      <c r="H33" s="180">
        <f>SUM('30'!$AU$30:$AV$30)</f>
        <v>5</v>
      </c>
      <c r="I33" s="180">
        <f>SUM('30'!$AW$30)</f>
        <v>1</v>
      </c>
      <c r="J33" s="180"/>
      <c r="K33" s="180"/>
      <c r="L33" s="180"/>
      <c r="M33" s="183"/>
      <c r="N33" s="327">
        <f t="shared" si="0"/>
        <v>0.7857142857142857</v>
      </c>
      <c r="O33" s="182">
        <f t="shared" si="1"/>
        <v>33</v>
      </c>
    </row>
    <row r="34" spans="1:15" ht="24" customHeight="1" thickBot="1" x14ac:dyDescent="0.35">
      <c r="A34" s="422" t="s">
        <v>130</v>
      </c>
      <c r="B34" s="423"/>
      <c r="C34" s="186">
        <f t="shared" ref="C34:I34" si="2">SUM(C4:C31)</f>
        <v>132</v>
      </c>
      <c r="D34" s="187">
        <f t="shared" si="2"/>
        <v>84</v>
      </c>
      <c r="E34" s="188">
        <f t="shared" si="2"/>
        <v>195</v>
      </c>
      <c r="F34" s="188">
        <f t="shared" si="2"/>
        <v>37</v>
      </c>
      <c r="G34" s="188">
        <f t="shared" si="2"/>
        <v>209</v>
      </c>
      <c r="H34" s="188">
        <f t="shared" si="2"/>
        <v>76</v>
      </c>
      <c r="I34" s="188">
        <f t="shared" si="2"/>
        <v>86</v>
      </c>
      <c r="J34" s="188"/>
      <c r="K34" s="188"/>
      <c r="L34" s="188"/>
      <c r="M34" s="189">
        <f>SUM(M4:M33)</f>
        <v>0</v>
      </c>
      <c r="N34" s="328"/>
      <c r="O34" s="190">
        <f>SUM(O4:O31)</f>
        <v>819</v>
      </c>
    </row>
  </sheetData>
  <mergeCells count="36">
    <mergeCell ref="P17:P20"/>
    <mergeCell ref="P23:P24"/>
    <mergeCell ref="N2:N3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C1:M1"/>
    <mergeCell ref="A4:B4"/>
    <mergeCell ref="A5:B5"/>
    <mergeCell ref="A6:B6"/>
    <mergeCell ref="A7:B7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honeticPr fontId="2" type="noConversion"/>
  <conditionalFormatting sqref="A4:A33">
    <cfRule type="cellIs" dxfId="39" priority="1191" operator="equal">
      <formula>$C$1</formula>
    </cfRule>
    <cfRule type="cellIs" dxfId="38" priority="39" operator="equal">
      <formula>$B$1</formula>
    </cfRule>
  </conditionalFormatting>
  <conditionalFormatting sqref="C4:C33">
    <cfRule type="cellIs" dxfId="37" priority="14" operator="equal">
      <formula>$C$2</formula>
    </cfRule>
    <cfRule type="cellIs" dxfId="36" priority="13" operator="greaterThan">
      <formula>$C$2</formula>
    </cfRule>
  </conditionalFormatting>
  <conditionalFormatting sqref="C4:D33 F5:I33 F4:L8 F11:L15 F18:L33">
    <cfRule type="cellIs" dxfId="35" priority="33" operator="greaterThan">
      <formula>4</formula>
    </cfRule>
  </conditionalFormatting>
  <conditionalFormatting sqref="C4:D33 F4:L33">
    <cfRule type="cellIs" dxfId="34" priority="17" operator="greaterThan">
      <formula>14</formula>
    </cfRule>
    <cfRule type="cellIs" dxfId="33" priority="18" operator="greaterThan">
      <formula>4</formula>
    </cfRule>
    <cfRule type="cellIs" dxfId="32" priority="19" operator="greaterThan">
      <formula>4</formula>
    </cfRule>
    <cfRule type="cellIs" dxfId="31" priority="21" operator="greaterThan">
      <formula>4</formula>
    </cfRule>
  </conditionalFormatting>
  <conditionalFormatting sqref="C9:D9 F9:L9 C16:D16 F16:L16 F17">
    <cfRule type="cellIs" dxfId="30" priority="27" operator="greaterThan">
      <formula>4</formula>
    </cfRule>
    <cfRule type="cellIs" dxfId="29" priority="28" operator="greaterThan">
      <formula>4</formula>
    </cfRule>
    <cfRule type="cellIs" dxfId="28" priority="29" operator="greaterThan">
      <formula>4</formula>
    </cfRule>
    <cfRule type="cellIs" dxfId="27" priority="31" operator="greaterThan">
      <formula>4</formula>
    </cfRule>
  </conditionalFormatting>
  <conditionalFormatting sqref="C9:D10 F9:L10 C16:D33 F16:L33">
    <cfRule type="cellIs" dxfId="26" priority="25" operator="greaterThan">
      <formula>4</formula>
    </cfRule>
  </conditionalFormatting>
  <conditionalFormatting sqref="C10:D10 F10:L10 C17:D17 G17:L17">
    <cfRule type="cellIs" dxfId="25" priority="22" operator="greaterThan">
      <formula>4</formula>
    </cfRule>
    <cfRule type="cellIs" dxfId="24" priority="23" operator="greaterThan">
      <formula>4</formula>
    </cfRule>
    <cfRule type="cellIs" dxfId="23" priority="24" operator="greaterThan">
      <formula>4</formula>
    </cfRule>
    <cfRule type="cellIs" dxfId="22" priority="26" operator="greaterThan">
      <formula>4</formula>
    </cfRule>
    <cfRule type="cellIs" dxfId="21" priority="20" operator="greaterThan">
      <formula>4</formula>
    </cfRule>
  </conditionalFormatting>
  <conditionalFormatting sqref="C2:J2">
    <cfRule type="cellIs" dxfId="20" priority="35" operator="greaterThan">
      <formula>8</formula>
    </cfRule>
  </conditionalFormatting>
  <conditionalFormatting sqref="D4:D33">
    <cfRule type="cellIs" dxfId="19" priority="11" operator="greaterThan">
      <formula>$D$2</formula>
    </cfRule>
    <cfRule type="cellIs" dxfId="18" priority="12" operator="equal">
      <formula>$D$2</formula>
    </cfRule>
  </conditionalFormatting>
  <conditionalFormatting sqref="E4:E33">
    <cfRule type="cellIs" dxfId="17" priority="15" operator="greaterThan">
      <formula>$E$2</formula>
    </cfRule>
    <cfRule type="cellIs" dxfId="16" priority="16" operator="equal">
      <formula>$E$2</formula>
    </cfRule>
  </conditionalFormatting>
  <conditionalFormatting sqref="F4:F33">
    <cfRule type="cellIs" dxfId="15" priority="9" operator="greaterThan">
      <formula>$F$2</formula>
    </cfRule>
    <cfRule type="cellIs" dxfId="14" priority="10" operator="equal">
      <formula>$F$2</formula>
    </cfRule>
  </conditionalFormatting>
  <conditionalFormatting sqref="F4:L8 C4:D33 F5:I33 F11:L15 F18:L33">
    <cfRule type="cellIs" dxfId="13" priority="34" operator="greaterThan">
      <formula>4</formula>
    </cfRule>
    <cfRule type="cellIs" dxfId="12" priority="36" operator="greaterThan">
      <formula>4</formula>
    </cfRule>
    <cfRule type="cellIs" dxfId="11" priority="37" operator="greaterThan">
      <formula>4</formula>
    </cfRule>
    <cfRule type="cellIs" dxfId="10" priority="38" operator="greaterThan">
      <formula>4</formula>
    </cfRule>
  </conditionalFormatting>
  <conditionalFormatting sqref="F4:L9 C4:D33 F5:I33 F11:L16">
    <cfRule type="cellIs" dxfId="9" priority="30" operator="greaterThan">
      <formula>4</formula>
    </cfRule>
  </conditionalFormatting>
  <conditionalFormatting sqref="G4:G33">
    <cfRule type="cellIs" dxfId="8" priority="7" operator="greaterThan">
      <formula>$G$2</formula>
    </cfRule>
    <cfRule type="cellIs" dxfId="7" priority="8" operator="equal">
      <formula>$G$2</formula>
    </cfRule>
  </conditionalFormatting>
  <conditionalFormatting sqref="H4:H33">
    <cfRule type="cellIs" dxfId="6" priority="5" operator="greaterThan">
      <formula>$H$2</formula>
    </cfRule>
    <cfRule type="cellIs" dxfId="5" priority="6" operator="equal">
      <formula>$H$2</formula>
    </cfRule>
  </conditionalFormatting>
  <conditionalFormatting sqref="I4:I33">
    <cfRule type="cellIs" dxfId="4" priority="3" operator="greaterThan">
      <formula>$I$2</formula>
    </cfRule>
    <cfRule type="cellIs" dxfId="3" priority="4" operator="equal">
      <formula>$I$2</formula>
    </cfRule>
  </conditionalFormatting>
  <conditionalFormatting sqref="J4:J33">
    <cfRule type="cellIs" dxfId="2" priority="2" operator="equal">
      <formula>$J$2</formula>
    </cfRule>
    <cfRule type="cellIs" dxfId="1" priority="1" operator="greaterThan">
      <formula>$J$2</formula>
    </cfRule>
  </conditionalFormatting>
  <conditionalFormatting sqref="L2">
    <cfRule type="cellIs" dxfId="0" priority="32" operator="greaterThan">
      <formula>8</formula>
    </cfRule>
  </conditionalFormatting>
  <pageMargins left="0.7" right="0.7" top="0.75" bottom="0.75" header="0.3" footer="0.3"/>
  <pageSetup paperSize="9" scale="5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pageSetUpPr fitToPage="1"/>
  </sheetPr>
  <dimension ref="A1:EG44"/>
  <sheetViews>
    <sheetView tabSelected="1" view="pageBreakPreview" topLeftCell="T1" zoomScale="55" zoomScaleNormal="50" zoomScaleSheetLayoutView="55" zoomScalePageLayoutView="10" workbookViewId="0">
      <pane ySplit="6" topLeftCell="A43" activePane="bottomLeft" state="frozen"/>
      <selection activeCell="L27" sqref="L27"/>
      <selection pane="bottomLeft" activeCell="Y45" sqref="Y45"/>
    </sheetView>
  </sheetViews>
  <sheetFormatPr defaultRowHeight="38.25" x14ac:dyDescent="0.3"/>
  <cols>
    <col min="1" max="1" width="8.875" style="352" bestFit="1" customWidth="1"/>
    <col min="2" max="2" width="8.875" style="352" customWidth="1"/>
    <col min="3" max="3" width="27.625" style="118" customWidth="1"/>
    <col min="4" max="4" width="8.875" style="352" customWidth="1"/>
    <col min="5" max="5" width="27.625" style="118" customWidth="1"/>
    <col min="6" max="6" width="8.875" style="118" bestFit="1" customWidth="1"/>
    <col min="7" max="7" width="8.875" style="352" customWidth="1"/>
    <col min="8" max="8" width="27.625" style="118" customWidth="1"/>
    <col min="9" max="9" width="8.875" style="352" customWidth="1"/>
    <col min="10" max="10" width="27.625" style="118" customWidth="1"/>
    <col min="11" max="11" width="8.875" style="118" bestFit="1" customWidth="1"/>
    <col min="12" max="12" width="8.875" style="352" customWidth="1"/>
    <col min="13" max="13" width="27.625" style="118" customWidth="1"/>
    <col min="14" max="14" width="8.875" style="352" customWidth="1"/>
    <col min="15" max="15" width="27.625" style="118" customWidth="1"/>
    <col min="16" max="16" width="8.875" style="352" customWidth="1"/>
    <col min="17" max="17" width="27.625" style="118" customWidth="1"/>
    <col min="18" max="18" width="8.875" style="352" customWidth="1"/>
    <col min="19" max="19" width="27.625" style="118" customWidth="1"/>
    <col min="20" max="20" width="8.875" style="118" bestFit="1" customWidth="1"/>
    <col min="21" max="21" width="12.125" style="352" customWidth="1"/>
    <col min="22" max="22" width="27.625" style="118" customWidth="1"/>
    <col min="23" max="23" width="11.625" style="352" customWidth="1"/>
    <col min="24" max="24" width="27.625" style="118" customWidth="1"/>
    <col min="25" max="25" width="8.875" style="352" customWidth="1"/>
    <col min="26" max="26" width="27.625" style="118" customWidth="1"/>
    <col min="27" max="27" width="8.875" style="352" customWidth="1"/>
    <col min="28" max="28" width="27.625" style="118" customWidth="1"/>
    <col min="29" max="29" width="8.875" style="118" bestFit="1" customWidth="1"/>
    <col min="30" max="30" width="8.875" style="352" customWidth="1"/>
    <col min="31" max="31" width="27.625" style="118" customWidth="1"/>
    <col min="32" max="32" width="11.25" style="118" customWidth="1"/>
    <col min="33" max="33" width="27.625" style="118" customWidth="1"/>
    <col min="34" max="34" width="8.875" style="118" customWidth="1"/>
    <col min="35" max="35" width="27.625" style="118" customWidth="1"/>
    <col min="36" max="36" width="8.875" style="118" customWidth="1"/>
    <col min="37" max="37" width="27.625" style="118" customWidth="1"/>
    <col min="38" max="38" width="8.875" style="118" customWidth="1"/>
    <col min="39" max="39" width="27.625" style="118" customWidth="1"/>
    <col min="40" max="40" width="8.875" style="352" customWidth="1"/>
    <col min="41" max="41" width="27.625" style="118" customWidth="1"/>
    <col min="42" max="42" width="8.875" style="352" customWidth="1"/>
    <col min="43" max="43" width="27.625" style="118" customWidth="1"/>
    <col min="44" max="45" width="11.625" style="118" customWidth="1"/>
    <col min="46" max="52" width="11.625" style="352" customWidth="1"/>
    <col min="53" max="53" width="8.875" style="352" customWidth="1"/>
    <col min="54" max="67" width="27.625" style="352" customWidth="1"/>
    <col min="68" max="68" width="8.875" style="352" customWidth="1"/>
    <col min="69" max="69" width="27.625" style="118" customWidth="1"/>
    <col min="70" max="70" width="8.875" style="352" customWidth="1"/>
    <col min="71" max="71" width="27.625" style="118" customWidth="1"/>
    <col min="72" max="72" width="27.625" style="91" customWidth="1"/>
    <col min="73" max="73" width="22.75" style="352" hidden="1" customWidth="1"/>
    <col min="74" max="74" width="29.25" style="352" hidden="1" customWidth="1"/>
    <col min="75" max="75" width="25.625" style="352" hidden="1" customWidth="1"/>
    <col min="76" max="76" width="27.625" style="91" hidden="1" customWidth="1"/>
    <col min="77" max="78" width="24.875" style="352" customWidth="1"/>
    <col min="79" max="79" width="7.125" style="352" customWidth="1"/>
    <col min="80" max="80" width="12.125" style="352" bestFit="1" customWidth="1"/>
    <col min="81" max="81" width="24.75" style="88" customWidth="1"/>
    <col min="82" max="82" width="22" style="89" customWidth="1"/>
    <col min="83" max="83" width="19.5" style="90" customWidth="1"/>
    <col min="84" max="84" width="8.25" style="352" bestFit="1" customWidth="1"/>
    <col min="85" max="85" width="26.875" style="88" customWidth="1"/>
    <col min="86" max="86" width="23" style="89" customWidth="1"/>
    <col min="87" max="87" width="19.5" style="90" customWidth="1"/>
    <col min="88" max="88" width="8.25" style="352" bestFit="1" customWidth="1"/>
    <col min="89" max="89" width="23" style="88" customWidth="1"/>
    <col min="90" max="90" width="22.5" style="89" customWidth="1"/>
    <col min="91" max="91" width="19.5" style="90" customWidth="1"/>
    <col min="92" max="92" width="8.25" style="352" bestFit="1" customWidth="1"/>
    <col min="93" max="93" width="27" style="88" customWidth="1"/>
    <col min="94" max="94" width="19.5" style="89" customWidth="1"/>
    <col min="95" max="95" width="19.5" style="90" customWidth="1"/>
    <col min="96" max="96" width="8.25" style="352" bestFit="1" customWidth="1"/>
    <col min="97" max="97" width="23.5" style="88" customWidth="1"/>
    <col min="98" max="98" width="19.5" style="89" customWidth="1"/>
    <col min="99" max="99" width="19.5" style="90" customWidth="1"/>
    <col min="100" max="100" width="8.25" style="352" bestFit="1" customWidth="1"/>
    <col min="101" max="101" width="24.125" style="88" customWidth="1"/>
    <col min="102" max="102" width="22.25" style="89" customWidth="1"/>
    <col min="103" max="103" width="19.5" style="90" customWidth="1"/>
    <col min="104" max="104" width="8.25" style="352" bestFit="1" customWidth="1"/>
    <col min="105" max="105" width="22" style="88" customWidth="1"/>
    <col min="106" max="106" width="19.5" style="89" customWidth="1"/>
    <col min="107" max="107" width="19.5" style="90" customWidth="1"/>
    <col min="108" max="108" width="8.25" style="352" bestFit="1" customWidth="1"/>
    <col min="109" max="109" width="19.5" style="88" customWidth="1"/>
    <col min="110" max="110" width="19.5" style="89" customWidth="1"/>
    <col min="111" max="111" width="22" style="90" customWidth="1"/>
    <col min="112" max="112" width="20" style="352" customWidth="1"/>
    <col min="113" max="113" width="23.75" style="88" customWidth="1"/>
    <col min="114" max="114" width="22" style="89" customWidth="1"/>
    <col min="115" max="115" width="22.25" style="90" customWidth="1"/>
    <col min="116" max="116" width="12.625" style="352" customWidth="1"/>
    <col min="117" max="117" width="22.5" style="88" customWidth="1"/>
    <col min="118" max="118" width="22.5" style="89" customWidth="1"/>
    <col min="119" max="119" width="22.25" style="90" customWidth="1"/>
    <col min="120" max="120" width="11.875" style="352" customWidth="1"/>
    <col min="121" max="121" width="26.125" style="91" bestFit="1" customWidth="1"/>
    <col min="122" max="122" width="26.125" style="89" bestFit="1" customWidth="1"/>
    <col min="123" max="123" width="24.5" style="89" bestFit="1" customWidth="1"/>
    <col min="124" max="124" width="10.875" style="352" customWidth="1"/>
    <col min="125" max="133" width="25.625" style="92" customWidth="1"/>
    <col min="134" max="134" width="40.25" style="352" customWidth="1"/>
    <col min="135" max="135" width="9" style="352"/>
    <col min="136" max="137" width="9" style="352" customWidth="1"/>
    <col min="138" max="16384" width="9" style="352"/>
  </cols>
  <sheetData>
    <row r="1" spans="1:137" ht="26.1" customHeight="1" x14ac:dyDescent="0.3">
      <c r="A1" s="968" t="s">
        <v>227</v>
      </c>
      <c r="B1" s="968"/>
      <c r="C1" s="968"/>
      <c r="D1" s="968"/>
      <c r="E1" s="968"/>
      <c r="F1" s="968" t="s">
        <v>228</v>
      </c>
      <c r="G1" s="968"/>
      <c r="H1" s="968"/>
      <c r="I1" s="968"/>
      <c r="J1" s="968"/>
      <c r="K1" s="947" t="s">
        <v>229</v>
      </c>
      <c r="L1" s="968"/>
      <c r="M1" s="947"/>
      <c r="N1" s="968"/>
      <c r="O1" s="947"/>
      <c r="P1" s="968"/>
      <c r="Q1" s="947"/>
      <c r="R1" s="968"/>
      <c r="S1" s="947"/>
      <c r="T1" s="947" t="s">
        <v>230</v>
      </c>
      <c r="U1" s="947"/>
      <c r="V1" s="947"/>
      <c r="W1" s="947"/>
      <c r="X1" s="947"/>
      <c r="Y1" s="947"/>
      <c r="Z1" s="947"/>
      <c r="AA1" s="947"/>
      <c r="AB1" s="947"/>
      <c r="AC1" s="947" t="s">
        <v>231</v>
      </c>
      <c r="AD1" s="947"/>
      <c r="AE1" s="947"/>
      <c r="AF1" s="947"/>
      <c r="AG1" s="947"/>
      <c r="AH1" s="947"/>
      <c r="AI1" s="947"/>
      <c r="AJ1" s="947"/>
      <c r="AK1" s="947"/>
      <c r="AL1" s="947"/>
      <c r="AM1" s="947"/>
      <c r="AN1" s="947"/>
      <c r="AO1" s="947"/>
      <c r="AP1" s="348"/>
      <c r="AQ1" s="348"/>
      <c r="AR1" s="947" t="s">
        <v>232</v>
      </c>
      <c r="AS1" s="947"/>
      <c r="AT1" s="947"/>
      <c r="AU1" s="947"/>
      <c r="AV1" s="947"/>
      <c r="AW1" s="947"/>
      <c r="AX1" s="947"/>
      <c r="AY1" s="947"/>
      <c r="AZ1" s="947"/>
      <c r="BA1" s="947" t="s">
        <v>233</v>
      </c>
      <c r="BB1" s="947"/>
      <c r="BC1" s="947"/>
      <c r="BD1" s="947"/>
      <c r="BE1" s="947"/>
      <c r="BF1" s="947"/>
      <c r="BG1" s="947"/>
      <c r="BH1" s="947"/>
      <c r="BI1" s="947"/>
      <c r="BJ1" s="947"/>
      <c r="BK1" s="947"/>
      <c r="BL1" s="947"/>
      <c r="BM1" s="947"/>
      <c r="BN1" s="947"/>
      <c r="BO1" s="947"/>
      <c r="BP1" s="87"/>
      <c r="BQ1" s="947" t="s">
        <v>233</v>
      </c>
      <c r="BR1" s="947"/>
      <c r="BS1" s="947"/>
      <c r="BT1" s="947"/>
      <c r="BU1" s="947"/>
      <c r="BV1" s="947"/>
      <c r="BW1" s="947"/>
      <c r="BX1" s="348"/>
      <c r="ED1" s="949" t="s">
        <v>79</v>
      </c>
    </row>
    <row r="2" spans="1:137" ht="26.1" customHeight="1" x14ac:dyDescent="0.3">
      <c r="A2" s="968"/>
      <c r="B2" s="968"/>
      <c r="C2" s="968"/>
      <c r="D2" s="968"/>
      <c r="E2" s="968"/>
      <c r="F2" s="968"/>
      <c r="G2" s="968"/>
      <c r="H2" s="968"/>
      <c r="I2" s="968"/>
      <c r="J2" s="968"/>
      <c r="K2" s="947"/>
      <c r="L2" s="968"/>
      <c r="M2" s="947"/>
      <c r="N2" s="968"/>
      <c r="O2" s="947"/>
      <c r="P2" s="968"/>
      <c r="Q2" s="947"/>
      <c r="R2" s="968"/>
      <c r="S2" s="947"/>
      <c r="T2" s="947"/>
      <c r="U2" s="947"/>
      <c r="V2" s="947"/>
      <c r="W2" s="947"/>
      <c r="X2" s="947"/>
      <c r="Y2" s="947"/>
      <c r="Z2" s="947"/>
      <c r="AA2" s="947"/>
      <c r="AB2" s="947"/>
      <c r="AC2" s="947"/>
      <c r="AD2" s="947"/>
      <c r="AE2" s="947"/>
      <c r="AF2" s="947"/>
      <c r="AG2" s="947"/>
      <c r="AH2" s="947"/>
      <c r="AI2" s="947"/>
      <c r="AJ2" s="947"/>
      <c r="AK2" s="947"/>
      <c r="AL2" s="947"/>
      <c r="AM2" s="947"/>
      <c r="AN2" s="947"/>
      <c r="AO2" s="947"/>
      <c r="AP2" s="348"/>
      <c r="AQ2" s="348"/>
      <c r="AR2" s="947"/>
      <c r="AS2" s="947"/>
      <c r="AT2" s="947"/>
      <c r="AU2" s="947"/>
      <c r="AV2" s="947"/>
      <c r="AW2" s="947"/>
      <c r="AX2" s="947"/>
      <c r="AY2" s="947"/>
      <c r="AZ2" s="947"/>
      <c r="BA2" s="947"/>
      <c r="BB2" s="947"/>
      <c r="BC2" s="947"/>
      <c r="BD2" s="947"/>
      <c r="BE2" s="947"/>
      <c r="BF2" s="947"/>
      <c r="BG2" s="947"/>
      <c r="BH2" s="947"/>
      <c r="BI2" s="947"/>
      <c r="BJ2" s="947"/>
      <c r="BK2" s="947"/>
      <c r="BL2" s="947"/>
      <c r="BM2" s="947"/>
      <c r="BN2" s="947"/>
      <c r="BO2" s="947"/>
      <c r="BP2" s="87"/>
      <c r="BQ2" s="947"/>
      <c r="BR2" s="947"/>
      <c r="BS2" s="947"/>
      <c r="BT2" s="947"/>
      <c r="BU2" s="947"/>
      <c r="BV2" s="947"/>
      <c r="BW2" s="947"/>
      <c r="BX2" s="348"/>
      <c r="ED2" s="949"/>
    </row>
    <row r="3" spans="1:137" ht="26.1" customHeight="1" thickBot="1" x14ac:dyDescent="0.35">
      <c r="A3" s="968"/>
      <c r="B3" s="968"/>
      <c r="C3" s="968"/>
      <c r="D3" s="968"/>
      <c r="E3" s="968"/>
      <c r="F3" s="968"/>
      <c r="G3" s="968"/>
      <c r="H3" s="968"/>
      <c r="I3" s="968"/>
      <c r="J3" s="968"/>
      <c r="K3" s="947"/>
      <c r="L3" s="968"/>
      <c r="M3" s="947"/>
      <c r="N3" s="968"/>
      <c r="O3" s="947"/>
      <c r="P3" s="968"/>
      <c r="Q3" s="947"/>
      <c r="R3" s="968"/>
      <c r="S3" s="947"/>
      <c r="T3" s="948"/>
      <c r="U3" s="948"/>
      <c r="V3" s="948"/>
      <c r="W3" s="948"/>
      <c r="X3" s="948"/>
      <c r="Y3" s="948"/>
      <c r="Z3" s="948"/>
      <c r="AA3" s="948"/>
      <c r="AB3" s="948"/>
      <c r="AC3" s="947"/>
      <c r="AD3" s="947"/>
      <c r="AE3" s="947"/>
      <c r="AF3" s="947"/>
      <c r="AG3" s="947"/>
      <c r="AH3" s="947"/>
      <c r="AI3" s="947"/>
      <c r="AJ3" s="947"/>
      <c r="AK3" s="947"/>
      <c r="AL3" s="947"/>
      <c r="AM3" s="947"/>
      <c r="AN3" s="947"/>
      <c r="AO3" s="947"/>
      <c r="AP3" s="348"/>
      <c r="AQ3" s="348"/>
      <c r="AR3" s="948"/>
      <c r="AS3" s="948"/>
      <c r="AT3" s="948"/>
      <c r="AU3" s="948"/>
      <c r="AV3" s="948"/>
      <c r="AW3" s="948"/>
      <c r="AX3" s="948"/>
      <c r="AY3" s="947"/>
      <c r="AZ3" s="948"/>
      <c r="BA3" s="948"/>
      <c r="BB3" s="948"/>
      <c r="BC3" s="948"/>
      <c r="BD3" s="948"/>
      <c r="BE3" s="948"/>
      <c r="BF3" s="948"/>
      <c r="BG3" s="948"/>
      <c r="BH3" s="948"/>
      <c r="BI3" s="948"/>
      <c r="BJ3" s="948"/>
      <c r="BK3" s="948"/>
      <c r="BL3" s="948"/>
      <c r="BM3" s="948"/>
      <c r="BN3" s="948"/>
      <c r="BO3" s="948"/>
      <c r="BP3" s="93"/>
      <c r="BQ3" s="947"/>
      <c r="BR3" s="947"/>
      <c r="BS3" s="947"/>
      <c r="BT3" s="947"/>
      <c r="BU3" s="947"/>
      <c r="BV3" s="947"/>
      <c r="BW3" s="947"/>
      <c r="BX3" s="348"/>
      <c r="BY3" s="352" t="s">
        <v>147</v>
      </c>
      <c r="ED3" s="950"/>
    </row>
    <row r="4" spans="1:137" ht="51.75" customHeight="1" thickTop="1" thickBot="1" x14ac:dyDescent="0.35">
      <c r="A4" s="953" t="s">
        <v>80</v>
      </c>
      <c r="B4" s="951"/>
      <c r="C4" s="951"/>
      <c r="D4" s="951"/>
      <c r="E4" s="952"/>
      <c r="F4" s="953" t="s">
        <v>80</v>
      </c>
      <c r="G4" s="951"/>
      <c r="H4" s="951"/>
      <c r="I4" s="951"/>
      <c r="J4" s="952"/>
      <c r="K4" s="953" t="s">
        <v>80</v>
      </c>
      <c r="L4" s="956" t="s">
        <v>24</v>
      </c>
      <c r="M4" s="951"/>
      <c r="N4" s="951"/>
      <c r="O4" s="951"/>
      <c r="P4" s="951"/>
      <c r="Q4" s="951"/>
      <c r="R4" s="951"/>
      <c r="S4" s="952"/>
      <c r="T4" s="953" t="s">
        <v>80</v>
      </c>
      <c r="U4" s="942" t="s">
        <v>1268</v>
      </c>
      <c r="V4" s="957"/>
      <c r="W4" s="942" t="s">
        <v>182</v>
      </c>
      <c r="X4" s="958"/>
      <c r="Y4" s="959" t="s">
        <v>183</v>
      </c>
      <c r="Z4" s="960"/>
      <c r="AA4" s="956" t="s">
        <v>184</v>
      </c>
      <c r="AB4" s="952"/>
      <c r="AC4" s="953" t="s">
        <v>80</v>
      </c>
      <c r="AD4" s="961" t="s">
        <v>52</v>
      </c>
      <c r="AE4" s="957"/>
      <c r="AF4" s="942" t="s">
        <v>70</v>
      </c>
      <c r="AG4" s="958"/>
      <c r="AH4" s="942" t="s">
        <v>136</v>
      </c>
      <c r="AI4" s="958"/>
      <c r="AJ4" s="942" t="s">
        <v>82</v>
      </c>
      <c r="AK4" s="958"/>
      <c r="AL4" s="942" t="s">
        <v>83</v>
      </c>
      <c r="AM4" s="958"/>
      <c r="AN4" s="942" t="s">
        <v>81</v>
      </c>
      <c r="AO4" s="958"/>
      <c r="AP4" s="942" t="s">
        <v>170</v>
      </c>
      <c r="AQ4" s="958"/>
      <c r="AR4" s="953" t="s">
        <v>80</v>
      </c>
      <c r="AS4" s="962" t="s">
        <v>144</v>
      </c>
      <c r="AT4" s="963" t="s">
        <v>84</v>
      </c>
      <c r="AU4" s="942" t="s">
        <v>85</v>
      </c>
      <c r="AV4" s="942"/>
      <c r="AW4" s="942" t="s">
        <v>86</v>
      </c>
      <c r="AX4" s="943"/>
      <c r="AY4" s="975" t="s">
        <v>87</v>
      </c>
      <c r="AZ4" s="977" t="s">
        <v>64</v>
      </c>
      <c r="BA4" s="953" t="s">
        <v>80</v>
      </c>
      <c r="BB4" s="935"/>
      <c r="BC4" s="936"/>
      <c r="BD4" s="936"/>
      <c r="BE4" s="936"/>
      <c r="BF4" s="936"/>
      <c r="BG4" s="936"/>
      <c r="BH4" s="936"/>
      <c r="BI4" s="936"/>
      <c r="BJ4" s="936"/>
      <c r="BK4" s="936"/>
      <c r="BL4" s="936"/>
      <c r="BM4" s="936"/>
      <c r="BN4" s="936"/>
      <c r="BO4" s="937"/>
      <c r="BP4" s="941" t="s">
        <v>88</v>
      </c>
      <c r="BQ4" s="942"/>
      <c r="BR4" s="942"/>
      <c r="BS4" s="942"/>
      <c r="BT4" s="943"/>
      <c r="BU4" s="944" t="s">
        <v>89</v>
      </c>
      <c r="BV4" s="945"/>
      <c r="BW4" s="946"/>
      <c r="BX4" s="982" t="s">
        <v>149</v>
      </c>
      <c r="CB4" s="985" t="s">
        <v>234</v>
      </c>
      <c r="CC4" s="986"/>
      <c r="CD4" s="986"/>
      <c r="CE4" s="986"/>
      <c r="CF4" s="986"/>
      <c r="CG4" s="986"/>
      <c r="CH4" s="986"/>
      <c r="CI4" s="986"/>
      <c r="CJ4" s="986"/>
      <c r="CK4" s="986"/>
      <c r="CL4" s="986"/>
      <c r="CM4" s="986"/>
      <c r="CN4" s="986"/>
      <c r="CO4" s="986"/>
      <c r="CP4" s="986"/>
      <c r="CQ4" s="986"/>
      <c r="CR4" s="986"/>
      <c r="CS4" s="986"/>
      <c r="CT4" s="986"/>
      <c r="CU4" s="986"/>
      <c r="CV4" s="986"/>
      <c r="CW4" s="986"/>
      <c r="CX4" s="986"/>
      <c r="CY4" s="986"/>
      <c r="CZ4" s="986"/>
      <c r="DA4" s="986"/>
      <c r="DB4" s="986"/>
      <c r="DC4" s="986"/>
      <c r="DD4" s="986"/>
      <c r="DE4" s="986"/>
      <c r="DF4" s="986"/>
      <c r="DG4" s="986"/>
      <c r="DH4" s="986"/>
      <c r="DI4" s="986"/>
      <c r="DJ4" s="986"/>
      <c r="DK4" s="986"/>
      <c r="DL4" s="986"/>
      <c r="DM4" s="987"/>
      <c r="DN4" s="987"/>
      <c r="DO4" s="987"/>
      <c r="DP4" s="987"/>
      <c r="DQ4" s="987"/>
      <c r="DR4" s="987"/>
      <c r="DS4" s="988"/>
      <c r="DU4" s="989" t="s">
        <v>90</v>
      </c>
      <c r="DV4" s="969" t="s">
        <v>91</v>
      </c>
      <c r="DW4" s="969" t="s">
        <v>92</v>
      </c>
      <c r="DX4" s="969" t="s">
        <v>93</v>
      </c>
      <c r="DY4" s="969" t="s">
        <v>94</v>
      </c>
      <c r="DZ4" s="969" t="s">
        <v>95</v>
      </c>
      <c r="EA4" s="969" t="s">
        <v>96</v>
      </c>
      <c r="EB4" s="969" t="s">
        <v>97</v>
      </c>
      <c r="EC4" s="972" t="s">
        <v>98</v>
      </c>
      <c r="ED4" s="979" t="s">
        <v>99</v>
      </c>
    </row>
    <row r="5" spans="1:137" ht="40.5" customHeight="1" thickBot="1" x14ac:dyDescent="0.35">
      <c r="A5" s="954"/>
      <c r="B5" s="922" t="s">
        <v>28</v>
      </c>
      <c r="C5" s="965"/>
      <c r="D5" s="966" t="s">
        <v>30</v>
      </c>
      <c r="E5" s="924"/>
      <c r="F5" s="954"/>
      <c r="G5" s="922" t="s">
        <v>28</v>
      </c>
      <c r="H5" s="965"/>
      <c r="I5" s="966" t="s">
        <v>30</v>
      </c>
      <c r="J5" s="924"/>
      <c r="K5" s="954"/>
      <c r="L5" s="926" t="s">
        <v>29</v>
      </c>
      <c r="M5" s="927"/>
      <c r="N5" s="928" t="s">
        <v>30</v>
      </c>
      <c r="O5" s="967"/>
      <c r="P5" s="922" t="s">
        <v>28</v>
      </c>
      <c r="Q5" s="965"/>
      <c r="R5" s="966" t="s">
        <v>30</v>
      </c>
      <c r="S5" s="924"/>
      <c r="T5" s="954"/>
      <c r="U5" s="966" t="s">
        <v>28</v>
      </c>
      <c r="V5" s="923"/>
      <c r="W5" s="966" t="s">
        <v>28</v>
      </c>
      <c r="X5" s="924"/>
      <c r="Y5" s="925" t="s">
        <v>1267</v>
      </c>
      <c r="Z5" s="923"/>
      <c r="AA5" s="922" t="s">
        <v>28</v>
      </c>
      <c r="AB5" s="924"/>
      <c r="AC5" s="954"/>
      <c r="AD5" s="922" t="s">
        <v>28</v>
      </c>
      <c r="AE5" s="923"/>
      <c r="AF5" s="922" t="s">
        <v>28</v>
      </c>
      <c r="AG5" s="924"/>
      <c r="AH5" s="925" t="s">
        <v>28</v>
      </c>
      <c r="AI5" s="924"/>
      <c r="AJ5" s="925" t="s">
        <v>28</v>
      </c>
      <c r="AK5" s="924"/>
      <c r="AL5" s="925" t="s">
        <v>28</v>
      </c>
      <c r="AM5" s="924"/>
      <c r="AN5" s="925" t="s">
        <v>28</v>
      </c>
      <c r="AO5" s="924"/>
      <c r="AP5" s="925" t="s">
        <v>28</v>
      </c>
      <c r="AQ5" s="924"/>
      <c r="AR5" s="954"/>
      <c r="AS5" s="932"/>
      <c r="AT5" s="964"/>
      <c r="AU5" s="94" t="s">
        <v>29</v>
      </c>
      <c r="AV5" s="94" t="s">
        <v>28</v>
      </c>
      <c r="AW5" s="94" t="s">
        <v>29</v>
      </c>
      <c r="AX5" s="350" t="s">
        <v>28</v>
      </c>
      <c r="AY5" s="976"/>
      <c r="AZ5" s="978"/>
      <c r="BA5" s="954"/>
      <c r="BB5" s="938"/>
      <c r="BC5" s="939"/>
      <c r="BD5" s="939"/>
      <c r="BE5" s="939"/>
      <c r="BF5" s="939"/>
      <c r="BG5" s="939"/>
      <c r="BH5" s="939"/>
      <c r="BI5" s="939"/>
      <c r="BJ5" s="939"/>
      <c r="BK5" s="939"/>
      <c r="BL5" s="939"/>
      <c r="BM5" s="939"/>
      <c r="BN5" s="939"/>
      <c r="BO5" s="940"/>
      <c r="BP5" s="926" t="s">
        <v>100</v>
      </c>
      <c r="BQ5" s="927"/>
      <c r="BR5" s="928" t="s">
        <v>101</v>
      </c>
      <c r="BS5" s="927"/>
      <c r="BT5" s="929" t="s">
        <v>42</v>
      </c>
      <c r="BU5" s="931" t="s">
        <v>102</v>
      </c>
      <c r="BV5" s="933" t="s">
        <v>103</v>
      </c>
      <c r="BW5" s="992" t="s">
        <v>104</v>
      </c>
      <c r="BX5" s="983"/>
      <c r="CB5" s="351" t="s">
        <v>105</v>
      </c>
      <c r="CC5" s="915" t="s">
        <v>106</v>
      </c>
      <c r="CD5" s="916"/>
      <c r="CE5" s="916"/>
      <c r="CF5" s="917"/>
      <c r="CG5" s="915" t="s">
        <v>107</v>
      </c>
      <c r="CH5" s="916"/>
      <c r="CI5" s="916"/>
      <c r="CJ5" s="917"/>
      <c r="CK5" s="915" t="s">
        <v>108</v>
      </c>
      <c r="CL5" s="916"/>
      <c r="CM5" s="916"/>
      <c r="CN5" s="917"/>
      <c r="CO5" s="915" t="s">
        <v>109</v>
      </c>
      <c r="CP5" s="916"/>
      <c r="CQ5" s="916"/>
      <c r="CR5" s="917"/>
      <c r="CS5" s="915" t="s">
        <v>110</v>
      </c>
      <c r="CT5" s="916"/>
      <c r="CU5" s="916"/>
      <c r="CV5" s="917"/>
      <c r="CW5" s="915" t="s">
        <v>111</v>
      </c>
      <c r="CX5" s="916"/>
      <c r="CY5" s="916"/>
      <c r="CZ5" s="917"/>
      <c r="DA5" s="915" t="s">
        <v>143</v>
      </c>
      <c r="DB5" s="916"/>
      <c r="DC5" s="916"/>
      <c r="DD5" s="917"/>
      <c r="DE5" s="915" t="s">
        <v>112</v>
      </c>
      <c r="DF5" s="916"/>
      <c r="DG5" s="916"/>
      <c r="DH5" s="917"/>
      <c r="DI5" s="915" t="s">
        <v>113</v>
      </c>
      <c r="DJ5" s="916"/>
      <c r="DK5" s="916"/>
      <c r="DL5" s="917"/>
      <c r="DM5" s="915" t="s">
        <v>114</v>
      </c>
      <c r="DN5" s="916"/>
      <c r="DO5" s="916"/>
      <c r="DP5" s="917"/>
      <c r="DQ5" s="918" t="s">
        <v>115</v>
      </c>
      <c r="DR5" s="920" t="s">
        <v>116</v>
      </c>
      <c r="DS5" s="920" t="s">
        <v>117</v>
      </c>
      <c r="DU5" s="990"/>
      <c r="DV5" s="970"/>
      <c r="DW5" s="970"/>
      <c r="DX5" s="970"/>
      <c r="DY5" s="970"/>
      <c r="DZ5" s="970"/>
      <c r="EA5" s="970"/>
      <c r="EB5" s="970"/>
      <c r="EC5" s="973"/>
      <c r="ED5" s="980"/>
    </row>
    <row r="6" spans="1:137" ht="40.5" customHeight="1" thickBot="1" x14ac:dyDescent="0.35">
      <c r="A6" s="955"/>
      <c r="B6" s="349" t="s">
        <v>118</v>
      </c>
      <c r="C6" s="96" t="s">
        <v>27</v>
      </c>
      <c r="D6" s="350" t="s">
        <v>118</v>
      </c>
      <c r="E6" s="98" t="s">
        <v>27</v>
      </c>
      <c r="F6" s="955"/>
      <c r="G6" s="349" t="s">
        <v>118</v>
      </c>
      <c r="H6" s="96" t="s">
        <v>27</v>
      </c>
      <c r="I6" s="350" t="s">
        <v>118</v>
      </c>
      <c r="J6" s="98" t="s">
        <v>27</v>
      </c>
      <c r="K6" s="955"/>
      <c r="L6" s="95" t="s">
        <v>118</v>
      </c>
      <c r="M6" s="96" t="s">
        <v>27</v>
      </c>
      <c r="N6" s="350" t="s">
        <v>118</v>
      </c>
      <c r="O6" s="97" t="s">
        <v>27</v>
      </c>
      <c r="P6" s="349" t="s">
        <v>118</v>
      </c>
      <c r="Q6" s="96" t="s">
        <v>27</v>
      </c>
      <c r="R6" s="350" t="s">
        <v>118</v>
      </c>
      <c r="S6" s="98" t="s">
        <v>27</v>
      </c>
      <c r="T6" s="955"/>
      <c r="U6" s="94" t="s">
        <v>118</v>
      </c>
      <c r="V6" s="97" t="s">
        <v>27</v>
      </c>
      <c r="W6" s="94" t="s">
        <v>118</v>
      </c>
      <c r="X6" s="98" t="s">
        <v>27</v>
      </c>
      <c r="Y6" s="94" t="s">
        <v>118</v>
      </c>
      <c r="Z6" s="97" t="s">
        <v>27</v>
      </c>
      <c r="AA6" s="94" t="s">
        <v>118</v>
      </c>
      <c r="AB6" s="98" t="s">
        <v>27</v>
      </c>
      <c r="AC6" s="955"/>
      <c r="AD6" s="94" t="s">
        <v>118</v>
      </c>
      <c r="AE6" s="97" t="s">
        <v>27</v>
      </c>
      <c r="AF6" s="94" t="s">
        <v>118</v>
      </c>
      <c r="AG6" s="98" t="s">
        <v>27</v>
      </c>
      <c r="AH6" s="94" t="s">
        <v>118</v>
      </c>
      <c r="AI6" s="98" t="s">
        <v>27</v>
      </c>
      <c r="AJ6" s="94" t="s">
        <v>118</v>
      </c>
      <c r="AK6" s="98" t="s">
        <v>27</v>
      </c>
      <c r="AL6" s="94" t="s">
        <v>118</v>
      </c>
      <c r="AM6" s="98" t="s">
        <v>27</v>
      </c>
      <c r="AN6" s="94" t="s">
        <v>118</v>
      </c>
      <c r="AO6" s="98" t="s">
        <v>27</v>
      </c>
      <c r="AP6" s="94" t="s">
        <v>118</v>
      </c>
      <c r="AQ6" s="98" t="s">
        <v>27</v>
      </c>
      <c r="AR6" s="955"/>
      <c r="AS6" s="94" t="s">
        <v>118</v>
      </c>
      <c r="AT6" s="94" t="s">
        <v>118</v>
      </c>
      <c r="AU6" s="94" t="s">
        <v>118</v>
      </c>
      <c r="AV6" s="94" t="s">
        <v>118</v>
      </c>
      <c r="AW6" s="94" t="s">
        <v>118</v>
      </c>
      <c r="AX6" s="350" t="s">
        <v>118</v>
      </c>
      <c r="AY6" s="211" t="s">
        <v>118</v>
      </c>
      <c r="AZ6" s="209" t="s">
        <v>118</v>
      </c>
      <c r="BA6" s="955"/>
      <c r="BB6" s="99" t="s">
        <v>21</v>
      </c>
      <c r="BC6" s="100" t="s">
        <v>22</v>
      </c>
      <c r="BD6" s="100" t="s">
        <v>41</v>
      </c>
      <c r="BE6" s="100" t="s">
        <v>74</v>
      </c>
      <c r="BF6" s="100" t="s">
        <v>73</v>
      </c>
      <c r="BG6" s="100" t="s">
        <v>185</v>
      </c>
      <c r="BH6" s="100" t="s">
        <v>186</v>
      </c>
      <c r="BI6" s="101" t="s">
        <v>137</v>
      </c>
      <c r="BJ6" s="101" t="s">
        <v>138</v>
      </c>
      <c r="BK6" s="101" t="s">
        <v>139</v>
      </c>
      <c r="BL6" s="101" t="s">
        <v>140</v>
      </c>
      <c r="BM6" s="101" t="s">
        <v>141</v>
      </c>
      <c r="BN6" s="357" t="s">
        <v>187</v>
      </c>
      <c r="BO6" s="102" t="s">
        <v>142</v>
      </c>
      <c r="BP6" s="95" t="s">
        <v>118</v>
      </c>
      <c r="BQ6" s="96" t="s">
        <v>27</v>
      </c>
      <c r="BR6" s="94" t="s">
        <v>118</v>
      </c>
      <c r="BS6" s="96" t="s">
        <v>27</v>
      </c>
      <c r="BT6" s="930"/>
      <c r="BU6" s="932"/>
      <c r="BV6" s="934"/>
      <c r="BW6" s="993"/>
      <c r="BX6" s="984"/>
      <c r="BY6" s="286" t="s">
        <v>154</v>
      </c>
      <c r="BZ6" s="287" t="s">
        <v>155</v>
      </c>
      <c r="CB6" s="103" t="s">
        <v>80</v>
      </c>
      <c r="CC6" s="104" t="s">
        <v>119</v>
      </c>
      <c r="CD6" s="105" t="s">
        <v>120</v>
      </c>
      <c r="CE6" s="106" t="s">
        <v>121</v>
      </c>
      <c r="CF6" s="107" t="s">
        <v>122</v>
      </c>
      <c r="CG6" s="104" t="s">
        <v>119</v>
      </c>
      <c r="CH6" s="105" t="s">
        <v>120</v>
      </c>
      <c r="CI6" s="106" t="s">
        <v>121</v>
      </c>
      <c r="CJ6" s="107" t="s">
        <v>122</v>
      </c>
      <c r="CK6" s="104" t="s">
        <v>119</v>
      </c>
      <c r="CL6" s="105" t="s">
        <v>120</v>
      </c>
      <c r="CM6" s="106" t="s">
        <v>121</v>
      </c>
      <c r="CN6" s="107" t="s">
        <v>122</v>
      </c>
      <c r="CO6" s="104" t="s">
        <v>119</v>
      </c>
      <c r="CP6" s="105" t="s">
        <v>120</v>
      </c>
      <c r="CQ6" s="106" t="s">
        <v>121</v>
      </c>
      <c r="CR6" s="107" t="s">
        <v>122</v>
      </c>
      <c r="CS6" s="104" t="s">
        <v>119</v>
      </c>
      <c r="CT6" s="105" t="s">
        <v>120</v>
      </c>
      <c r="CU6" s="106" t="s">
        <v>121</v>
      </c>
      <c r="CV6" s="107" t="s">
        <v>122</v>
      </c>
      <c r="CW6" s="104" t="s">
        <v>119</v>
      </c>
      <c r="CX6" s="105" t="s">
        <v>120</v>
      </c>
      <c r="CY6" s="106" t="s">
        <v>121</v>
      </c>
      <c r="CZ6" s="107" t="s">
        <v>122</v>
      </c>
      <c r="DA6" s="104" t="s">
        <v>119</v>
      </c>
      <c r="DB6" s="105" t="s">
        <v>120</v>
      </c>
      <c r="DC6" s="106" t="s">
        <v>121</v>
      </c>
      <c r="DD6" s="107" t="s">
        <v>122</v>
      </c>
      <c r="DE6" s="104" t="s">
        <v>119</v>
      </c>
      <c r="DF6" s="105" t="s">
        <v>120</v>
      </c>
      <c r="DG6" s="106" t="s">
        <v>121</v>
      </c>
      <c r="DH6" s="107" t="s">
        <v>122</v>
      </c>
      <c r="DI6" s="104" t="s">
        <v>119</v>
      </c>
      <c r="DJ6" s="105" t="s">
        <v>120</v>
      </c>
      <c r="DK6" s="106" t="s">
        <v>121</v>
      </c>
      <c r="DL6" s="107" t="s">
        <v>122</v>
      </c>
      <c r="DM6" s="104" t="s">
        <v>119</v>
      </c>
      <c r="DN6" s="105" t="s">
        <v>120</v>
      </c>
      <c r="DO6" s="106" t="s">
        <v>121</v>
      </c>
      <c r="DP6" s="107" t="s">
        <v>122</v>
      </c>
      <c r="DQ6" s="919"/>
      <c r="DR6" s="921"/>
      <c r="DS6" s="921"/>
      <c r="DU6" s="991"/>
      <c r="DV6" s="971"/>
      <c r="DW6" s="971"/>
      <c r="DX6" s="971"/>
      <c r="DY6" s="971"/>
      <c r="DZ6" s="971"/>
      <c r="EA6" s="971"/>
      <c r="EB6" s="971"/>
      <c r="EC6" s="974"/>
      <c r="ED6" s="981"/>
    </row>
    <row r="7" spans="1:137" ht="40.5" customHeight="1" thickBot="1" x14ac:dyDescent="0.35">
      <c r="A7" s="108">
        <v>1</v>
      </c>
      <c r="B7" s="205">
        <f>SUM('1'!$AL$10:$AM$10)</f>
        <v>0</v>
      </c>
      <c r="C7" s="203">
        <f>SUM('1'!$AN$10:$AO$10)</f>
        <v>0</v>
      </c>
      <c r="D7" s="204">
        <f>SUM('2'!$AL$12:$AM$12)</f>
        <v>0</v>
      </c>
      <c r="E7" s="206">
        <f>SUM('1'!$AN$12:$AO$12)</f>
        <v>0</v>
      </c>
      <c r="F7" s="108">
        <v>1</v>
      </c>
      <c r="G7" s="208">
        <f>SUM('1'!$AP$10:$AQ$10)</f>
        <v>1</v>
      </c>
      <c r="H7" s="96">
        <f>SUM('1'!$AR$10:$AS$10)</f>
        <v>80000</v>
      </c>
      <c r="I7" s="207">
        <f>SUM('1'!$AP$12:$AQ$12)</f>
        <v>0</v>
      </c>
      <c r="J7" s="98">
        <f>SUM('1'!$AR$12:$AS$12)</f>
        <v>0</v>
      </c>
      <c r="K7" s="108">
        <v>1</v>
      </c>
      <c r="L7" s="202">
        <f>SUM('1'!$AX$11:$AY$11)</f>
        <v>0</v>
      </c>
      <c r="M7" s="96">
        <f>SUM('1'!$AZ$11:$BA$11)</f>
        <v>0</v>
      </c>
      <c r="N7" s="207">
        <f>SUM('1'!$AX$13:$AY$13)</f>
        <v>0</v>
      </c>
      <c r="O7" s="97">
        <f>SUM('1'!$AZ$13:$BA$13)</f>
        <v>0</v>
      </c>
      <c r="P7" s="208">
        <f>SUM('1'!$AX$10:$AY$10)</f>
        <v>0</v>
      </c>
      <c r="Q7" s="96">
        <f>SUM('1'!$AZ$10:$BA$10)</f>
        <v>0</v>
      </c>
      <c r="R7" s="207">
        <f>SUM('1'!$AX$12:$AY$12)</f>
        <v>0</v>
      </c>
      <c r="S7" s="98">
        <f>SUM('1'!$AZ$12:$BA$12)</f>
        <v>0</v>
      </c>
      <c r="T7" s="108">
        <v>1</v>
      </c>
      <c r="U7" s="94">
        <f>SUM('1'!$AP$60)</f>
        <v>3</v>
      </c>
      <c r="V7" s="97">
        <f>SUM('1'!$AQ$60)</f>
        <v>120000</v>
      </c>
      <c r="W7" s="94">
        <f>SUM('1'!$AP$61)</f>
        <v>5</v>
      </c>
      <c r="X7" s="98">
        <f>SUM('1'!$AQ$61)</f>
        <v>255000</v>
      </c>
      <c r="Y7" s="94">
        <f>SUM('1'!$AP$69)</f>
        <v>0</v>
      </c>
      <c r="Z7" s="97">
        <f>SUM('1'!$AQ$69)</f>
        <v>0</v>
      </c>
      <c r="AA7" s="94">
        <f>SUM('1'!$AP$70)</f>
        <v>0</v>
      </c>
      <c r="AB7" s="98">
        <f>SUM('1'!$AQ$70)</f>
        <v>0</v>
      </c>
      <c r="AC7" s="108">
        <v>1</v>
      </c>
      <c r="AD7" s="109">
        <f>SUM('1'!$AP$62)</f>
        <v>0</v>
      </c>
      <c r="AE7" s="110">
        <f>SUM('1'!$AQ$62)</f>
        <v>0</v>
      </c>
      <c r="AF7" s="94">
        <f>SUM('1'!$AP$66)</f>
        <v>3</v>
      </c>
      <c r="AG7" s="98">
        <f>SUM('1'!$AQ$66)</f>
        <v>397800</v>
      </c>
      <c r="AH7" s="94">
        <f>SUM('1'!$AP$65)</f>
        <v>1</v>
      </c>
      <c r="AI7" s="98">
        <f>SUM('1'!$AQ$65)</f>
        <v>0</v>
      </c>
      <c r="AJ7" s="94">
        <f>SUM('1'!$AP$63)</f>
        <v>0</v>
      </c>
      <c r="AK7" s="98">
        <f>SUM('1'!$AQ$63)</f>
        <v>0</v>
      </c>
      <c r="AL7" s="94">
        <f>SUM('1'!$AP$64)</f>
        <v>0</v>
      </c>
      <c r="AM7" s="98">
        <f>SUM('1'!$AQ$64)</f>
        <v>0</v>
      </c>
      <c r="AN7" s="94">
        <f>SUM('1'!$AP$67)</f>
        <v>0</v>
      </c>
      <c r="AO7" s="98">
        <f>SUM('1'!$AQ$67)</f>
        <v>0</v>
      </c>
      <c r="AP7" s="94">
        <f>SUM('1'!$AP$68)</f>
        <v>1</v>
      </c>
      <c r="AQ7" s="98">
        <f>SUM('1'!$AQ$68)</f>
        <v>93925</v>
      </c>
      <c r="AR7" s="108">
        <v>1</v>
      </c>
      <c r="AS7" s="94"/>
      <c r="AT7" s="94"/>
      <c r="AU7" s="94"/>
      <c r="AV7" s="94"/>
      <c r="AW7" s="94"/>
      <c r="AX7" s="350"/>
      <c r="AY7" s="211"/>
      <c r="AZ7" s="213" t="e">
        <f>SUM('[1]1'!AW24:AX24)</f>
        <v>#REF!</v>
      </c>
      <c r="BA7" s="108">
        <v>1</v>
      </c>
      <c r="BB7" s="111">
        <f>SUM('1'!$AN$14:$AO$15)</f>
        <v>0</v>
      </c>
      <c r="BC7" s="112">
        <f>SUM('1'!$AR$14:$AS$15)</f>
        <v>86000</v>
      </c>
      <c r="BD7" s="112">
        <f>SUM('1'!$AZ$14:$BA$15)</f>
        <v>0</v>
      </c>
      <c r="BE7" s="112">
        <f>SUM('1'!$AS$60)</f>
        <v>120000</v>
      </c>
      <c r="BF7" s="112">
        <f>SUM('1'!$AS$61)</f>
        <v>255000</v>
      </c>
      <c r="BG7" s="112">
        <f>SUM('1'!$AS$69)</f>
        <v>0</v>
      </c>
      <c r="BH7" s="112">
        <f>SUM('1'!$AS$70)</f>
        <v>0</v>
      </c>
      <c r="BI7" s="113">
        <f>SUM('1'!$AS$62)</f>
        <v>0</v>
      </c>
      <c r="BJ7" s="113">
        <f>SUM('1'!$AS$66)</f>
        <v>397800</v>
      </c>
      <c r="BK7" s="113">
        <f>SUM('1'!$AS$67)</f>
        <v>0</v>
      </c>
      <c r="BL7" s="113">
        <f>SUM('1'!$AS$63)</f>
        <v>0</v>
      </c>
      <c r="BM7" s="113">
        <f>SUM('1'!$AS$65)</f>
        <v>0</v>
      </c>
      <c r="BN7" s="358">
        <f>SUM('1'!$AS$68)</f>
        <v>93925</v>
      </c>
      <c r="BO7" s="114">
        <f>SUM('1'!$AS$64)</f>
        <v>0</v>
      </c>
      <c r="BP7" s="115">
        <f>SUM('1'!$AM$73)</f>
        <v>0</v>
      </c>
      <c r="BQ7" s="307">
        <f>SUM('1'!$AN$73)</f>
        <v>0</v>
      </c>
      <c r="BR7" s="308">
        <f>SUM('1'!$AP$73)</f>
        <v>13</v>
      </c>
      <c r="BS7" s="307">
        <f>SUM('1'!$AQ$73)</f>
        <v>866725</v>
      </c>
      <c r="BT7" s="309">
        <f>BB7+BC7+BD7+BE7+BF7+BG7+BH7+BI7+BJ7+BK7+BL7+BM7+BN7+BO7</f>
        <v>952725</v>
      </c>
      <c r="BU7" s="310"/>
      <c r="BV7" s="311"/>
      <c r="BW7" s="312"/>
      <c r="BX7" s="313"/>
      <c r="BY7" s="288">
        <f>BX7/1</f>
        <v>0</v>
      </c>
      <c r="BZ7" s="289">
        <f>BY7*31</f>
        <v>0</v>
      </c>
      <c r="CB7" s="119">
        <v>1</v>
      </c>
      <c r="CC7" s="120">
        <f t="shared" ref="CC7:CC36" si="0">SUM(BE7)</f>
        <v>120000</v>
      </c>
      <c r="CD7" s="121"/>
      <c r="CE7" s="122"/>
      <c r="CF7" s="123"/>
      <c r="CG7" s="120">
        <f t="shared" ref="CG7:CG36" si="1">SUM(BF7)</f>
        <v>255000</v>
      </c>
      <c r="CH7" s="121"/>
      <c r="CI7" s="122"/>
      <c r="CJ7" s="123"/>
      <c r="CK7" s="120">
        <f t="shared" ref="CK7:CK36" si="2">SUM(BI7)</f>
        <v>0</v>
      </c>
      <c r="CL7" s="121"/>
      <c r="CM7" s="122"/>
      <c r="CN7" s="123"/>
      <c r="CO7" s="120">
        <f t="shared" ref="CO7:CO36" si="3">SUM(BJ7)</f>
        <v>397800</v>
      </c>
      <c r="CP7" s="121"/>
      <c r="CQ7" s="122"/>
      <c r="CR7" s="123"/>
      <c r="CS7" s="120">
        <f t="shared" ref="CS7:CS36" si="4">SUM(BK7)</f>
        <v>0</v>
      </c>
      <c r="CT7" s="121"/>
      <c r="CU7" s="122"/>
      <c r="CV7" s="123"/>
      <c r="CW7" s="120">
        <f t="shared" ref="CW7:CW36" si="5">SUM(BL7)</f>
        <v>0</v>
      </c>
      <c r="CX7" s="121"/>
      <c r="CY7" s="122"/>
      <c r="CZ7" s="123"/>
      <c r="DA7" s="120">
        <f t="shared" ref="DA7:DA36" si="6">SUM(BM7)</f>
        <v>0</v>
      </c>
      <c r="DB7" s="121"/>
      <c r="DC7" s="122"/>
      <c r="DD7" s="123"/>
      <c r="DE7" s="120">
        <f t="shared" ref="DE7:DE36" si="7">SUM(BO7)</f>
        <v>0</v>
      </c>
      <c r="DF7" s="121"/>
      <c r="DG7" s="122"/>
      <c r="DH7" s="123"/>
      <c r="DI7" s="120">
        <f t="shared" ref="DI7:DI36" si="8">SUM(BC7)</f>
        <v>86000</v>
      </c>
      <c r="DJ7" s="121"/>
      <c r="DK7" s="122"/>
      <c r="DL7" s="123"/>
      <c r="DM7" s="120">
        <f t="shared" ref="DM7:DM37" si="9">SUM(BB7+BD7)</f>
        <v>0</v>
      </c>
      <c r="DN7" s="121">
        <f t="shared" ref="DN7:DN36" si="10">SUM(BB7+BD7)</f>
        <v>0</v>
      </c>
      <c r="DO7" s="122"/>
      <c r="DP7" s="123"/>
      <c r="DQ7" s="124">
        <f>SUM(CC7+CG7+CK7+CO7+CS7+CW7+DA7+DE7+DI7+DM7)</f>
        <v>858800</v>
      </c>
      <c r="DR7" s="125">
        <f t="shared" ref="DR7:DR36" si="11">SUM(CD7+CH7+CL7+CP7+CT7+CX7+DB7+DF7+DJ7+DN7)</f>
        <v>0</v>
      </c>
      <c r="DS7" s="125">
        <f>SUM(DQ7-DR7)</f>
        <v>858800</v>
      </c>
      <c r="DT7" s="352">
        <v>1</v>
      </c>
      <c r="DU7" s="126"/>
      <c r="DV7" s="127"/>
      <c r="DW7" s="127"/>
      <c r="DX7" s="127"/>
      <c r="DY7" s="127"/>
      <c r="DZ7" s="127"/>
      <c r="EA7" s="127"/>
      <c r="EB7" s="128"/>
      <c r="EC7" s="128"/>
      <c r="ED7" s="129">
        <f t="shared" ref="ED7:ED36" si="12">SUM(DU7:EC7)</f>
        <v>0</v>
      </c>
    </row>
    <row r="8" spans="1:137" ht="40.5" customHeight="1" thickBot="1" x14ac:dyDescent="0.35">
      <c r="A8" s="108">
        <v>2</v>
      </c>
      <c r="B8" s="205">
        <f>SUM('2'!$AL$10:$AM$10)</f>
        <v>0</v>
      </c>
      <c r="C8" s="203">
        <f>SUM('2'!$AN$10:$AO$10)</f>
        <v>0</v>
      </c>
      <c r="D8" s="204">
        <f>SUM('2'!$AL$12:$AM$12)</f>
        <v>0</v>
      </c>
      <c r="E8" s="206">
        <f>SUM('2'!$AN$12:$AO$12)</f>
        <v>0</v>
      </c>
      <c r="F8" s="108">
        <v>2</v>
      </c>
      <c r="G8" s="208">
        <f>SUM('2'!$AP$10:$AQ$10)</f>
        <v>0</v>
      </c>
      <c r="H8" s="96">
        <f>SUM('1'!$AR$10:$AS$10)</f>
        <v>80000</v>
      </c>
      <c r="I8" s="207">
        <f>SUM('2'!$AP$12:$AQ$12)</f>
        <v>0</v>
      </c>
      <c r="J8" s="98">
        <f>SUM('2'!$AR$12:$AS$12)</f>
        <v>0</v>
      </c>
      <c r="K8" s="108">
        <v>2</v>
      </c>
      <c r="L8" s="202">
        <f>SUM('2'!$AX$11:$AY$11)</f>
        <v>0</v>
      </c>
      <c r="M8" s="96">
        <f>SUM('2'!$AZ$11:$BA$11)</f>
        <v>0</v>
      </c>
      <c r="N8" s="207">
        <f>SUM('2'!$AX$13:$AY$13)</f>
        <v>0</v>
      </c>
      <c r="O8" s="97">
        <f>SUM('2'!$AZ$13:$BA$13)</f>
        <v>0</v>
      </c>
      <c r="P8" s="208">
        <f>SUM('2'!$AX$10:$AY$10)</f>
        <v>0</v>
      </c>
      <c r="Q8" s="96">
        <f>SUM('2'!$AZ$10:$BA$10)</f>
        <v>0</v>
      </c>
      <c r="R8" s="207">
        <f>SUM('2'!$AX$12:$AY$12)</f>
        <v>0</v>
      </c>
      <c r="S8" s="98">
        <f>SUM('2'!$AZ$12:$BA$12)</f>
        <v>0</v>
      </c>
      <c r="T8" s="108">
        <v>2</v>
      </c>
      <c r="U8" s="94">
        <f>SUM('2'!$AP$60)</f>
        <v>4</v>
      </c>
      <c r="V8" s="97">
        <f>SUM('2'!$AQ$60)</f>
        <v>285000</v>
      </c>
      <c r="W8" s="94">
        <f>SUM('2'!$AP$61)</f>
        <v>11</v>
      </c>
      <c r="X8" s="98">
        <f>SUM('2'!$AS$61)</f>
        <v>575000</v>
      </c>
      <c r="Y8" s="94">
        <f>SUM('2'!$AP$69)</f>
        <v>0</v>
      </c>
      <c r="Z8" s="97">
        <f>SUM('2'!$AQ$69)</f>
        <v>0</v>
      </c>
      <c r="AA8" s="94">
        <f>SUM('2'!$AP$70)</f>
        <v>0</v>
      </c>
      <c r="AB8" s="98">
        <f>SUM('2'!$AQ$70)</f>
        <v>0</v>
      </c>
      <c r="AC8" s="108">
        <v>2</v>
      </c>
      <c r="AD8" s="109">
        <f>SUM('2'!$AP$62)</f>
        <v>1</v>
      </c>
      <c r="AE8" s="110">
        <f>SUM('2'!$AQ$62)</f>
        <v>65000</v>
      </c>
      <c r="AF8" s="94">
        <f>SUM('2'!$AP$66)</f>
        <v>3</v>
      </c>
      <c r="AG8" s="98">
        <f>SUM('2'!$AQ$66)</f>
        <v>0</v>
      </c>
      <c r="AH8" s="94">
        <f>SUM('2'!$AP$65)</f>
        <v>0</v>
      </c>
      <c r="AI8" s="98">
        <f>SUM('2'!$AQ$65)</f>
        <v>0</v>
      </c>
      <c r="AJ8" s="94">
        <f>SUM('2'!$AP$63)</f>
        <v>0</v>
      </c>
      <c r="AK8" s="98">
        <f>SUM('2'!$AQ$63)</f>
        <v>0</v>
      </c>
      <c r="AL8" s="94">
        <f>SUM('2'!$AP$64)</f>
        <v>0</v>
      </c>
      <c r="AM8" s="98">
        <f>SUM('2'!$AQ$64)</f>
        <v>0</v>
      </c>
      <c r="AN8" s="94">
        <f>SUM('2'!$AP$67)</f>
        <v>0</v>
      </c>
      <c r="AO8" s="98">
        <f>SUM('2'!$AQ$67)</f>
        <v>0</v>
      </c>
      <c r="AP8" s="94">
        <f>SUM('2'!$AP$68)</f>
        <v>0</v>
      </c>
      <c r="AQ8" s="98">
        <f>SUM('2'!$AQ$68)</f>
        <v>0</v>
      </c>
      <c r="AR8" s="108">
        <v>2</v>
      </c>
      <c r="AS8" s="94"/>
      <c r="AT8" s="94"/>
      <c r="AU8" s="94"/>
      <c r="AV8" s="94"/>
      <c r="AW8" s="94"/>
      <c r="AX8" s="350"/>
      <c r="AY8" s="211"/>
      <c r="AZ8" s="209"/>
      <c r="BA8" s="108">
        <v>2</v>
      </c>
      <c r="BB8" s="111">
        <f>SUM('2'!$AN$14:$AO$15)</f>
        <v>0</v>
      </c>
      <c r="BC8" s="112">
        <f>SUM('2'!$AR$14:$AS$15)</f>
        <v>4000</v>
      </c>
      <c r="BD8" s="112">
        <f>SUM('2'!$AZ$14:$BA$15)</f>
        <v>0</v>
      </c>
      <c r="BE8" s="112">
        <f>SUM('2'!$AS$60)</f>
        <v>285000</v>
      </c>
      <c r="BF8" s="112">
        <f>SUM('2'!$AS$61)</f>
        <v>575000</v>
      </c>
      <c r="BG8" s="112">
        <f>SUM('2'!$AS$69)</f>
        <v>0</v>
      </c>
      <c r="BH8" s="112">
        <f>SUM('2'!$AS$70)</f>
        <v>0</v>
      </c>
      <c r="BI8" s="113">
        <f>SUM('2'!$AS$62)</f>
        <v>65000</v>
      </c>
      <c r="BJ8" s="113">
        <f>SUM('2'!$AS$66)</f>
        <v>0</v>
      </c>
      <c r="BK8" s="113">
        <f>SUM('2'!$AS$67)</f>
        <v>0</v>
      </c>
      <c r="BL8" s="113">
        <f>SUM('2'!$AS$63)</f>
        <v>0</v>
      </c>
      <c r="BM8" s="113">
        <f>SUM('2'!$AS$65)</f>
        <v>0</v>
      </c>
      <c r="BN8" s="358">
        <f>SUM('2'!$AS$68)</f>
        <v>0</v>
      </c>
      <c r="BO8" s="114">
        <f>SUM('2'!$AS$64)</f>
        <v>0</v>
      </c>
      <c r="BP8" s="115">
        <f>SUM('2'!$AM$73)</f>
        <v>0</v>
      </c>
      <c r="BQ8" s="307">
        <f>SUM('2'!$AN$73)</f>
        <v>0</v>
      </c>
      <c r="BR8" s="308">
        <f>SUM('2'!$AP$73)</f>
        <v>19</v>
      </c>
      <c r="BS8" s="307">
        <f>SUM('2'!$AQ$73)</f>
        <v>925000</v>
      </c>
      <c r="BT8" s="309">
        <f t="shared" ref="BT8:BT36" si="13">BB8+BC8+BD8+BE8+BF8+BG8+BH8+BI8+BJ8+BK8+BL8+BM8+BN8+BO8</f>
        <v>929000</v>
      </c>
      <c r="BU8" s="310"/>
      <c r="BV8" s="314"/>
      <c r="BW8" s="312"/>
      <c r="BX8" s="315"/>
      <c r="BY8" s="290">
        <f>BX8/2</f>
        <v>0</v>
      </c>
      <c r="BZ8" s="291">
        <f t="shared" ref="BZ8:BZ36" si="14">BY8*31</f>
        <v>0</v>
      </c>
      <c r="CB8" s="130">
        <v>2</v>
      </c>
      <c r="CC8" s="120">
        <f t="shared" si="0"/>
        <v>285000</v>
      </c>
      <c r="CD8" s="121"/>
      <c r="CE8" s="122"/>
      <c r="CF8" s="123"/>
      <c r="CG8" s="120">
        <f t="shared" si="1"/>
        <v>575000</v>
      </c>
      <c r="CH8" s="121"/>
      <c r="CI8" s="122"/>
      <c r="CJ8" s="123"/>
      <c r="CK8" s="120">
        <f t="shared" si="2"/>
        <v>65000</v>
      </c>
      <c r="CL8" s="121"/>
      <c r="CM8" s="122"/>
      <c r="CN8" s="123"/>
      <c r="CO8" s="120">
        <f t="shared" si="3"/>
        <v>0</v>
      </c>
      <c r="CP8" s="121"/>
      <c r="CQ8" s="122"/>
      <c r="CR8" s="123"/>
      <c r="CS8" s="120">
        <f t="shared" si="4"/>
        <v>0</v>
      </c>
      <c r="CT8" s="121"/>
      <c r="CU8" s="122"/>
      <c r="CV8" s="123"/>
      <c r="CW8" s="120">
        <f t="shared" si="5"/>
        <v>0</v>
      </c>
      <c r="CX8" s="121"/>
      <c r="CY8" s="122"/>
      <c r="CZ8" s="123"/>
      <c r="DA8" s="120">
        <f t="shared" si="6"/>
        <v>0</v>
      </c>
      <c r="DB8" s="121"/>
      <c r="DC8" s="122"/>
      <c r="DD8" s="123"/>
      <c r="DE8" s="120">
        <f t="shared" si="7"/>
        <v>0</v>
      </c>
      <c r="DF8" s="121"/>
      <c r="DG8" s="122"/>
      <c r="DH8" s="123"/>
      <c r="DI8" s="120">
        <f t="shared" si="8"/>
        <v>4000</v>
      </c>
      <c r="DJ8" s="121"/>
      <c r="DK8" s="122"/>
      <c r="DL8" s="123"/>
      <c r="DM8" s="120">
        <f t="shared" si="9"/>
        <v>0</v>
      </c>
      <c r="DN8" s="121">
        <f t="shared" si="10"/>
        <v>0</v>
      </c>
      <c r="DO8" s="122"/>
      <c r="DP8" s="123"/>
      <c r="DQ8" s="124">
        <f t="shared" ref="DQ8:DQ36" si="15">SUM(CC8+CG8+CK8+CO8+CS8+CW8+DA8+DE8+DI8+DM8)</f>
        <v>929000</v>
      </c>
      <c r="DR8" s="125">
        <f t="shared" si="11"/>
        <v>0</v>
      </c>
      <c r="DS8" s="125">
        <f t="shared" ref="DS8:DS36" si="16">SUM(DQ8-DR8)</f>
        <v>929000</v>
      </c>
      <c r="DT8" s="352">
        <v>2</v>
      </c>
      <c r="DU8" s="131"/>
      <c r="DV8" s="132"/>
      <c r="DW8" s="132"/>
      <c r="DX8" s="132"/>
      <c r="DY8" s="132"/>
      <c r="DZ8" s="132"/>
      <c r="EA8" s="132"/>
      <c r="EB8" s="133"/>
      <c r="EC8" s="133"/>
      <c r="ED8" s="129">
        <f>SUM(DU8:EC8)</f>
        <v>0</v>
      </c>
      <c r="EE8" s="913"/>
      <c r="EF8" s="914"/>
      <c r="EG8" s="914"/>
    </row>
    <row r="9" spans="1:137" ht="40.5" customHeight="1" thickBot="1" x14ac:dyDescent="0.35">
      <c r="A9" s="108">
        <v>3</v>
      </c>
      <c r="B9" s="205">
        <f>SUM('3'!$AL$10:$AM$10)</f>
        <v>0</v>
      </c>
      <c r="C9" s="203">
        <f>SUM('3'!$AN$10:$AO$10)</f>
        <v>0</v>
      </c>
      <c r="D9" s="204">
        <f>SUM('3'!$AL$12:$AM$12)</f>
        <v>0</v>
      </c>
      <c r="E9" s="206">
        <f>SUM('3'!$AN$12:$AO$12)</f>
        <v>0</v>
      </c>
      <c r="F9" s="108">
        <v>3</v>
      </c>
      <c r="G9" s="208">
        <f>SUM('3'!$AP$10:$AQ$10)</f>
        <v>0</v>
      </c>
      <c r="H9" s="96">
        <f>SUM('2'!$AR$10:$AS$10)</f>
        <v>0</v>
      </c>
      <c r="I9" s="207">
        <f>SUM('3'!$AP$12:$AQ$12)</f>
        <v>0</v>
      </c>
      <c r="J9" s="98">
        <f>SUM('3'!$AR$12:$AS$12)</f>
        <v>0</v>
      </c>
      <c r="K9" s="108">
        <v>3</v>
      </c>
      <c r="L9" s="202">
        <f>SUM('3'!$AX$11:$AY$11)</f>
        <v>0</v>
      </c>
      <c r="M9" s="96">
        <f>SUM('3'!$AZ$11:$BA$11)</f>
        <v>0</v>
      </c>
      <c r="N9" s="207">
        <f>SUM('3'!$AX$13:$AY$13)</f>
        <v>0</v>
      </c>
      <c r="O9" s="97">
        <f>SUM('3'!$AZ$13:$BA$13)</f>
        <v>0</v>
      </c>
      <c r="P9" s="208">
        <f>SUM('3'!$AX$10:$AY$10)</f>
        <v>0</v>
      </c>
      <c r="Q9" s="96">
        <f>SUM('3'!$AZ$10:$BA$10)</f>
        <v>0</v>
      </c>
      <c r="R9" s="207">
        <f>SUM('3'!$AX$12:$AY$12)</f>
        <v>0</v>
      </c>
      <c r="S9" s="98">
        <f>SUM('3'!$AZ$12:$BA$12)</f>
        <v>0</v>
      </c>
      <c r="T9" s="108">
        <v>3</v>
      </c>
      <c r="U9" s="94">
        <f>SUM('3'!$AP$60)</f>
        <v>4</v>
      </c>
      <c r="V9" s="97">
        <f>SUM('3'!$AQ$60)</f>
        <v>260000</v>
      </c>
      <c r="W9" s="94">
        <f>SUM('3'!$AP$61)</f>
        <v>7</v>
      </c>
      <c r="X9" s="98">
        <f>SUM('3'!$AS$61)</f>
        <v>445000</v>
      </c>
      <c r="Y9" s="94">
        <f>SUM('3'!$AP$69)</f>
        <v>0</v>
      </c>
      <c r="Z9" s="97">
        <f>SUM('3'!$AQ$69)</f>
        <v>0</v>
      </c>
      <c r="AA9" s="94">
        <f>SUM('3'!$AP$70)</f>
        <v>0</v>
      </c>
      <c r="AB9" s="98">
        <f>SUM('3'!$AQ$70)</f>
        <v>0</v>
      </c>
      <c r="AC9" s="108">
        <v>3</v>
      </c>
      <c r="AD9" s="109">
        <f>SUM('3'!$AP$62)</f>
        <v>0</v>
      </c>
      <c r="AE9" s="110">
        <f>SUM('3'!$AQ$62)</f>
        <v>0</v>
      </c>
      <c r="AF9" s="94">
        <f>SUM('3'!$AP$66)</f>
        <v>3</v>
      </c>
      <c r="AG9" s="98">
        <f>SUM('3'!$AQ$66)</f>
        <v>0</v>
      </c>
      <c r="AH9" s="94">
        <f>SUM('3'!$AP$65)</f>
        <v>0</v>
      </c>
      <c r="AI9" s="98">
        <f>SUM('3'!$AQ$65)</f>
        <v>0</v>
      </c>
      <c r="AJ9" s="94">
        <f>SUM('13'!$AP$63)</f>
        <v>0</v>
      </c>
      <c r="AK9" s="98">
        <f>SUM('3'!$AQ$63)</f>
        <v>0</v>
      </c>
      <c r="AL9" s="94">
        <f>SUM('3'!$AP$64)</f>
        <v>0</v>
      </c>
      <c r="AM9" s="98">
        <f>SUM('3'!$AQ$64)</f>
        <v>0</v>
      </c>
      <c r="AN9" s="94">
        <f>SUM('3'!$AP$67)</f>
        <v>0</v>
      </c>
      <c r="AO9" s="98">
        <f>SUM('3'!$AQ$67)</f>
        <v>0</v>
      </c>
      <c r="AP9" s="94">
        <f>SUM('3'!$AP$68)</f>
        <v>0</v>
      </c>
      <c r="AQ9" s="98">
        <f>SUM('3'!$AQ$68)</f>
        <v>0</v>
      </c>
      <c r="AR9" s="108">
        <v>3</v>
      </c>
      <c r="AS9" s="94"/>
      <c r="AT9" s="94"/>
      <c r="AU9" s="94"/>
      <c r="AV9" s="94"/>
      <c r="AW9" s="94"/>
      <c r="AX9" s="350"/>
      <c r="AY9" s="211"/>
      <c r="AZ9" s="209"/>
      <c r="BA9" s="108">
        <v>3</v>
      </c>
      <c r="BB9" s="111">
        <f>SUM('3'!$AN$14:$AO$15)</f>
        <v>0</v>
      </c>
      <c r="BC9" s="112">
        <f>SUM('3'!$AR$14:$AS$15)</f>
        <v>4000</v>
      </c>
      <c r="BD9" s="112">
        <f>SUM('3'!$AZ$14:$BA$15)</f>
        <v>0</v>
      </c>
      <c r="BE9" s="112">
        <f>SUM('3'!$AS$60)</f>
        <v>260000</v>
      </c>
      <c r="BF9" s="112">
        <f>SUM('3'!$AS$61)</f>
        <v>445000</v>
      </c>
      <c r="BG9" s="112">
        <f>SUM('3'!$AS$69)</f>
        <v>0</v>
      </c>
      <c r="BH9" s="112">
        <f>SUM('3'!$AS$70)</f>
        <v>0</v>
      </c>
      <c r="BI9" s="113">
        <f>SUM('3'!$AS$62)</f>
        <v>0</v>
      </c>
      <c r="BJ9" s="113">
        <f>SUM('3'!$AS$66)</f>
        <v>0</v>
      </c>
      <c r="BK9" s="113">
        <f>SUM('3'!$AS$67)</f>
        <v>0</v>
      </c>
      <c r="BL9" s="113">
        <f>SUM('3'!$AS$63)</f>
        <v>0</v>
      </c>
      <c r="BM9" s="113">
        <f>SUM('3'!$AS$65)</f>
        <v>0</v>
      </c>
      <c r="BN9" s="358">
        <f>SUM('3'!$AS$68)</f>
        <v>0</v>
      </c>
      <c r="BO9" s="114">
        <f>SUM('3'!$AS$64)</f>
        <v>0</v>
      </c>
      <c r="BP9" s="115">
        <f>SUM('3'!$AM$73)</f>
        <v>0</v>
      </c>
      <c r="BQ9" s="307">
        <f>SUM('3'!$AN$73)</f>
        <v>0</v>
      </c>
      <c r="BR9" s="308">
        <f>SUM('3'!$AP$73)</f>
        <v>14</v>
      </c>
      <c r="BS9" s="307">
        <f>SUM('3'!$AQ$73)</f>
        <v>705000</v>
      </c>
      <c r="BT9" s="309">
        <f t="shared" si="13"/>
        <v>709000</v>
      </c>
      <c r="BU9" s="310"/>
      <c r="BV9" s="308"/>
      <c r="BW9" s="312"/>
      <c r="BX9" s="315"/>
      <c r="BY9" s="290">
        <f>BX9/3</f>
        <v>0</v>
      </c>
      <c r="BZ9" s="291">
        <f t="shared" si="14"/>
        <v>0</v>
      </c>
      <c r="CB9" s="130">
        <v>3</v>
      </c>
      <c r="CC9" s="120">
        <f t="shared" si="0"/>
        <v>260000</v>
      </c>
      <c r="CD9" s="121"/>
      <c r="CE9" s="122"/>
      <c r="CF9" s="123"/>
      <c r="CG9" s="120">
        <f t="shared" si="1"/>
        <v>445000</v>
      </c>
      <c r="CH9" s="121"/>
      <c r="CI9" s="122"/>
      <c r="CJ9" s="123"/>
      <c r="CK9" s="120">
        <f t="shared" si="2"/>
        <v>0</v>
      </c>
      <c r="CL9" s="121"/>
      <c r="CM9" s="122"/>
      <c r="CN9" s="123"/>
      <c r="CO9" s="120">
        <f t="shared" si="3"/>
        <v>0</v>
      </c>
      <c r="CP9" s="121"/>
      <c r="CQ9" s="122"/>
      <c r="CR9" s="123"/>
      <c r="CS9" s="120">
        <f t="shared" si="4"/>
        <v>0</v>
      </c>
      <c r="CT9" s="121"/>
      <c r="CU9" s="122"/>
      <c r="CV9" s="123"/>
      <c r="CW9" s="120">
        <f t="shared" si="5"/>
        <v>0</v>
      </c>
      <c r="CX9" s="121"/>
      <c r="CY9" s="122"/>
      <c r="CZ9" s="123"/>
      <c r="DA9" s="120">
        <f t="shared" si="6"/>
        <v>0</v>
      </c>
      <c r="DB9" s="121"/>
      <c r="DC9" s="122"/>
      <c r="DD9" s="123"/>
      <c r="DE9" s="120">
        <f t="shared" si="7"/>
        <v>0</v>
      </c>
      <c r="DF9" s="121"/>
      <c r="DG9" s="122"/>
      <c r="DH9" s="123"/>
      <c r="DI9" s="120">
        <f t="shared" si="8"/>
        <v>4000</v>
      </c>
      <c r="DJ9" s="121"/>
      <c r="DK9" s="122"/>
      <c r="DL9" s="123"/>
      <c r="DM9" s="120">
        <f t="shared" si="9"/>
        <v>0</v>
      </c>
      <c r="DN9" s="121">
        <f t="shared" si="10"/>
        <v>0</v>
      </c>
      <c r="DO9" s="122"/>
      <c r="DP9" s="123"/>
      <c r="DQ9" s="124">
        <f t="shared" si="15"/>
        <v>709000</v>
      </c>
      <c r="DR9" s="125">
        <f t="shared" si="11"/>
        <v>0</v>
      </c>
      <c r="DS9" s="125">
        <f t="shared" si="16"/>
        <v>709000</v>
      </c>
      <c r="DT9" s="352">
        <v>3</v>
      </c>
      <c r="DU9" s="131"/>
      <c r="DV9" s="132"/>
      <c r="DW9" s="132"/>
      <c r="DX9" s="132"/>
      <c r="DY9" s="132"/>
      <c r="DZ9" s="132"/>
      <c r="EA9" s="132"/>
      <c r="EB9" s="133"/>
      <c r="EC9" s="133"/>
      <c r="ED9" s="129">
        <f>SUM(DU9:EC9)</f>
        <v>0</v>
      </c>
      <c r="EE9" s="913"/>
      <c r="EF9" s="914"/>
      <c r="EG9" s="914"/>
    </row>
    <row r="10" spans="1:137" ht="40.5" customHeight="1" thickBot="1" x14ac:dyDescent="0.35">
      <c r="A10" s="108">
        <v>4</v>
      </c>
      <c r="B10" s="205">
        <f>SUM('4'!$AL$10:$AM$10)</f>
        <v>0</v>
      </c>
      <c r="C10" s="203">
        <f>SUM('4'!$AN$10:$AO$10)</f>
        <v>0</v>
      </c>
      <c r="D10" s="204">
        <f>SUM('4'!$AL$12:$AM$12)</f>
        <v>0</v>
      </c>
      <c r="E10" s="206">
        <f>SUM('4'!$AN$12:$AO$12)</f>
        <v>0</v>
      </c>
      <c r="F10" s="108">
        <v>4</v>
      </c>
      <c r="G10" s="208">
        <f>SUM('4'!$AP$10:$AQ$10)</f>
        <v>0</v>
      </c>
      <c r="H10" s="96">
        <f>SUM('3'!$AR$10:$AS$10)</f>
        <v>0</v>
      </c>
      <c r="I10" s="207">
        <f>SUM('4'!$AP$12:$AQ$12)</f>
        <v>0</v>
      </c>
      <c r="J10" s="98">
        <f>SUM('4'!$AR$12:$AS$12)</f>
        <v>0</v>
      </c>
      <c r="K10" s="108">
        <v>4</v>
      </c>
      <c r="L10" s="202">
        <f>SUM('4'!$AX$11:$AY$11)</f>
        <v>0</v>
      </c>
      <c r="M10" s="96">
        <f>SUM('4'!$AZ$11:$BA$11)</f>
        <v>0</v>
      </c>
      <c r="N10" s="207">
        <f>SUM('4'!$AX$13:$AY$13)</f>
        <v>0</v>
      </c>
      <c r="O10" s="97">
        <f>SUM('4'!$AZ$13:$BA$13)</f>
        <v>0</v>
      </c>
      <c r="P10" s="208">
        <f>SUM('4'!$AX$10:$AY$10)</f>
        <v>0</v>
      </c>
      <c r="Q10" s="96">
        <f>SUM('4'!$AZ$10:$BA$10)</f>
        <v>0</v>
      </c>
      <c r="R10" s="207">
        <f>SUM('4'!$AX$12:$AY$12)</f>
        <v>0</v>
      </c>
      <c r="S10" s="98">
        <f>SUM('4'!$AZ$12:$BA$12)</f>
        <v>0</v>
      </c>
      <c r="T10" s="108">
        <v>4</v>
      </c>
      <c r="U10" s="94">
        <f>SUM('4'!$AP$60)</f>
        <v>4</v>
      </c>
      <c r="V10" s="97">
        <f>SUM('4'!$AQ$60)</f>
        <v>280000</v>
      </c>
      <c r="W10" s="94">
        <f>SUM('4'!$AP$61)</f>
        <v>5</v>
      </c>
      <c r="X10" s="98">
        <f>SUM('4'!$AS$61)</f>
        <v>275000</v>
      </c>
      <c r="Y10" s="94">
        <f>SUM('4'!$AP$69)</f>
        <v>0</v>
      </c>
      <c r="Z10" s="97">
        <f>SUM('4'!$AQ$69)</f>
        <v>0</v>
      </c>
      <c r="AA10" s="94">
        <f>SUM('4'!$AP$70)</f>
        <v>0</v>
      </c>
      <c r="AB10" s="98">
        <f>SUM('4'!$AQ$70)</f>
        <v>0</v>
      </c>
      <c r="AC10" s="108">
        <v>4</v>
      </c>
      <c r="AD10" s="109">
        <f>SUM('4'!$AP$62)</f>
        <v>0</v>
      </c>
      <c r="AE10" s="110">
        <f>SUM('4'!$AQ$62)</f>
        <v>0</v>
      </c>
      <c r="AF10" s="94">
        <f>SUM('4'!$AP$66)</f>
        <v>2</v>
      </c>
      <c r="AG10" s="98">
        <f>SUM('4'!$AQ$66)</f>
        <v>66300</v>
      </c>
      <c r="AH10" s="94">
        <f>SUM('4'!$AP$65)</f>
        <v>0</v>
      </c>
      <c r="AI10" s="98">
        <f>SUM('4'!$AQ$65)</f>
        <v>0</v>
      </c>
      <c r="AJ10" s="94">
        <f>SUM('4'!$AP$63)</f>
        <v>0</v>
      </c>
      <c r="AK10" s="98">
        <f>SUM('4'!$AQ$63)</f>
        <v>0</v>
      </c>
      <c r="AL10" s="94">
        <f>SUM('4'!$AP$64)</f>
        <v>0</v>
      </c>
      <c r="AM10" s="98">
        <f>SUM('4'!$AQ$64)</f>
        <v>0</v>
      </c>
      <c r="AN10" s="94">
        <f>SUM('4'!$AP$67)</f>
        <v>0</v>
      </c>
      <c r="AO10" s="98">
        <f>SUM('4'!$AQ$67)</f>
        <v>0</v>
      </c>
      <c r="AP10" s="94">
        <f>SUM('4'!$AP$68)</f>
        <v>0</v>
      </c>
      <c r="AQ10" s="98">
        <f>SUM('4'!$AQ$68)</f>
        <v>0</v>
      </c>
      <c r="AR10" s="108">
        <v>4</v>
      </c>
      <c r="AS10" s="94"/>
      <c r="AT10" s="94"/>
      <c r="AU10" s="94"/>
      <c r="AV10" s="94"/>
      <c r="AW10" s="94"/>
      <c r="AX10" s="350"/>
      <c r="AY10" s="211"/>
      <c r="AZ10" s="209"/>
      <c r="BA10" s="108">
        <v>4</v>
      </c>
      <c r="BB10" s="111">
        <f>SUM('4'!$AN$14:$AO$15)</f>
        <v>0</v>
      </c>
      <c r="BC10" s="112">
        <f>SUM('4'!$AR$14:$AS$15)</f>
        <v>4000</v>
      </c>
      <c r="BD10" s="112">
        <f>SUM('4'!$AZ$14:$BA$15)</f>
        <v>0</v>
      </c>
      <c r="BE10" s="112">
        <f>SUM('4'!$AS$60)</f>
        <v>280000</v>
      </c>
      <c r="BF10" s="112">
        <f>SUM('4'!$AS$61)</f>
        <v>275000</v>
      </c>
      <c r="BG10" s="112">
        <f>SUM('4'!$AS$69)</f>
        <v>0</v>
      </c>
      <c r="BH10" s="112">
        <f>SUM('4'!$AS$70)</f>
        <v>0</v>
      </c>
      <c r="BI10" s="113">
        <f>SUM('4'!$AS$62)</f>
        <v>0</v>
      </c>
      <c r="BJ10" s="113">
        <f>SUM('4'!$AS$66)</f>
        <v>66300</v>
      </c>
      <c r="BK10" s="113">
        <f>SUM('4'!$AS$67)</f>
        <v>0</v>
      </c>
      <c r="BL10" s="113">
        <f>SUM('4'!$AS$63)</f>
        <v>0</v>
      </c>
      <c r="BM10" s="113">
        <f>SUM('4'!$AS$65)</f>
        <v>0</v>
      </c>
      <c r="BN10" s="358">
        <f>SUM('4'!$AS$68)</f>
        <v>0</v>
      </c>
      <c r="BO10" s="114">
        <f>SUM('4'!$AS$64)</f>
        <v>0</v>
      </c>
      <c r="BP10" s="115">
        <f>SUM('4'!$AM$73)</f>
        <v>0</v>
      </c>
      <c r="BQ10" s="307">
        <f>SUM('4'!$AN$73)</f>
        <v>0</v>
      </c>
      <c r="BR10" s="308">
        <f>SUM('4'!$AP$73)</f>
        <v>11</v>
      </c>
      <c r="BS10" s="307">
        <f>SUM('4'!$AQ$73)</f>
        <v>621300</v>
      </c>
      <c r="BT10" s="309">
        <f t="shared" si="13"/>
        <v>625300</v>
      </c>
      <c r="BU10" s="310"/>
      <c r="BV10" s="314"/>
      <c r="BW10" s="312"/>
      <c r="BX10" s="315"/>
      <c r="BY10" s="290">
        <f>BX10/4</f>
        <v>0</v>
      </c>
      <c r="BZ10" s="291">
        <f t="shared" si="14"/>
        <v>0</v>
      </c>
      <c r="CB10" s="130">
        <v>4</v>
      </c>
      <c r="CC10" s="120">
        <f t="shared" si="0"/>
        <v>280000</v>
      </c>
      <c r="CD10" s="121"/>
      <c r="CE10" s="122"/>
      <c r="CF10" s="123"/>
      <c r="CG10" s="120">
        <f t="shared" si="1"/>
        <v>275000</v>
      </c>
      <c r="CH10" s="121"/>
      <c r="CI10" s="122"/>
      <c r="CJ10" s="123"/>
      <c r="CK10" s="120">
        <f t="shared" si="2"/>
        <v>0</v>
      </c>
      <c r="CL10" s="121"/>
      <c r="CM10" s="122"/>
      <c r="CN10" s="123"/>
      <c r="CO10" s="120">
        <f t="shared" si="3"/>
        <v>66300</v>
      </c>
      <c r="CP10" s="121"/>
      <c r="CQ10" s="122"/>
      <c r="CR10" s="123"/>
      <c r="CS10" s="120">
        <f t="shared" si="4"/>
        <v>0</v>
      </c>
      <c r="CT10" s="121"/>
      <c r="CU10" s="122"/>
      <c r="CV10" s="123"/>
      <c r="CW10" s="120">
        <f t="shared" si="5"/>
        <v>0</v>
      </c>
      <c r="CX10" s="121"/>
      <c r="CY10" s="122"/>
      <c r="CZ10" s="123"/>
      <c r="DA10" s="120">
        <f t="shared" si="6"/>
        <v>0</v>
      </c>
      <c r="DB10" s="121"/>
      <c r="DC10" s="122"/>
      <c r="DD10" s="123"/>
      <c r="DE10" s="120">
        <f t="shared" si="7"/>
        <v>0</v>
      </c>
      <c r="DF10" s="121"/>
      <c r="DG10" s="122"/>
      <c r="DH10" s="123"/>
      <c r="DI10" s="120">
        <f t="shared" si="8"/>
        <v>4000</v>
      </c>
      <c r="DJ10" s="121"/>
      <c r="DK10" s="122"/>
      <c r="DL10" s="123"/>
      <c r="DM10" s="120">
        <f t="shared" si="9"/>
        <v>0</v>
      </c>
      <c r="DN10" s="121">
        <f t="shared" si="10"/>
        <v>0</v>
      </c>
      <c r="DO10" s="122"/>
      <c r="DP10" s="123"/>
      <c r="DQ10" s="124">
        <f t="shared" si="15"/>
        <v>625300</v>
      </c>
      <c r="DR10" s="125">
        <f t="shared" si="11"/>
        <v>0</v>
      </c>
      <c r="DS10" s="125">
        <f t="shared" si="16"/>
        <v>625300</v>
      </c>
      <c r="DT10" s="352">
        <v>4</v>
      </c>
      <c r="DU10" s="131"/>
      <c r="DV10" s="132"/>
      <c r="DW10" s="132"/>
      <c r="DX10" s="132"/>
      <c r="DY10" s="132"/>
      <c r="DZ10" s="132"/>
      <c r="EA10" s="132"/>
      <c r="EB10" s="133"/>
      <c r="EC10" s="133"/>
      <c r="ED10" s="129">
        <f t="shared" si="12"/>
        <v>0</v>
      </c>
      <c r="EE10" s="913"/>
      <c r="EF10" s="914"/>
      <c r="EG10" s="914"/>
    </row>
    <row r="11" spans="1:137" ht="40.5" customHeight="1" thickBot="1" x14ac:dyDescent="0.35">
      <c r="A11" s="108">
        <v>5</v>
      </c>
      <c r="B11" s="205">
        <f>SUM('5'!$AL$10:$AM$10)</f>
        <v>0</v>
      </c>
      <c r="C11" s="203">
        <f>SUM('5'!$AN$10:$AO$10)</f>
        <v>0</v>
      </c>
      <c r="D11" s="204">
        <f>SUM('5'!$AL$12:$AM$12)</f>
        <v>0</v>
      </c>
      <c r="E11" s="206">
        <f>SUM('5'!$AN$12:$AO$12)</f>
        <v>0</v>
      </c>
      <c r="F11" s="108">
        <v>5</v>
      </c>
      <c r="G11" s="208">
        <f>SUM('5'!$AP$10:$AQ$10)</f>
        <v>0</v>
      </c>
      <c r="H11" s="96">
        <f>SUM('4'!$AR$10:$AS$10)</f>
        <v>0</v>
      </c>
      <c r="I11" s="207">
        <f>SUM('5'!$AP$12:$AQ$12)</f>
        <v>2</v>
      </c>
      <c r="J11" s="98">
        <f>SUM('5'!$AR$12:$AS$12)</f>
        <v>45000</v>
      </c>
      <c r="K11" s="108">
        <v>5</v>
      </c>
      <c r="L11" s="202">
        <f>SUM('5'!$AX$11:$AY$11)</f>
        <v>0</v>
      </c>
      <c r="M11" s="96">
        <f>SUM('5'!$AZ$11:$BA$11)</f>
        <v>0</v>
      </c>
      <c r="N11" s="207">
        <f>SUM('5'!$AX$13:$AY$13)</f>
        <v>0</v>
      </c>
      <c r="O11" s="97">
        <f>SUM('5'!$AZ$13:$BA$13)</f>
        <v>0</v>
      </c>
      <c r="P11" s="208">
        <f>SUM('5'!$AX$10:$AY$10)</f>
        <v>0</v>
      </c>
      <c r="Q11" s="96">
        <f>SUM('5'!$AZ$10:$BA$10)</f>
        <v>0</v>
      </c>
      <c r="R11" s="207">
        <f>SUM('5'!$AX$12:$AY$12)</f>
        <v>0</v>
      </c>
      <c r="S11" s="98">
        <f>SUM('5'!$AZ$12:$BA$12)</f>
        <v>0</v>
      </c>
      <c r="T11" s="108">
        <v>5</v>
      </c>
      <c r="U11" s="94">
        <f>SUM('5'!$AP$60)</f>
        <v>13</v>
      </c>
      <c r="V11" s="97">
        <f>SUM('5'!$AQ$60)</f>
        <v>1175000</v>
      </c>
      <c r="W11" s="94">
        <f>SUM('5'!$AP$61)</f>
        <v>12</v>
      </c>
      <c r="X11" s="98">
        <f>SUM('5'!$AS$61)</f>
        <v>960000</v>
      </c>
      <c r="Y11" s="94">
        <f>SUM('5'!$AP$69)</f>
        <v>1</v>
      </c>
      <c r="Z11" s="97">
        <f>SUM('5'!$AQ$69)</f>
        <v>231000</v>
      </c>
      <c r="AA11" s="94">
        <f>SUM('5'!$AP$70)</f>
        <v>0</v>
      </c>
      <c r="AB11" s="98">
        <f>SUM('5'!$AQ$70)</f>
        <v>0</v>
      </c>
      <c r="AC11" s="108">
        <v>5</v>
      </c>
      <c r="AD11" s="109">
        <f>SUM('5'!$AP$62)</f>
        <v>1</v>
      </c>
      <c r="AE11" s="110">
        <f>SUM('5'!$AQ$62)</f>
        <v>65000</v>
      </c>
      <c r="AF11" s="94">
        <f>SUM('5'!$AP$66)</f>
        <v>3</v>
      </c>
      <c r="AG11" s="98">
        <f>SUM('5'!$AQ$66)</f>
        <v>173400</v>
      </c>
      <c r="AH11" s="94">
        <f>SUM('5'!$AP$65)</f>
        <v>0</v>
      </c>
      <c r="AI11" s="98">
        <f>SUM('5'!$AQ$65)</f>
        <v>0</v>
      </c>
      <c r="AJ11" s="94">
        <f>SUM('5'!$AP$63)</f>
        <v>0</v>
      </c>
      <c r="AK11" s="98">
        <f>SUM('5'!$AQ$63)</f>
        <v>0</v>
      </c>
      <c r="AL11" s="94">
        <f>SUM('5'!$AP$64)</f>
        <v>0</v>
      </c>
      <c r="AM11" s="98">
        <f>SUM('5'!$AQ$64)</f>
        <v>0</v>
      </c>
      <c r="AN11" s="94">
        <f>SUM('5'!$AP$67)</f>
        <v>0</v>
      </c>
      <c r="AO11" s="98">
        <f>SUM('5'!$AQ$67)</f>
        <v>0</v>
      </c>
      <c r="AP11" s="94">
        <f>SUM('5'!$AP$68)</f>
        <v>0</v>
      </c>
      <c r="AQ11" s="98">
        <f>SUM('5'!$AQ$68)</f>
        <v>0</v>
      </c>
      <c r="AR11" s="108">
        <v>5</v>
      </c>
      <c r="AS11" s="94"/>
      <c r="AT11" s="94"/>
      <c r="AU11" s="94"/>
      <c r="AV11" s="94"/>
      <c r="AW11" s="94"/>
      <c r="AX11" s="350"/>
      <c r="AY11" s="211"/>
      <c r="AZ11" s="209"/>
      <c r="BA11" s="108">
        <v>5</v>
      </c>
      <c r="BB11" s="111">
        <f>SUM('5'!$AN$14:$AO$15)</f>
        <v>0</v>
      </c>
      <c r="BC11" s="112">
        <f>SUM('5'!$AR$14:$AS$15)</f>
        <v>53000</v>
      </c>
      <c r="BD11" s="112">
        <f>SUM('5'!$AZ$14:$BA$15)</f>
        <v>0</v>
      </c>
      <c r="BE11" s="112">
        <f>SUM('5'!$AS$60)</f>
        <v>1175000</v>
      </c>
      <c r="BF11" s="112">
        <f>SUM('5'!$AS$61)</f>
        <v>960000</v>
      </c>
      <c r="BG11" s="112">
        <f>SUM('5'!$AS$69)</f>
        <v>231000</v>
      </c>
      <c r="BH11" s="112">
        <f>SUM('5'!$AS$70)</f>
        <v>0</v>
      </c>
      <c r="BI11" s="113">
        <f>SUM('5'!$AS$62)</f>
        <v>65000</v>
      </c>
      <c r="BJ11" s="113">
        <f>SUM('5'!$AS$66)</f>
        <v>173400</v>
      </c>
      <c r="BK11" s="113">
        <f>SUM('5'!$AS$67)</f>
        <v>0</v>
      </c>
      <c r="BL11" s="113">
        <f>SUM('5'!$AS$63)</f>
        <v>0</v>
      </c>
      <c r="BM11" s="113">
        <f>SUM('5'!$AS$65)</f>
        <v>0</v>
      </c>
      <c r="BN11" s="358">
        <f>SUM('5'!$AS$68)</f>
        <v>0</v>
      </c>
      <c r="BO11" s="114">
        <f>SUM('5'!$AS$64)</f>
        <v>0</v>
      </c>
      <c r="BP11" s="115">
        <f>SUM('5'!$AM$73)</f>
        <v>0</v>
      </c>
      <c r="BQ11" s="307">
        <f>SUM('5'!$AN$73)</f>
        <v>0</v>
      </c>
      <c r="BR11" s="308">
        <f>SUM('5'!$AP$73)</f>
        <v>30</v>
      </c>
      <c r="BS11" s="307">
        <f>SUM('5'!$AQ$73)</f>
        <v>2604400</v>
      </c>
      <c r="BT11" s="309">
        <f t="shared" si="13"/>
        <v>2657400</v>
      </c>
      <c r="BU11" s="115"/>
      <c r="BV11" s="117"/>
      <c r="BW11" s="110"/>
      <c r="BX11" s="262"/>
      <c r="BY11" s="290">
        <f>BX11/5</f>
        <v>0</v>
      </c>
      <c r="BZ11" s="291">
        <f t="shared" si="14"/>
        <v>0</v>
      </c>
      <c r="CB11" s="134">
        <v>5</v>
      </c>
      <c r="CC11" s="120">
        <f t="shared" si="0"/>
        <v>1175000</v>
      </c>
      <c r="CD11" s="121"/>
      <c r="CE11" s="122"/>
      <c r="CF11" s="123"/>
      <c r="CG11" s="120">
        <f t="shared" si="1"/>
        <v>960000</v>
      </c>
      <c r="CH11" s="121"/>
      <c r="CI11" s="122"/>
      <c r="CJ11" s="123"/>
      <c r="CK11" s="120">
        <f t="shared" si="2"/>
        <v>65000</v>
      </c>
      <c r="CL11" s="121"/>
      <c r="CM11" s="122"/>
      <c r="CN11" s="123"/>
      <c r="CO11" s="120">
        <f t="shared" si="3"/>
        <v>173400</v>
      </c>
      <c r="CP11" s="121"/>
      <c r="CQ11" s="122"/>
      <c r="CR11" s="123"/>
      <c r="CS11" s="120">
        <f t="shared" si="4"/>
        <v>0</v>
      </c>
      <c r="CT11" s="121"/>
      <c r="CU11" s="122"/>
      <c r="CV11" s="123"/>
      <c r="CW11" s="120">
        <f t="shared" si="5"/>
        <v>0</v>
      </c>
      <c r="CX11" s="121"/>
      <c r="CY11" s="122"/>
      <c r="CZ11" s="123"/>
      <c r="DA11" s="120">
        <f t="shared" si="6"/>
        <v>0</v>
      </c>
      <c r="DB11" s="121"/>
      <c r="DC11" s="122"/>
      <c r="DD11" s="123"/>
      <c r="DE11" s="120">
        <f t="shared" si="7"/>
        <v>0</v>
      </c>
      <c r="DF11" s="121"/>
      <c r="DG11" s="122"/>
      <c r="DH11" s="123"/>
      <c r="DI11" s="120">
        <f t="shared" si="8"/>
        <v>53000</v>
      </c>
      <c r="DJ11" s="121"/>
      <c r="DK11" s="122"/>
      <c r="DL11" s="123"/>
      <c r="DM11" s="120">
        <f t="shared" si="9"/>
        <v>0</v>
      </c>
      <c r="DN11" s="121">
        <f t="shared" si="10"/>
        <v>0</v>
      </c>
      <c r="DO11" s="122"/>
      <c r="DP11" s="123"/>
      <c r="DQ11" s="124">
        <f t="shared" si="15"/>
        <v>2426400</v>
      </c>
      <c r="DR11" s="125">
        <f t="shared" si="11"/>
        <v>0</v>
      </c>
      <c r="DS11" s="125">
        <f t="shared" si="16"/>
        <v>2426400</v>
      </c>
      <c r="DT11" s="135">
        <v>5</v>
      </c>
      <c r="DU11" s="131"/>
      <c r="DV11" s="132"/>
      <c r="DW11" s="132"/>
      <c r="DX11" s="132"/>
      <c r="DY11" s="132"/>
      <c r="DZ11" s="132"/>
      <c r="EA11" s="132"/>
      <c r="EB11" s="133"/>
      <c r="EC11" s="133"/>
      <c r="ED11" s="129">
        <f t="shared" si="12"/>
        <v>0</v>
      </c>
      <c r="EE11" s="913"/>
      <c r="EF11" s="914"/>
      <c r="EG11" s="914"/>
    </row>
    <row r="12" spans="1:137" ht="40.5" customHeight="1" thickBot="1" x14ac:dyDescent="0.35">
      <c r="A12" s="108">
        <v>6</v>
      </c>
      <c r="B12" s="205">
        <f>SUM('6'!$AL$10:$AM$10)</f>
        <v>0</v>
      </c>
      <c r="C12" s="203">
        <f>SUM('6'!$AN$10:$AO$10)</f>
        <v>0</v>
      </c>
      <c r="D12" s="204">
        <f>SUM('6'!$AL$12:$AM$12)</f>
        <v>0</v>
      </c>
      <c r="E12" s="206">
        <f>SUM('6'!$AN$12:$AO$12)</f>
        <v>0</v>
      </c>
      <c r="F12" s="108">
        <v>6</v>
      </c>
      <c r="G12" s="208">
        <f>SUM('6'!$AP$10:$AQ$10)</f>
        <v>1</v>
      </c>
      <c r="H12" s="96">
        <f>SUM('5'!$AR$10:$AS$10)</f>
        <v>0</v>
      </c>
      <c r="I12" s="207">
        <f>SUM('6'!$AP$12:$AQ$12)</f>
        <v>1</v>
      </c>
      <c r="J12" s="98">
        <f>SUM('6'!$AR$12:$AS$12)</f>
        <v>10000</v>
      </c>
      <c r="K12" s="108">
        <v>6</v>
      </c>
      <c r="L12" s="202">
        <f>SUM('6'!$AX$11:$AY$11)</f>
        <v>0</v>
      </c>
      <c r="M12" s="96">
        <f>SUM('6'!$AZ$11:$BA$11)</f>
        <v>0</v>
      </c>
      <c r="N12" s="207">
        <f>SUM('6'!$AX$13:$AY$13)</f>
        <v>0</v>
      </c>
      <c r="O12" s="97">
        <f>SUM('6'!$AZ$13:$BA$13)</f>
        <v>0</v>
      </c>
      <c r="P12" s="208">
        <f>SUM('6'!$AX$10:$AY$10)</f>
        <v>0</v>
      </c>
      <c r="Q12" s="96">
        <f>SUM('6'!$AZ$10:$BA$10)</f>
        <v>0</v>
      </c>
      <c r="R12" s="207">
        <f>SUM('6'!$AX$12:$AY$12)</f>
        <v>0</v>
      </c>
      <c r="S12" s="98">
        <f>SUM('6'!$AZ$12:$BA$12)</f>
        <v>0</v>
      </c>
      <c r="T12" s="108">
        <v>6</v>
      </c>
      <c r="U12" s="94">
        <f>SUM('6'!$AP$60)</f>
        <v>13</v>
      </c>
      <c r="V12" s="97">
        <f>SUM('6'!$AQ$60)</f>
        <v>1125000</v>
      </c>
      <c r="W12" s="94">
        <f>SUM('6'!$AP$61)</f>
        <v>11</v>
      </c>
      <c r="X12" s="98">
        <f>SUM('6'!$AS$61)</f>
        <v>1110000</v>
      </c>
      <c r="Y12" s="94">
        <f>SUM('6'!$AP$69)</f>
        <v>3</v>
      </c>
      <c r="Z12" s="97">
        <f>SUM('6'!$AQ$69)</f>
        <v>209000</v>
      </c>
      <c r="AA12" s="94">
        <f>SUM('6'!$AP$70)</f>
        <v>0</v>
      </c>
      <c r="AB12" s="98">
        <f>SUM('6'!$AQ$70)</f>
        <v>0</v>
      </c>
      <c r="AC12" s="108">
        <v>6</v>
      </c>
      <c r="AD12" s="109">
        <f>SUM('6'!$AP$62)</f>
        <v>1</v>
      </c>
      <c r="AE12" s="110">
        <f>SUM('6'!$AQ$62)</f>
        <v>95000</v>
      </c>
      <c r="AF12" s="94">
        <f>SUM('6'!$AP$66)</f>
        <v>4</v>
      </c>
      <c r="AG12" s="98">
        <f>SUM('6'!$AQ$66)</f>
        <v>459000</v>
      </c>
      <c r="AH12" s="94">
        <f>SUM('6'!$AP$65)</f>
        <v>2</v>
      </c>
      <c r="AI12" s="98">
        <f>SUM('6'!$AQ$65)</f>
        <v>584905</v>
      </c>
      <c r="AJ12" s="94">
        <f>SUM('6'!$AP$63)</f>
        <v>0</v>
      </c>
      <c r="AK12" s="98">
        <f>SUM('6'!$AQ$63)</f>
        <v>0</v>
      </c>
      <c r="AL12" s="94">
        <f>SUM('6'!$AP$64)</f>
        <v>0</v>
      </c>
      <c r="AM12" s="98">
        <f>SUM('6'!$AQ$64)</f>
        <v>0</v>
      </c>
      <c r="AN12" s="94">
        <f>SUM('6'!$AP$67)</f>
        <v>1</v>
      </c>
      <c r="AO12" s="98">
        <f>SUM('6'!$AQ$67)</f>
        <v>86422</v>
      </c>
      <c r="AP12" s="94">
        <f>SUM('6'!$AP$68)</f>
        <v>2</v>
      </c>
      <c r="AQ12" s="98">
        <f>SUM('6'!$AQ$68)</f>
        <v>292825</v>
      </c>
      <c r="AR12" s="108">
        <v>6</v>
      </c>
      <c r="AS12" s="94"/>
      <c r="AT12" s="94"/>
      <c r="AU12" s="94"/>
      <c r="AV12" s="94"/>
      <c r="AW12" s="94"/>
      <c r="AX12" s="350"/>
      <c r="AY12" s="211"/>
      <c r="AZ12" s="209"/>
      <c r="BA12" s="108">
        <v>6</v>
      </c>
      <c r="BB12" s="111">
        <f>SUM('6'!$AN$14:$AO$15)</f>
        <v>6000</v>
      </c>
      <c r="BC12" s="112">
        <f>SUM('6'!$AR$14:$AS$15)</f>
        <v>296000</v>
      </c>
      <c r="BD12" s="112">
        <f>SUM('6'!$AZ$14:$BA$15)</f>
        <v>0</v>
      </c>
      <c r="BE12" s="112">
        <f>SUM('6'!$AS$60)</f>
        <v>1125000</v>
      </c>
      <c r="BF12" s="112">
        <f>SUM('6'!$AS$61)</f>
        <v>1110000</v>
      </c>
      <c r="BG12" s="112">
        <f>SUM('6'!$AS$69)</f>
        <v>209000</v>
      </c>
      <c r="BH12" s="112">
        <f>SUM('6'!$AS$70)</f>
        <v>0</v>
      </c>
      <c r="BI12" s="113">
        <f>SUM('6'!$AS$62)</f>
        <v>95000</v>
      </c>
      <c r="BJ12" s="113">
        <f>SUM('6'!$AS$66)</f>
        <v>459000</v>
      </c>
      <c r="BK12" s="113">
        <f>SUM('6'!$AS$67)</f>
        <v>86422</v>
      </c>
      <c r="BL12" s="113">
        <f>SUM('6'!$AS$63)</f>
        <v>0</v>
      </c>
      <c r="BM12" s="113">
        <f>SUM('6'!$AS$65)</f>
        <v>584905</v>
      </c>
      <c r="BN12" s="358">
        <f>SUM('6'!$AS$68)</f>
        <v>292825</v>
      </c>
      <c r="BO12" s="114">
        <f>SUM('6'!$AS$64)</f>
        <v>0</v>
      </c>
      <c r="BP12" s="115">
        <f>SUM('6'!$AM$73)</f>
        <v>0</v>
      </c>
      <c r="BQ12" s="307">
        <f>SUM('6'!$AN$73)</f>
        <v>0</v>
      </c>
      <c r="BR12" s="308">
        <f>SUM('6'!$AP$73)</f>
        <v>37</v>
      </c>
      <c r="BS12" s="307">
        <f>SUM('6'!$AQ$73)</f>
        <v>3962152</v>
      </c>
      <c r="BT12" s="309">
        <f t="shared" si="13"/>
        <v>4264152</v>
      </c>
      <c r="BU12" s="115"/>
      <c r="BV12" s="109"/>
      <c r="BW12" s="110"/>
      <c r="BX12" s="262"/>
      <c r="BY12" s="290">
        <f>BX12/6</f>
        <v>0</v>
      </c>
      <c r="BZ12" s="291">
        <f t="shared" si="14"/>
        <v>0</v>
      </c>
      <c r="CB12" s="136">
        <v>6</v>
      </c>
      <c r="CC12" s="120">
        <f t="shared" si="0"/>
        <v>1125000</v>
      </c>
      <c r="CD12" s="121"/>
      <c r="CE12" s="122"/>
      <c r="CF12" s="123"/>
      <c r="CG12" s="120">
        <f t="shared" si="1"/>
        <v>1110000</v>
      </c>
      <c r="CH12" s="121"/>
      <c r="CI12" s="122"/>
      <c r="CJ12" s="123"/>
      <c r="CK12" s="120">
        <f t="shared" si="2"/>
        <v>95000</v>
      </c>
      <c r="CL12" s="121"/>
      <c r="CM12" s="122"/>
      <c r="CN12" s="123"/>
      <c r="CO12" s="120">
        <f t="shared" si="3"/>
        <v>459000</v>
      </c>
      <c r="CP12" s="121"/>
      <c r="CQ12" s="122"/>
      <c r="CR12" s="123"/>
      <c r="CS12" s="120">
        <f t="shared" si="4"/>
        <v>86422</v>
      </c>
      <c r="CT12" s="121"/>
      <c r="CU12" s="122"/>
      <c r="CV12" s="123"/>
      <c r="CW12" s="120">
        <f t="shared" si="5"/>
        <v>0</v>
      </c>
      <c r="CX12" s="121"/>
      <c r="CY12" s="122"/>
      <c r="CZ12" s="123"/>
      <c r="DA12" s="120">
        <f t="shared" si="6"/>
        <v>584905</v>
      </c>
      <c r="DB12" s="121"/>
      <c r="DC12" s="122"/>
      <c r="DD12" s="123"/>
      <c r="DE12" s="120">
        <f t="shared" si="7"/>
        <v>0</v>
      </c>
      <c r="DF12" s="121"/>
      <c r="DG12" s="122"/>
      <c r="DH12" s="123"/>
      <c r="DI12" s="120">
        <f t="shared" si="8"/>
        <v>296000</v>
      </c>
      <c r="DJ12" s="121"/>
      <c r="DK12" s="122"/>
      <c r="DL12" s="123"/>
      <c r="DM12" s="120">
        <f t="shared" si="9"/>
        <v>6000</v>
      </c>
      <c r="DN12" s="121">
        <f t="shared" si="10"/>
        <v>6000</v>
      </c>
      <c r="DO12" s="122"/>
      <c r="DP12" s="123"/>
      <c r="DQ12" s="124">
        <f t="shared" si="15"/>
        <v>3762327</v>
      </c>
      <c r="DR12" s="125">
        <f t="shared" si="11"/>
        <v>6000</v>
      </c>
      <c r="DS12" s="125">
        <f t="shared" si="16"/>
        <v>3756327</v>
      </c>
      <c r="DT12" s="137">
        <v>6</v>
      </c>
      <c r="DU12" s="131"/>
      <c r="DV12" s="132"/>
      <c r="DW12" s="132"/>
      <c r="DX12" s="132"/>
      <c r="DY12" s="132"/>
      <c r="DZ12" s="132"/>
      <c r="EA12" s="132"/>
      <c r="EB12" s="133"/>
      <c r="EC12" s="133"/>
      <c r="ED12" s="129">
        <f t="shared" si="12"/>
        <v>0</v>
      </c>
      <c r="EE12" s="913"/>
      <c r="EF12" s="914"/>
      <c r="EG12" s="914"/>
    </row>
    <row r="13" spans="1:137" ht="40.5" customHeight="1" thickBot="1" x14ac:dyDescent="0.35">
      <c r="A13" s="108">
        <v>7</v>
      </c>
      <c r="B13" s="205">
        <f>SUM('7'!$AL$10:$AM$10)</f>
        <v>0</v>
      </c>
      <c r="C13" s="203">
        <f>SUM('7'!$AN$10:$AO$10)</f>
        <v>0</v>
      </c>
      <c r="D13" s="204">
        <f>SUM('7'!$AL$12:$AM$12)</f>
        <v>0</v>
      </c>
      <c r="E13" s="206">
        <f>SUM('7'!$AN$12:$AO$12)</f>
        <v>0</v>
      </c>
      <c r="F13" s="108">
        <v>7</v>
      </c>
      <c r="G13" s="208">
        <f>SUM('7'!$AP$10:$AQ$10)</f>
        <v>1</v>
      </c>
      <c r="H13" s="96">
        <f>SUM('6'!$AR$10:$AS$10)</f>
        <v>270000</v>
      </c>
      <c r="I13" s="207">
        <f>SUM('7'!$AP$12:$AQ$12)</f>
        <v>4</v>
      </c>
      <c r="J13" s="98">
        <f>SUM('7'!$AR$12:$AS$12)</f>
        <v>100000</v>
      </c>
      <c r="K13" s="108">
        <v>7</v>
      </c>
      <c r="L13" s="202">
        <f>SUM('7'!$AX$11:$AY$11)</f>
        <v>0</v>
      </c>
      <c r="M13" s="96">
        <f>SUM('7'!$AZ$11:$BA$11)</f>
        <v>0</v>
      </c>
      <c r="N13" s="207">
        <f>SUM('7'!$AX$13:$AY$13)</f>
        <v>0</v>
      </c>
      <c r="O13" s="97">
        <f>SUM('7'!$AZ$13:$BA$13)</f>
        <v>0</v>
      </c>
      <c r="P13" s="208">
        <f>SUM('7'!$AX$10:$AY$10)</f>
        <v>0</v>
      </c>
      <c r="Q13" s="96">
        <f>SUM('7'!$AZ$10:$BA$10)</f>
        <v>0</v>
      </c>
      <c r="R13" s="207">
        <f>SUM('7'!$AX$12:$AY$12)</f>
        <v>0</v>
      </c>
      <c r="S13" s="98">
        <f>SUM('7'!$AZ$12:$BA$12)</f>
        <v>0</v>
      </c>
      <c r="T13" s="108">
        <v>7</v>
      </c>
      <c r="U13" s="94">
        <f>SUM('7'!$AP$60)</f>
        <v>3</v>
      </c>
      <c r="V13" s="97">
        <f>SUM('7'!$AQ$60)</f>
        <v>185000</v>
      </c>
      <c r="W13" s="94">
        <f>SUM('7'!$AP$61)</f>
        <v>8</v>
      </c>
      <c r="X13" s="98">
        <f>SUM('7'!$AS$61)</f>
        <v>740000</v>
      </c>
      <c r="Y13" s="94">
        <f>SUM('7'!$AP$69)</f>
        <v>0</v>
      </c>
      <c r="Z13" s="97">
        <f>SUM('7'!$AQ$69)</f>
        <v>0</v>
      </c>
      <c r="AA13" s="94">
        <f>SUM('7'!$AP$70)</f>
        <v>0</v>
      </c>
      <c r="AB13" s="98">
        <f>SUM('7'!$AQ$70)</f>
        <v>0</v>
      </c>
      <c r="AC13" s="108">
        <v>7</v>
      </c>
      <c r="AD13" s="109">
        <f>SUM('7'!$AP$62)</f>
        <v>0</v>
      </c>
      <c r="AE13" s="110">
        <f>SUM('7'!$AQ$62)</f>
        <v>0</v>
      </c>
      <c r="AF13" s="94">
        <f>SUM('7'!$AP$66)</f>
        <v>2</v>
      </c>
      <c r="AG13" s="98">
        <f>SUM('7'!$AQ$66)</f>
        <v>265200</v>
      </c>
      <c r="AH13" s="94">
        <f>SUM('7'!$AP$65)</f>
        <v>1</v>
      </c>
      <c r="AI13" s="98">
        <f>SUM('7'!$AQ$65)</f>
        <v>0</v>
      </c>
      <c r="AJ13" s="94">
        <f>SUM('7'!$AP$63)</f>
        <v>0</v>
      </c>
      <c r="AK13" s="98">
        <f>SUM('7'!$AQ$63)</f>
        <v>0</v>
      </c>
      <c r="AL13" s="94">
        <f>SUM('7'!$AP$64)</f>
        <v>0</v>
      </c>
      <c r="AM13" s="98">
        <f>SUM('7'!$AQ$64)</f>
        <v>0</v>
      </c>
      <c r="AN13" s="94">
        <f>SUM('7'!$AP$67)</f>
        <v>0</v>
      </c>
      <c r="AO13" s="98">
        <f>SUM('7'!$AQ$67)</f>
        <v>0</v>
      </c>
      <c r="AP13" s="94">
        <f>SUM('7'!$AP$68)</f>
        <v>0</v>
      </c>
      <c r="AQ13" s="98">
        <f>SUM('7'!$AQ$68)</f>
        <v>0</v>
      </c>
      <c r="AR13" s="108">
        <v>7</v>
      </c>
      <c r="AS13" s="94"/>
      <c r="AT13" s="94"/>
      <c r="AU13" s="94"/>
      <c r="AV13" s="94"/>
      <c r="AW13" s="94"/>
      <c r="AX13" s="350"/>
      <c r="AY13" s="211"/>
      <c r="AZ13" s="209"/>
      <c r="BA13" s="108">
        <v>7</v>
      </c>
      <c r="BB13" s="111">
        <f>SUM('7'!$AN$14:$AO$15)</f>
        <v>2000</v>
      </c>
      <c r="BC13" s="112">
        <f>SUM('7'!$AR$14:$AS$15)</f>
        <v>182000</v>
      </c>
      <c r="BD13" s="112">
        <f>SUM('7'!$AZ$14:$BA$15)</f>
        <v>0</v>
      </c>
      <c r="BE13" s="112">
        <f>SUM('7'!$AS$60)</f>
        <v>185000</v>
      </c>
      <c r="BF13" s="112">
        <f>SUM('7'!$AS$61)</f>
        <v>740000</v>
      </c>
      <c r="BG13" s="112">
        <f>SUM('7'!$AS$69)</f>
        <v>0</v>
      </c>
      <c r="BH13" s="112">
        <f>SUM('7'!$AS$70)</f>
        <v>0</v>
      </c>
      <c r="BI13" s="113">
        <f>SUM('7'!$AS$62)</f>
        <v>0</v>
      </c>
      <c r="BJ13" s="113">
        <f>SUM('7'!$AS$66)</f>
        <v>265200</v>
      </c>
      <c r="BK13" s="113">
        <f>SUM('7'!$AS$67)</f>
        <v>0</v>
      </c>
      <c r="BL13" s="113">
        <f>SUM('7'!$AS$63)</f>
        <v>0</v>
      </c>
      <c r="BM13" s="113">
        <f>SUM('7'!$AS$65)</f>
        <v>0</v>
      </c>
      <c r="BN13" s="358">
        <f>SUM('7'!$AS$68)</f>
        <v>0</v>
      </c>
      <c r="BO13" s="114">
        <f>SUM('7'!$AS$64)</f>
        <v>0</v>
      </c>
      <c r="BP13" s="115">
        <f>SUM('7'!$AM$73)</f>
        <v>0</v>
      </c>
      <c r="BQ13" s="307">
        <f>SUM('7'!$AN$73)</f>
        <v>0</v>
      </c>
      <c r="BR13" s="308">
        <f>SUM('7'!$AP$73)</f>
        <v>14</v>
      </c>
      <c r="BS13" s="307">
        <f>SUM('7'!$AQ$73)</f>
        <v>1190200</v>
      </c>
      <c r="BT13" s="309">
        <f t="shared" si="13"/>
        <v>1374200</v>
      </c>
      <c r="BU13" s="115"/>
      <c r="BV13" s="109"/>
      <c r="BW13" s="110"/>
      <c r="BX13" s="262"/>
      <c r="BY13" s="290">
        <f>BX13/7</f>
        <v>0</v>
      </c>
      <c r="BZ13" s="291">
        <f t="shared" si="14"/>
        <v>0</v>
      </c>
      <c r="CB13" s="130">
        <v>7</v>
      </c>
      <c r="CC13" s="120">
        <f t="shared" si="0"/>
        <v>185000</v>
      </c>
      <c r="CD13" s="121"/>
      <c r="CE13" s="122"/>
      <c r="CF13" s="123"/>
      <c r="CG13" s="120">
        <f t="shared" si="1"/>
        <v>740000</v>
      </c>
      <c r="CH13" s="121"/>
      <c r="CI13" s="122"/>
      <c r="CJ13" s="123"/>
      <c r="CK13" s="120">
        <f t="shared" si="2"/>
        <v>0</v>
      </c>
      <c r="CL13" s="121"/>
      <c r="CM13" s="122"/>
      <c r="CN13" s="123"/>
      <c r="CO13" s="120">
        <f t="shared" si="3"/>
        <v>265200</v>
      </c>
      <c r="CP13" s="121"/>
      <c r="CQ13" s="122"/>
      <c r="CR13" s="123"/>
      <c r="CS13" s="120">
        <f t="shared" si="4"/>
        <v>0</v>
      </c>
      <c r="CT13" s="121"/>
      <c r="CU13" s="122"/>
      <c r="CV13" s="123"/>
      <c r="CW13" s="120">
        <f t="shared" si="5"/>
        <v>0</v>
      </c>
      <c r="CX13" s="121"/>
      <c r="CY13" s="122"/>
      <c r="CZ13" s="123"/>
      <c r="DA13" s="120">
        <f t="shared" si="6"/>
        <v>0</v>
      </c>
      <c r="DB13" s="121"/>
      <c r="DC13" s="122"/>
      <c r="DD13" s="123"/>
      <c r="DE13" s="120">
        <f t="shared" si="7"/>
        <v>0</v>
      </c>
      <c r="DF13" s="121"/>
      <c r="DG13" s="122"/>
      <c r="DH13" s="123"/>
      <c r="DI13" s="120">
        <f t="shared" si="8"/>
        <v>182000</v>
      </c>
      <c r="DJ13" s="121"/>
      <c r="DK13" s="122"/>
      <c r="DL13" s="123"/>
      <c r="DM13" s="120">
        <f t="shared" si="9"/>
        <v>2000</v>
      </c>
      <c r="DN13" s="121">
        <f t="shared" si="10"/>
        <v>2000</v>
      </c>
      <c r="DO13" s="122"/>
      <c r="DP13" s="123"/>
      <c r="DQ13" s="124">
        <f t="shared" si="15"/>
        <v>1374200</v>
      </c>
      <c r="DR13" s="125">
        <f t="shared" si="11"/>
        <v>2000</v>
      </c>
      <c r="DS13" s="125">
        <f t="shared" si="16"/>
        <v>1372200</v>
      </c>
      <c r="DT13" s="352">
        <v>7</v>
      </c>
      <c r="DU13" s="131"/>
      <c r="DV13" s="132"/>
      <c r="DW13" s="132"/>
      <c r="DX13" s="132"/>
      <c r="DY13" s="132"/>
      <c r="DZ13" s="132"/>
      <c r="EA13" s="132"/>
      <c r="EB13" s="133"/>
      <c r="EC13" s="133"/>
      <c r="ED13" s="129">
        <f t="shared" si="12"/>
        <v>0</v>
      </c>
      <c r="EE13" s="913"/>
      <c r="EF13" s="914"/>
      <c r="EG13" s="914"/>
    </row>
    <row r="14" spans="1:137" ht="40.5" customHeight="1" thickBot="1" x14ac:dyDescent="0.35">
      <c r="A14" s="108">
        <v>8</v>
      </c>
      <c r="B14" s="205">
        <f>SUM('8'!$AL$10:$AM$10)</f>
        <v>0</v>
      </c>
      <c r="C14" s="203">
        <f>SUM('8'!$AN$10:$AO$10)</f>
        <v>0</v>
      </c>
      <c r="D14" s="204">
        <f>SUM('8'!$AL$12:$AM$12)</f>
        <v>0</v>
      </c>
      <c r="E14" s="206">
        <f>SUM('8'!$AN$12:$AO$12)</f>
        <v>0</v>
      </c>
      <c r="F14" s="108">
        <v>8</v>
      </c>
      <c r="G14" s="208">
        <f>SUM('8'!$AP$10:$AQ$10)</f>
        <v>0</v>
      </c>
      <c r="H14" s="96">
        <f>SUM('7'!$AR$10:$AS$10)</f>
        <v>80000</v>
      </c>
      <c r="I14" s="207">
        <f>SUM('8'!$AP$12:$AQ$12)</f>
        <v>0</v>
      </c>
      <c r="J14" s="98">
        <f>SUM('8'!$AR$12:$AS$12)</f>
        <v>0</v>
      </c>
      <c r="K14" s="108">
        <v>8</v>
      </c>
      <c r="L14" s="202">
        <f>SUM('8'!$AX$11:$AY$11)</f>
        <v>0</v>
      </c>
      <c r="M14" s="96">
        <f>SUM('8'!$AZ$11:$BA$11)</f>
        <v>0</v>
      </c>
      <c r="N14" s="207">
        <f>SUM('8'!$AX$13:$AY$13)</f>
        <v>0</v>
      </c>
      <c r="O14" s="97">
        <f>SUM('8'!$AZ$13:$BA$13)</f>
        <v>0</v>
      </c>
      <c r="P14" s="208">
        <f>SUM('8'!$AX$10:$AY$10)</f>
        <v>0</v>
      </c>
      <c r="Q14" s="96">
        <f>SUM('8'!$AZ$10:$BA$10)</f>
        <v>0</v>
      </c>
      <c r="R14" s="207">
        <f>SUM('8'!$AX$12:$AY$12)</f>
        <v>0</v>
      </c>
      <c r="S14" s="98">
        <f>SUM('8'!$AZ$12:$BA$12)</f>
        <v>0</v>
      </c>
      <c r="T14" s="108">
        <v>8</v>
      </c>
      <c r="U14" s="94">
        <f>SUM('8'!$AP$60)</f>
        <v>6</v>
      </c>
      <c r="V14" s="97">
        <f>SUM('8'!$AQ$60)</f>
        <v>445000</v>
      </c>
      <c r="W14" s="94">
        <f>SUM('8'!$AP$61)</f>
        <v>7</v>
      </c>
      <c r="X14" s="98">
        <f>SUM('8'!$AS$61)</f>
        <v>320000</v>
      </c>
      <c r="Y14" s="94">
        <f>SUM('8'!$AP$69)</f>
        <v>0</v>
      </c>
      <c r="Z14" s="97">
        <f>SUM('8'!$AQ$69)</f>
        <v>0</v>
      </c>
      <c r="AA14" s="94">
        <f>SUM('8'!$AP$70)</f>
        <v>0</v>
      </c>
      <c r="AB14" s="98">
        <f>SUM('8'!$AQ$70)</f>
        <v>0</v>
      </c>
      <c r="AC14" s="108">
        <v>8</v>
      </c>
      <c r="AD14" s="109">
        <f>SUM('8'!$AP$62)</f>
        <v>0</v>
      </c>
      <c r="AE14" s="110">
        <f>SUM('8'!$AQ$62)</f>
        <v>0</v>
      </c>
      <c r="AF14" s="94">
        <f>SUM('8'!$AP$66)</f>
        <v>3</v>
      </c>
      <c r="AG14" s="98">
        <f>SUM('8'!$AQ$66)</f>
        <v>66300</v>
      </c>
      <c r="AH14" s="94">
        <f>SUM('8'!$AP$65)</f>
        <v>1</v>
      </c>
      <c r="AI14" s="98">
        <f>SUM('8'!$AQ$65)</f>
        <v>0</v>
      </c>
      <c r="AJ14" s="94">
        <f>SUM('8'!$AP$63)</f>
        <v>0</v>
      </c>
      <c r="AK14" s="98">
        <f>SUM('8'!$AQ$63)</f>
        <v>0</v>
      </c>
      <c r="AL14" s="94">
        <f>SUM('8'!$AP$64)</f>
        <v>0</v>
      </c>
      <c r="AM14" s="98">
        <f>SUM('8'!$AQ$64)</f>
        <v>0</v>
      </c>
      <c r="AN14" s="94">
        <f>SUM('8'!$AP$67)</f>
        <v>1</v>
      </c>
      <c r="AO14" s="98">
        <f>SUM('8'!$AQ$67)</f>
        <v>177450</v>
      </c>
      <c r="AP14" s="94">
        <f>SUM('8'!$AP$68)</f>
        <v>0</v>
      </c>
      <c r="AQ14" s="98">
        <f>SUM('8'!$AQ$68)</f>
        <v>0</v>
      </c>
      <c r="AR14" s="108">
        <v>8</v>
      </c>
      <c r="AS14" s="94"/>
      <c r="AT14" s="94"/>
      <c r="AU14" s="94"/>
      <c r="AV14" s="94"/>
      <c r="AW14" s="94"/>
      <c r="AX14" s="350"/>
      <c r="AY14" s="211"/>
      <c r="AZ14" s="209"/>
      <c r="BA14" s="108">
        <v>8</v>
      </c>
      <c r="BB14" s="111">
        <f>SUM('8'!$AN$14:$AO$15)</f>
        <v>0</v>
      </c>
      <c r="BC14" s="112">
        <f>SUM('8'!$AR$14:$AS$15)</f>
        <v>0</v>
      </c>
      <c r="BD14" s="112">
        <f>SUM('8'!$AZ$14:$BA$15)</f>
        <v>0</v>
      </c>
      <c r="BE14" s="112">
        <f>SUM('8'!$AS$60)</f>
        <v>445000</v>
      </c>
      <c r="BF14" s="112">
        <f>SUM('8'!$AS$61)</f>
        <v>320000</v>
      </c>
      <c r="BG14" s="112">
        <f>SUM('8'!$AS$69)</f>
        <v>0</v>
      </c>
      <c r="BH14" s="112">
        <f>SUM('8'!$AS$70)</f>
        <v>0</v>
      </c>
      <c r="BI14" s="113">
        <f>SUM('8'!$AS$62)</f>
        <v>0</v>
      </c>
      <c r="BJ14" s="113">
        <f>SUM('8'!$AS$66)</f>
        <v>66300</v>
      </c>
      <c r="BK14" s="113">
        <f>SUM('8'!$AS$67)</f>
        <v>177450</v>
      </c>
      <c r="BL14" s="113">
        <f>SUM('8'!$AS$63)</f>
        <v>0</v>
      </c>
      <c r="BM14" s="113">
        <f>SUM('8'!$AS$65)</f>
        <v>0</v>
      </c>
      <c r="BN14" s="358">
        <f>SUM('8'!$AS$68)</f>
        <v>0</v>
      </c>
      <c r="BO14" s="114">
        <f>SUM('8'!$AS$64)</f>
        <v>0</v>
      </c>
      <c r="BP14" s="115">
        <f>SUM('8'!$AM$73)</f>
        <v>0</v>
      </c>
      <c r="BQ14" s="307">
        <f>SUM('8'!$AN$73)</f>
        <v>0</v>
      </c>
      <c r="BR14" s="308">
        <f>SUM('8'!$AP$73)</f>
        <v>18</v>
      </c>
      <c r="BS14" s="96">
        <f>SUM('8'!$AS$73)</f>
        <v>1008750</v>
      </c>
      <c r="BT14" s="309">
        <f t="shared" si="13"/>
        <v>1008750</v>
      </c>
      <c r="BU14" s="115"/>
      <c r="BV14" s="117"/>
      <c r="BW14" s="110"/>
      <c r="BX14" s="262"/>
      <c r="BY14" s="290">
        <f>BX14/8</f>
        <v>0</v>
      </c>
      <c r="BZ14" s="291">
        <f t="shared" si="14"/>
        <v>0</v>
      </c>
      <c r="CB14" s="130">
        <v>8</v>
      </c>
      <c r="CC14" s="120">
        <f t="shared" si="0"/>
        <v>445000</v>
      </c>
      <c r="CD14" s="121"/>
      <c r="CE14" s="122"/>
      <c r="CF14" s="123"/>
      <c r="CG14" s="120">
        <f t="shared" si="1"/>
        <v>320000</v>
      </c>
      <c r="CH14" s="121"/>
      <c r="CI14" s="122"/>
      <c r="CJ14" s="123"/>
      <c r="CK14" s="120">
        <f t="shared" si="2"/>
        <v>0</v>
      </c>
      <c r="CL14" s="121"/>
      <c r="CM14" s="122"/>
      <c r="CN14" s="123"/>
      <c r="CO14" s="120">
        <f t="shared" si="3"/>
        <v>66300</v>
      </c>
      <c r="CP14" s="121"/>
      <c r="CQ14" s="122"/>
      <c r="CR14" s="123"/>
      <c r="CS14" s="120">
        <f t="shared" si="4"/>
        <v>177450</v>
      </c>
      <c r="CT14" s="121"/>
      <c r="CU14" s="122"/>
      <c r="CV14" s="123"/>
      <c r="CW14" s="120">
        <f t="shared" si="5"/>
        <v>0</v>
      </c>
      <c r="CX14" s="121"/>
      <c r="CY14" s="122"/>
      <c r="CZ14" s="123"/>
      <c r="DA14" s="120">
        <f t="shared" si="6"/>
        <v>0</v>
      </c>
      <c r="DB14" s="121"/>
      <c r="DC14" s="122"/>
      <c r="DD14" s="123"/>
      <c r="DE14" s="120">
        <f t="shared" si="7"/>
        <v>0</v>
      </c>
      <c r="DF14" s="121"/>
      <c r="DG14" s="122"/>
      <c r="DH14" s="123"/>
      <c r="DI14" s="120">
        <f t="shared" si="8"/>
        <v>0</v>
      </c>
      <c r="DJ14" s="121"/>
      <c r="DK14" s="122"/>
      <c r="DL14" s="123"/>
      <c r="DM14" s="120">
        <f t="shared" si="9"/>
        <v>0</v>
      </c>
      <c r="DN14" s="121">
        <f t="shared" si="10"/>
        <v>0</v>
      </c>
      <c r="DO14" s="122"/>
      <c r="DP14" s="123"/>
      <c r="DQ14" s="124">
        <f t="shared" si="15"/>
        <v>1008750</v>
      </c>
      <c r="DR14" s="125">
        <f t="shared" si="11"/>
        <v>0</v>
      </c>
      <c r="DS14" s="125">
        <f t="shared" si="16"/>
        <v>1008750</v>
      </c>
      <c r="DT14" s="352">
        <v>8</v>
      </c>
      <c r="DU14" s="131"/>
      <c r="DV14" s="132"/>
      <c r="DW14" s="132"/>
      <c r="DX14" s="132"/>
      <c r="DY14" s="132"/>
      <c r="DZ14" s="132"/>
      <c r="EA14" s="132"/>
      <c r="EB14" s="133"/>
      <c r="EC14" s="133"/>
      <c r="ED14" s="129">
        <f t="shared" si="12"/>
        <v>0</v>
      </c>
      <c r="EE14" s="913"/>
      <c r="EF14" s="914"/>
      <c r="EG14" s="914"/>
    </row>
    <row r="15" spans="1:137" ht="40.5" customHeight="1" thickBot="1" x14ac:dyDescent="0.35">
      <c r="A15" s="108">
        <v>9</v>
      </c>
      <c r="B15" s="205">
        <f>SUM('9'!$AL$10:$AM$10)</f>
        <v>0</v>
      </c>
      <c r="C15" s="203">
        <f>SUM('9'!$AN$10:$AO$10)</f>
        <v>0</v>
      </c>
      <c r="D15" s="204">
        <f>SUM('9'!$AL$12:$AM$12)</f>
        <v>0</v>
      </c>
      <c r="E15" s="206">
        <f>SUM('9'!$AN$12:$AO$12)</f>
        <v>0</v>
      </c>
      <c r="F15" s="108">
        <v>9</v>
      </c>
      <c r="G15" s="208">
        <f>SUM('9'!$AP$10:$AQ$10)</f>
        <v>2</v>
      </c>
      <c r="H15" s="96">
        <f>SUM('8'!$AR$10:$AS$10)</f>
        <v>0</v>
      </c>
      <c r="I15" s="207">
        <f>SUM('9'!$AP$12:$AQ$12)</f>
        <v>1</v>
      </c>
      <c r="J15" s="98">
        <f>SUM('9'!$AR$12:$AS$12)</f>
        <v>20000</v>
      </c>
      <c r="K15" s="108">
        <v>9</v>
      </c>
      <c r="L15" s="202">
        <f>SUM('9'!$AX$11:$AY$11)</f>
        <v>0</v>
      </c>
      <c r="M15" s="96">
        <f>SUM('9'!$AZ$11:$BA$11)</f>
        <v>0</v>
      </c>
      <c r="N15" s="207">
        <f>SUM('9'!$AX$13:$AY$13)</f>
        <v>0</v>
      </c>
      <c r="O15" s="97">
        <f>SUM('9'!$AZ$13:$BA$13)</f>
        <v>0</v>
      </c>
      <c r="P15" s="208">
        <f>SUM('9'!$AX$10:$AY$10)</f>
        <v>0</v>
      </c>
      <c r="Q15" s="96">
        <f>SUM('9'!$AZ$10:$BA$10)</f>
        <v>0</v>
      </c>
      <c r="R15" s="207">
        <f>SUM('9'!$AX$12:$AY$12)</f>
        <v>0</v>
      </c>
      <c r="S15" s="98">
        <f>SUM('9'!$AZ$12:$BA$12)</f>
        <v>0</v>
      </c>
      <c r="T15" s="108">
        <v>9</v>
      </c>
      <c r="U15" s="94">
        <f>SUM('9'!$AP$60)</f>
        <v>8</v>
      </c>
      <c r="V15" s="97">
        <f>SUM('9'!$AQ$60)</f>
        <v>725000</v>
      </c>
      <c r="W15" s="94">
        <f>SUM('9'!$AP$61)</f>
        <v>10</v>
      </c>
      <c r="X15" s="98">
        <f>SUM('9'!$AS$61)</f>
        <v>555000</v>
      </c>
      <c r="Y15" s="94">
        <f>SUM('9'!$AP$69)</f>
        <v>0</v>
      </c>
      <c r="Z15" s="97">
        <f>SUM('9'!$AQ$69)</f>
        <v>0</v>
      </c>
      <c r="AA15" s="94">
        <f>SUM('9'!$AP$70)</f>
        <v>0</v>
      </c>
      <c r="AB15" s="98">
        <f>SUM('9'!$AQ$70)</f>
        <v>0</v>
      </c>
      <c r="AC15" s="108">
        <v>9</v>
      </c>
      <c r="AD15" s="109">
        <f>SUM('9'!$AP$62)</f>
        <v>2</v>
      </c>
      <c r="AE15" s="110">
        <f>SUM('9'!$AQ$62)</f>
        <v>145000</v>
      </c>
      <c r="AF15" s="94">
        <f>SUM('9'!$AP$66)</f>
        <v>2</v>
      </c>
      <c r="AG15" s="98">
        <f>SUM('9'!$AQ$66)</f>
        <v>145500</v>
      </c>
      <c r="AH15" s="94">
        <f>SUM('9'!$AP$65)</f>
        <v>1</v>
      </c>
      <c r="AI15" s="98">
        <f>SUM('9'!$AQ$65)</f>
        <v>0</v>
      </c>
      <c r="AJ15" s="94">
        <f>SUM('9'!$AP$63)</f>
        <v>0</v>
      </c>
      <c r="AK15" s="98">
        <f>SUM('9'!$AQ$63)</f>
        <v>0</v>
      </c>
      <c r="AL15" s="94">
        <f>SUM('9'!$AP$64)</f>
        <v>0</v>
      </c>
      <c r="AM15" s="98">
        <f>SUM('9'!$AQ$64)</f>
        <v>0</v>
      </c>
      <c r="AN15" s="94">
        <f>SUM('9'!$AP$67)</f>
        <v>1</v>
      </c>
      <c r="AO15" s="98">
        <f>SUM('9'!$AQ$67)</f>
        <v>0</v>
      </c>
      <c r="AP15" s="94">
        <f>SUM('9'!$AP$68)</f>
        <v>0</v>
      </c>
      <c r="AQ15" s="98">
        <f>SUM('9'!$AQ$68)</f>
        <v>0</v>
      </c>
      <c r="AR15" s="108">
        <v>9</v>
      </c>
      <c r="AS15" s="94"/>
      <c r="AT15" s="94"/>
      <c r="AU15" s="94"/>
      <c r="AV15" s="94"/>
      <c r="AW15" s="94"/>
      <c r="AX15" s="350"/>
      <c r="AY15" s="211"/>
      <c r="AZ15" s="209"/>
      <c r="BA15" s="108">
        <v>9</v>
      </c>
      <c r="BB15" s="111">
        <f>SUM('9'!$AN$14:$AO$15)</f>
        <v>0</v>
      </c>
      <c r="BC15" s="112">
        <f>SUM('9'!$AR$14:$AS$15)</f>
        <v>166000</v>
      </c>
      <c r="BD15" s="112">
        <f>SUM('9'!$AZ$14:$BA$15)</f>
        <v>0</v>
      </c>
      <c r="BE15" s="112">
        <f>SUM('9'!$AS$60)</f>
        <v>725000</v>
      </c>
      <c r="BF15" s="112">
        <f>SUM('9'!$AS$61)</f>
        <v>555000</v>
      </c>
      <c r="BG15" s="112">
        <f>SUM('9'!$AS$69)</f>
        <v>0</v>
      </c>
      <c r="BH15" s="112">
        <f>SUM('9'!$AS$70)</f>
        <v>0</v>
      </c>
      <c r="BI15" s="113">
        <f>SUM('9'!$AS$62)</f>
        <v>145000</v>
      </c>
      <c r="BJ15" s="113">
        <f>SUM('9'!$AS$66)</f>
        <v>145500</v>
      </c>
      <c r="BK15" s="113">
        <f>SUM('9'!$AS$67)</f>
        <v>0</v>
      </c>
      <c r="BL15" s="113">
        <f>SUM('9'!$AS$63)</f>
        <v>0</v>
      </c>
      <c r="BM15" s="113">
        <f>SUM('9'!$AS$65)</f>
        <v>0</v>
      </c>
      <c r="BN15" s="358">
        <f>SUM('9'!$AS$68)</f>
        <v>0</v>
      </c>
      <c r="BO15" s="114">
        <f>SUM('9'!$AS$64)</f>
        <v>0</v>
      </c>
      <c r="BP15" s="115">
        <f>SUM('9'!$AM$73)</f>
        <v>0</v>
      </c>
      <c r="BQ15" s="307">
        <f>SUM('9'!$AN$73)</f>
        <v>0</v>
      </c>
      <c r="BR15" s="308">
        <f>SUM('9'!$AP$73)</f>
        <v>24</v>
      </c>
      <c r="BS15" s="96">
        <f>SUM('9'!$AS$73)</f>
        <v>1570500</v>
      </c>
      <c r="BT15" s="309">
        <f t="shared" si="13"/>
        <v>1736500</v>
      </c>
      <c r="BU15" s="115"/>
      <c r="BV15" s="109"/>
      <c r="BW15" s="110"/>
      <c r="BX15" s="262"/>
      <c r="BY15" s="290">
        <f>BX15/9</f>
        <v>0</v>
      </c>
      <c r="BZ15" s="291">
        <f t="shared" si="14"/>
        <v>0</v>
      </c>
      <c r="CB15" s="130">
        <v>9</v>
      </c>
      <c r="CC15" s="120">
        <f t="shared" si="0"/>
        <v>725000</v>
      </c>
      <c r="CD15" s="121"/>
      <c r="CE15" s="122"/>
      <c r="CF15" s="123"/>
      <c r="CG15" s="120">
        <f t="shared" si="1"/>
        <v>555000</v>
      </c>
      <c r="CH15" s="121"/>
      <c r="CI15" s="122"/>
      <c r="CJ15" s="123"/>
      <c r="CK15" s="120">
        <f t="shared" si="2"/>
        <v>145000</v>
      </c>
      <c r="CL15" s="121"/>
      <c r="CM15" s="122"/>
      <c r="CN15" s="123"/>
      <c r="CO15" s="120">
        <f t="shared" si="3"/>
        <v>145500</v>
      </c>
      <c r="CP15" s="121"/>
      <c r="CQ15" s="122"/>
      <c r="CR15" s="123"/>
      <c r="CS15" s="120">
        <f t="shared" si="4"/>
        <v>0</v>
      </c>
      <c r="CT15" s="121"/>
      <c r="CU15" s="122"/>
      <c r="CV15" s="123"/>
      <c r="CW15" s="120">
        <f t="shared" si="5"/>
        <v>0</v>
      </c>
      <c r="CX15" s="121"/>
      <c r="CY15" s="122"/>
      <c r="CZ15" s="123"/>
      <c r="DA15" s="120">
        <f t="shared" si="6"/>
        <v>0</v>
      </c>
      <c r="DB15" s="121"/>
      <c r="DC15" s="122"/>
      <c r="DD15" s="123"/>
      <c r="DE15" s="120">
        <f t="shared" si="7"/>
        <v>0</v>
      </c>
      <c r="DF15" s="121"/>
      <c r="DG15" s="122"/>
      <c r="DH15" s="123"/>
      <c r="DI15" s="120">
        <f t="shared" si="8"/>
        <v>166000</v>
      </c>
      <c r="DJ15" s="121"/>
      <c r="DK15" s="122"/>
      <c r="DL15" s="123"/>
      <c r="DM15" s="120">
        <f t="shared" si="9"/>
        <v>0</v>
      </c>
      <c r="DN15" s="121">
        <f t="shared" si="10"/>
        <v>0</v>
      </c>
      <c r="DO15" s="122"/>
      <c r="DP15" s="123"/>
      <c r="DQ15" s="124">
        <f t="shared" si="15"/>
        <v>1736500</v>
      </c>
      <c r="DR15" s="125">
        <f t="shared" si="11"/>
        <v>0</v>
      </c>
      <c r="DS15" s="125">
        <f t="shared" si="16"/>
        <v>1736500</v>
      </c>
      <c r="DT15" s="352">
        <v>9</v>
      </c>
      <c r="DU15" s="131"/>
      <c r="DV15" s="132"/>
      <c r="DW15" s="132"/>
      <c r="DX15" s="132"/>
      <c r="DY15" s="132"/>
      <c r="DZ15" s="132"/>
      <c r="EA15" s="132"/>
      <c r="EB15" s="133"/>
      <c r="EC15" s="133"/>
      <c r="ED15" s="129">
        <f t="shared" si="12"/>
        <v>0</v>
      </c>
      <c r="EE15" s="913"/>
      <c r="EF15" s="914"/>
      <c r="EG15" s="914"/>
    </row>
    <row r="16" spans="1:137" ht="40.5" customHeight="1" thickBot="1" x14ac:dyDescent="0.35">
      <c r="A16" s="108">
        <v>10</v>
      </c>
      <c r="B16" s="205">
        <f>SUM('1'!$AL$10:$AM$10)</f>
        <v>0</v>
      </c>
      <c r="C16" s="203">
        <f>SUM('10'!$AN$10:$AO$10)</f>
        <v>0</v>
      </c>
      <c r="D16" s="204">
        <f>SUM('10'!$AL$12:$AM$12)</f>
        <v>0</v>
      </c>
      <c r="E16" s="206">
        <f>SUM('10'!$AN$12:$AO$12)</f>
        <v>0</v>
      </c>
      <c r="F16" s="108">
        <v>10</v>
      </c>
      <c r="G16" s="208">
        <f>SUM('10'!$AP$10:$AQ$10)</f>
        <v>1</v>
      </c>
      <c r="H16" s="96">
        <f>SUM('9'!$AR$10:$AS$10)</f>
        <v>140000</v>
      </c>
      <c r="I16" s="207">
        <f>SUM('10'!$AP$12:$AQ$12)</f>
        <v>1</v>
      </c>
      <c r="J16" s="98">
        <f>SUM('10'!$AR$12:$AS$12)</f>
        <v>10000</v>
      </c>
      <c r="K16" s="108">
        <v>10</v>
      </c>
      <c r="L16" s="202">
        <f>SUM('10'!$AX$11:$AY$11)</f>
        <v>0</v>
      </c>
      <c r="M16" s="96">
        <f>SUM('10'!$AZ$11:$BA$11)</f>
        <v>0</v>
      </c>
      <c r="N16" s="207">
        <f>SUM('10'!$AX$13:$AY$13)</f>
        <v>0</v>
      </c>
      <c r="O16" s="97">
        <f>SUM('10'!$AZ$13:$BA$13)</f>
        <v>0</v>
      </c>
      <c r="P16" s="208">
        <f>SUM('10'!$AX$10:$AY$10)</f>
        <v>0</v>
      </c>
      <c r="Q16" s="96">
        <f>SUM('10'!$AZ$10:$BA$10)</f>
        <v>0</v>
      </c>
      <c r="R16" s="207">
        <v>0</v>
      </c>
      <c r="S16" s="98">
        <f>SUM('10'!$AZ$12:$BA$12)</f>
        <v>0</v>
      </c>
      <c r="T16" s="108">
        <v>10</v>
      </c>
      <c r="U16" s="94">
        <f>SUM('10'!$AP$60)</f>
        <v>5</v>
      </c>
      <c r="V16" s="97">
        <f>SUM('10'!$AQ$60)</f>
        <v>175000</v>
      </c>
      <c r="W16" s="94">
        <f>SUM('10'!$AP$61)</f>
        <v>4</v>
      </c>
      <c r="X16" s="98">
        <f>SUM('10'!$AS$61)</f>
        <v>160000</v>
      </c>
      <c r="Y16" s="94">
        <f>SUM('10'!$AP$69)</f>
        <v>1</v>
      </c>
      <c r="Z16" s="97">
        <f>SUM('10'!$AQ$69)</f>
        <v>176000</v>
      </c>
      <c r="AA16" s="94">
        <f>SUM('10'!$AP$70)</f>
        <v>0</v>
      </c>
      <c r="AB16" s="98">
        <f>SUM('10'!$AQ$70)</f>
        <v>0</v>
      </c>
      <c r="AC16" s="108">
        <v>10</v>
      </c>
      <c r="AD16" s="109">
        <f>SUM('10'!$AP$62)</f>
        <v>0</v>
      </c>
      <c r="AE16" s="110">
        <f>SUM('10'!$AQ$62)</f>
        <v>0</v>
      </c>
      <c r="AF16" s="94">
        <f>SUM('10'!$AP$66)</f>
        <v>1</v>
      </c>
      <c r="AG16" s="98">
        <f>SUM('10'!$AQ$66)</f>
        <v>66300</v>
      </c>
      <c r="AH16" s="94">
        <f>SUM('10'!$AP$65)</f>
        <v>1</v>
      </c>
      <c r="AI16" s="98">
        <f>SUM('10'!$AQ$65)</f>
        <v>0</v>
      </c>
      <c r="AJ16" s="94">
        <f>SUM('10'!$AP$63)</f>
        <v>0</v>
      </c>
      <c r="AK16" s="98">
        <f>SUM('10'!$AQ$63)</f>
        <v>0</v>
      </c>
      <c r="AL16" s="94">
        <f>SUM('10'!$AP$64)</f>
        <v>0</v>
      </c>
      <c r="AM16" s="98">
        <f>SUM('10'!$AQ$64)</f>
        <v>0</v>
      </c>
      <c r="AN16" s="94">
        <f>SUM('10'!$AP$67)</f>
        <v>2</v>
      </c>
      <c r="AO16" s="98">
        <f>SUM('10'!$AQ$67)</f>
        <v>145572</v>
      </c>
      <c r="AP16" s="94">
        <f>SUM('10'!$AP$68)</f>
        <v>1</v>
      </c>
      <c r="AQ16" s="98">
        <f>SUM('10'!$AQ$68)</f>
        <v>115600</v>
      </c>
      <c r="AR16" s="108">
        <v>10</v>
      </c>
      <c r="AS16" s="94"/>
      <c r="AT16" s="94"/>
      <c r="AU16" s="94"/>
      <c r="AV16" s="94"/>
      <c r="AW16" s="94"/>
      <c r="AX16" s="350"/>
      <c r="AY16" s="211"/>
      <c r="AZ16" s="209"/>
      <c r="BA16" s="108">
        <v>10</v>
      </c>
      <c r="BB16" s="111">
        <f>SUM('10'!$AN$14:$AO$15)</f>
        <v>4000</v>
      </c>
      <c r="BC16" s="112">
        <f>SUM('10'!$AR$14:$AS$15)</f>
        <v>77000</v>
      </c>
      <c r="BD16" s="112">
        <f>SUM('10'!$AZ$14:$BA$15)</f>
        <v>0</v>
      </c>
      <c r="BE16" s="112">
        <f>SUM('10'!$AS$60)</f>
        <v>175000</v>
      </c>
      <c r="BF16" s="112">
        <f>SUM('10'!$AS$61)</f>
        <v>160000</v>
      </c>
      <c r="BG16" s="112">
        <f>SUM('10'!$AS$69)</f>
        <v>176000</v>
      </c>
      <c r="BH16" s="112">
        <f>SUM('10'!$AS$70)</f>
        <v>0</v>
      </c>
      <c r="BI16" s="113">
        <f>SUM('10'!$AS$62)</f>
        <v>0</v>
      </c>
      <c r="BJ16" s="113">
        <f>SUM('10'!$AS$66)</f>
        <v>66300</v>
      </c>
      <c r="BK16" s="113">
        <f>SUM('10'!$AS$67)</f>
        <v>145572</v>
      </c>
      <c r="BL16" s="113">
        <f>SUM('10'!$AS$63)</f>
        <v>0</v>
      </c>
      <c r="BM16" s="113">
        <f>SUM('10'!$AS$65)</f>
        <v>0</v>
      </c>
      <c r="BN16" s="358">
        <f>SUM('10'!$AS$68)</f>
        <v>115600</v>
      </c>
      <c r="BO16" s="114">
        <f>SUM('10'!$AS$64)</f>
        <v>0</v>
      </c>
      <c r="BP16" s="115">
        <f>SUM('10'!$AM$73)</f>
        <v>0</v>
      </c>
      <c r="BQ16" s="307">
        <f>SUM('10'!$AN$73)</f>
        <v>0</v>
      </c>
      <c r="BR16" s="308">
        <f>SUM('10'!$AP$73)</f>
        <v>15</v>
      </c>
      <c r="BS16" s="96">
        <f>SUM('10'!$AS$73)</f>
        <v>838472</v>
      </c>
      <c r="BT16" s="309">
        <f t="shared" si="13"/>
        <v>919472</v>
      </c>
      <c r="BU16" s="115"/>
      <c r="BV16" s="117"/>
      <c r="BW16" s="110"/>
      <c r="BX16" s="262"/>
      <c r="BY16" s="290">
        <f>BX16/10</f>
        <v>0</v>
      </c>
      <c r="BZ16" s="291">
        <f t="shared" si="14"/>
        <v>0</v>
      </c>
      <c r="CB16" s="130">
        <v>10</v>
      </c>
      <c r="CC16" s="120">
        <f t="shared" si="0"/>
        <v>175000</v>
      </c>
      <c r="CD16" s="121"/>
      <c r="CE16" s="122"/>
      <c r="CF16" s="123"/>
      <c r="CG16" s="120">
        <f t="shared" si="1"/>
        <v>160000</v>
      </c>
      <c r="CH16" s="121"/>
      <c r="CI16" s="122"/>
      <c r="CJ16" s="123"/>
      <c r="CK16" s="120">
        <f t="shared" si="2"/>
        <v>0</v>
      </c>
      <c r="CL16" s="121"/>
      <c r="CM16" s="122"/>
      <c r="CN16" s="123"/>
      <c r="CO16" s="120">
        <f t="shared" si="3"/>
        <v>66300</v>
      </c>
      <c r="CP16" s="121"/>
      <c r="CQ16" s="122"/>
      <c r="CR16" s="123"/>
      <c r="CS16" s="120">
        <f t="shared" si="4"/>
        <v>145572</v>
      </c>
      <c r="CT16" s="121"/>
      <c r="CU16" s="122"/>
      <c r="CV16" s="123"/>
      <c r="CW16" s="120">
        <f t="shared" si="5"/>
        <v>0</v>
      </c>
      <c r="CX16" s="121"/>
      <c r="CY16" s="122"/>
      <c r="CZ16" s="123"/>
      <c r="DA16" s="120">
        <f t="shared" si="6"/>
        <v>0</v>
      </c>
      <c r="DB16" s="121"/>
      <c r="DC16" s="122"/>
      <c r="DD16" s="123"/>
      <c r="DE16" s="120">
        <f t="shared" si="7"/>
        <v>0</v>
      </c>
      <c r="DF16" s="121"/>
      <c r="DG16" s="122"/>
      <c r="DH16" s="123"/>
      <c r="DI16" s="120">
        <f t="shared" si="8"/>
        <v>77000</v>
      </c>
      <c r="DJ16" s="121"/>
      <c r="DK16" s="122"/>
      <c r="DL16" s="123"/>
      <c r="DM16" s="120">
        <f t="shared" si="9"/>
        <v>4000</v>
      </c>
      <c r="DN16" s="121">
        <f t="shared" si="10"/>
        <v>4000</v>
      </c>
      <c r="DO16" s="122"/>
      <c r="DP16" s="123"/>
      <c r="DQ16" s="124">
        <f t="shared" si="15"/>
        <v>627872</v>
      </c>
      <c r="DR16" s="125">
        <f t="shared" si="11"/>
        <v>4000</v>
      </c>
      <c r="DS16" s="125">
        <f t="shared" si="16"/>
        <v>623872</v>
      </c>
      <c r="DT16" s="352">
        <v>10</v>
      </c>
      <c r="DU16" s="131"/>
      <c r="DV16" s="132"/>
      <c r="DW16" s="132"/>
      <c r="DX16" s="132"/>
      <c r="DY16" s="138"/>
      <c r="DZ16" s="132"/>
      <c r="EA16" s="132"/>
      <c r="EB16" s="133"/>
      <c r="EC16" s="133"/>
      <c r="ED16" s="129">
        <f>SUM(DU16:EC16)</f>
        <v>0</v>
      </c>
      <c r="EE16" s="913"/>
      <c r="EF16" s="914"/>
      <c r="EG16" s="914"/>
    </row>
    <row r="17" spans="1:137" ht="40.5" customHeight="1" thickBot="1" x14ac:dyDescent="0.35">
      <c r="A17" s="108">
        <v>11</v>
      </c>
      <c r="B17" s="205">
        <f>SUM('11'!$AL$10:$AM$10)</f>
        <v>0</v>
      </c>
      <c r="C17" s="203">
        <f>SUM('11'!$AN$10:$AO$10)</f>
        <v>0</v>
      </c>
      <c r="D17" s="204">
        <f>SUM('11'!$AL$12:$AM$12)</f>
        <v>0</v>
      </c>
      <c r="E17" s="206">
        <f>SUM('11'!$AN$12:$AO$12)</f>
        <v>0</v>
      </c>
      <c r="F17" s="108">
        <v>11</v>
      </c>
      <c r="G17" s="208">
        <f>SUM('11'!$AP$10:$AQ$10)</f>
        <v>0</v>
      </c>
      <c r="H17" s="96">
        <f>SUM('10'!$AR$10:$AS$10)</f>
        <v>65000</v>
      </c>
      <c r="I17" s="207">
        <f>SUM('11'!$AP$12:$AQ$12)</f>
        <v>0</v>
      </c>
      <c r="J17" s="98">
        <f>SUM('11'!$AR$12:$AS$12)</f>
        <v>0</v>
      </c>
      <c r="K17" s="108">
        <v>11</v>
      </c>
      <c r="L17" s="202">
        <f>SUM('11'!$AX$11:$AY$11)</f>
        <v>0</v>
      </c>
      <c r="M17" s="96">
        <f>SUM('11'!$AZ$11:$BA$11)</f>
        <v>0</v>
      </c>
      <c r="N17" s="207">
        <f>SUM('11'!$AX$13:$AY$13)</f>
        <v>0</v>
      </c>
      <c r="O17" s="97">
        <f>SUM('11'!$AZ$13:$BA$13)</f>
        <v>0</v>
      </c>
      <c r="P17" s="208">
        <f>SUM('11'!$AX$10:$AY$10)</f>
        <v>0</v>
      </c>
      <c r="Q17" s="96">
        <f>SUM('11'!$AZ$10:$BA$10)</f>
        <v>0</v>
      </c>
      <c r="R17" s="207">
        <f>SUM('11'!$AX$12:$AY$12)</f>
        <v>0</v>
      </c>
      <c r="S17" s="98">
        <f>SUM('11'!$AZ$12:$BA$12)</f>
        <v>0</v>
      </c>
      <c r="T17" s="108">
        <v>11</v>
      </c>
      <c r="U17" s="94">
        <f>SUM('11'!$AP$60)</f>
        <v>7</v>
      </c>
      <c r="V17" s="97">
        <f>SUM('11'!$AQ$60)</f>
        <v>380000</v>
      </c>
      <c r="W17" s="94">
        <f>SUM('11'!$AP$61)</f>
        <v>6</v>
      </c>
      <c r="X17" s="98">
        <f>SUM('11'!$AS$61)</f>
        <v>450000</v>
      </c>
      <c r="Y17" s="94">
        <f>SUM('11'!$AP$69)</f>
        <v>3</v>
      </c>
      <c r="Z17" s="97">
        <f>SUM('11'!$AQ$69)</f>
        <v>154000</v>
      </c>
      <c r="AA17" s="94">
        <f>SUM('11'!$AP$70)</f>
        <v>2</v>
      </c>
      <c r="AB17" s="98">
        <f>SUM('11'!$AQ$70)</f>
        <v>159500</v>
      </c>
      <c r="AC17" s="108">
        <v>11</v>
      </c>
      <c r="AD17" s="109">
        <f>SUM('11'!$AP$62)</f>
        <v>0</v>
      </c>
      <c r="AE17" s="110">
        <f>SUM('11'!$AQ$62)</f>
        <v>0</v>
      </c>
      <c r="AF17" s="94">
        <f>SUM('11'!$AP$66)</f>
        <v>4</v>
      </c>
      <c r="AG17" s="98">
        <f>SUM('11'!$AQ$66)</f>
        <v>285600</v>
      </c>
      <c r="AH17" s="94">
        <f>SUM('11'!$AP$65)</f>
        <v>1</v>
      </c>
      <c r="AI17" s="98">
        <f>SUM('11'!$AQ$65)</f>
        <v>385626</v>
      </c>
      <c r="AJ17" s="94">
        <f>SUM('11'!$AP$63)</f>
        <v>0</v>
      </c>
      <c r="AK17" s="98">
        <f>SUM('11'!$AQ$63)</f>
        <v>0</v>
      </c>
      <c r="AL17" s="94">
        <f>SUM('11'!$AP$64)</f>
        <v>0</v>
      </c>
      <c r="AM17" s="98">
        <f>SUM('11'!$AQ$64)</f>
        <v>0</v>
      </c>
      <c r="AN17" s="94">
        <f>SUM('11'!$AP$67)</f>
        <v>3</v>
      </c>
      <c r="AO17" s="98">
        <f>SUM('11'!$AQ$67)</f>
        <v>122848</v>
      </c>
      <c r="AP17" s="94">
        <f>SUM('11'!$AP$68)</f>
        <v>1</v>
      </c>
      <c r="AQ17" s="98">
        <f>SUM('11'!$AQ$68)</f>
        <v>108375</v>
      </c>
      <c r="AR17" s="108">
        <v>11</v>
      </c>
      <c r="AS17" s="94"/>
      <c r="AT17" s="94"/>
      <c r="AU17" s="94"/>
      <c r="AV17" s="94"/>
      <c r="AW17" s="94"/>
      <c r="AX17" s="350"/>
      <c r="AY17" s="211"/>
      <c r="AZ17" s="209"/>
      <c r="BA17" s="108">
        <v>11</v>
      </c>
      <c r="BB17" s="111">
        <f>SUM('11'!$AN$14:$AO$15)</f>
        <v>2000</v>
      </c>
      <c r="BC17" s="112">
        <f>SUM('11'!$AR$14:$AS$15)</f>
        <v>4000</v>
      </c>
      <c r="BD17" s="112">
        <f>SUM('11'!$AZ$14:$BA$15)</f>
        <v>0</v>
      </c>
      <c r="BE17" s="112">
        <f>SUM('11'!$AS$60)</f>
        <v>380000</v>
      </c>
      <c r="BF17" s="112">
        <f>SUM('11'!$AS$61)</f>
        <v>450000</v>
      </c>
      <c r="BG17" s="112">
        <f>SUM('11'!$AS$69)</f>
        <v>154000</v>
      </c>
      <c r="BH17" s="112">
        <f>SUM('11'!$AS$70)</f>
        <v>159500</v>
      </c>
      <c r="BI17" s="113">
        <f>SUM('11'!$AS$62)</f>
        <v>0</v>
      </c>
      <c r="BJ17" s="113">
        <f>SUM('11'!$AS$66)</f>
        <v>285600</v>
      </c>
      <c r="BK17" s="113">
        <f>SUM('11'!$AS$67)</f>
        <v>122848</v>
      </c>
      <c r="BL17" s="113">
        <f>SUM('11'!$AS$63)</f>
        <v>0</v>
      </c>
      <c r="BM17" s="113">
        <f>SUM('11'!$AS$65)</f>
        <v>385626</v>
      </c>
      <c r="BN17" s="358">
        <f>SUM('11'!$AS$68)</f>
        <v>108375</v>
      </c>
      <c r="BO17" s="114">
        <f>SUM('11'!$AS$64)</f>
        <v>0</v>
      </c>
      <c r="BP17" s="115">
        <f>SUM('11'!$AM$73)</f>
        <v>0</v>
      </c>
      <c r="BQ17" s="307">
        <f>SUM('11'!$AN$73)</f>
        <v>0</v>
      </c>
      <c r="BR17" s="308">
        <f>SUM('11'!$AP$73)</f>
        <v>27</v>
      </c>
      <c r="BS17" s="96">
        <f>SUM('11'!$AS$73)</f>
        <v>2045949</v>
      </c>
      <c r="BT17" s="309">
        <f t="shared" si="13"/>
        <v>2051949</v>
      </c>
      <c r="BU17" s="115"/>
      <c r="BV17" s="109"/>
      <c r="BW17" s="110"/>
      <c r="BX17" s="262"/>
      <c r="BY17" s="290">
        <f>BX17/11</f>
        <v>0</v>
      </c>
      <c r="BZ17" s="291">
        <f t="shared" si="14"/>
        <v>0</v>
      </c>
      <c r="CB17" s="130">
        <v>11</v>
      </c>
      <c r="CC17" s="120">
        <f t="shared" si="0"/>
        <v>380000</v>
      </c>
      <c r="CD17" s="121"/>
      <c r="CE17" s="122"/>
      <c r="CF17" s="123"/>
      <c r="CG17" s="120">
        <f t="shared" si="1"/>
        <v>450000</v>
      </c>
      <c r="CH17" s="121"/>
      <c r="CI17" s="122"/>
      <c r="CJ17" s="123"/>
      <c r="CK17" s="120">
        <f t="shared" si="2"/>
        <v>0</v>
      </c>
      <c r="CL17" s="121"/>
      <c r="CM17" s="122"/>
      <c r="CN17" s="123"/>
      <c r="CO17" s="120">
        <f t="shared" si="3"/>
        <v>285600</v>
      </c>
      <c r="CP17" s="121"/>
      <c r="CQ17" s="122"/>
      <c r="CR17" s="123"/>
      <c r="CS17" s="120">
        <f t="shared" si="4"/>
        <v>122848</v>
      </c>
      <c r="CT17" s="121"/>
      <c r="CU17" s="122"/>
      <c r="CV17" s="123"/>
      <c r="CW17" s="120">
        <f t="shared" si="5"/>
        <v>0</v>
      </c>
      <c r="CX17" s="121"/>
      <c r="CY17" s="122"/>
      <c r="CZ17" s="123"/>
      <c r="DA17" s="120">
        <f t="shared" si="6"/>
        <v>385626</v>
      </c>
      <c r="DB17" s="121"/>
      <c r="DC17" s="122"/>
      <c r="DD17" s="123"/>
      <c r="DE17" s="120">
        <f t="shared" si="7"/>
        <v>0</v>
      </c>
      <c r="DF17" s="121"/>
      <c r="DG17" s="122"/>
      <c r="DH17" s="123"/>
      <c r="DI17" s="120">
        <f t="shared" si="8"/>
        <v>4000</v>
      </c>
      <c r="DJ17" s="121"/>
      <c r="DK17" s="122"/>
      <c r="DL17" s="123"/>
      <c r="DM17" s="120">
        <f t="shared" si="9"/>
        <v>2000</v>
      </c>
      <c r="DN17" s="121">
        <f t="shared" si="10"/>
        <v>2000</v>
      </c>
      <c r="DO17" s="122"/>
      <c r="DP17" s="123"/>
      <c r="DQ17" s="124">
        <f t="shared" si="15"/>
        <v>1630074</v>
      </c>
      <c r="DR17" s="125">
        <f t="shared" si="11"/>
        <v>2000</v>
      </c>
      <c r="DS17" s="125">
        <f t="shared" si="16"/>
        <v>1628074</v>
      </c>
      <c r="DT17" s="352">
        <v>11</v>
      </c>
      <c r="DU17" s="131"/>
      <c r="DV17" s="132"/>
      <c r="DW17" s="132"/>
      <c r="DX17" s="132"/>
      <c r="DY17" s="132"/>
      <c r="DZ17" s="132"/>
      <c r="EA17" s="132"/>
      <c r="EB17" s="133"/>
      <c r="EC17" s="133"/>
      <c r="ED17" s="129">
        <f t="shared" si="12"/>
        <v>0</v>
      </c>
      <c r="EE17" s="913"/>
      <c r="EF17" s="914"/>
      <c r="EG17" s="914"/>
    </row>
    <row r="18" spans="1:137" ht="40.5" customHeight="1" thickBot="1" x14ac:dyDescent="0.35">
      <c r="A18" s="108">
        <v>12</v>
      </c>
      <c r="B18" s="205">
        <f>SUM('12'!$AL$10:$AM$10)</f>
        <v>0</v>
      </c>
      <c r="C18" s="203">
        <f>SUM('12'!$AN$10:$AO$10)</f>
        <v>0</v>
      </c>
      <c r="D18" s="204">
        <f>SUM('12'!$AL$12:$AM$12)</f>
        <v>0</v>
      </c>
      <c r="E18" s="206">
        <f>SUM('12'!$AN$12:$AO$12)</f>
        <v>0</v>
      </c>
      <c r="F18" s="108">
        <v>12</v>
      </c>
      <c r="G18" s="208">
        <f>SUM('12'!$AP$10:$AQ$10)</f>
        <v>1</v>
      </c>
      <c r="H18" s="96">
        <f>SUM('11'!$AR$10:$AS$10)</f>
        <v>0</v>
      </c>
      <c r="I18" s="207">
        <f>SUM('12'!$AP$12:$AQ$12)</f>
        <v>0</v>
      </c>
      <c r="J18" s="98">
        <f>SUM('12'!$AR$12:$AS$12)</f>
        <v>0</v>
      </c>
      <c r="K18" s="108">
        <v>12</v>
      </c>
      <c r="L18" s="202">
        <f>SUM('12'!$AX$11:$AY$11)</f>
        <v>0</v>
      </c>
      <c r="M18" s="96">
        <f>SUM('12'!$AZ$11:$BA$11)</f>
        <v>0</v>
      </c>
      <c r="N18" s="207">
        <f>SUM('12'!$AX$13:$AY$13)</f>
        <v>0</v>
      </c>
      <c r="O18" s="97">
        <f>SUM('12'!$AZ$13:$BA$13)</f>
        <v>0</v>
      </c>
      <c r="P18" s="208">
        <f>SUM('12'!$AX$10:$AY$10)</f>
        <v>0</v>
      </c>
      <c r="Q18" s="96">
        <f>SUM('12'!$AZ$10:$BA$10)</f>
        <v>0</v>
      </c>
      <c r="R18" s="207">
        <v>0</v>
      </c>
      <c r="S18" s="98">
        <f>SUM('12'!$AZ$12:$BA$12)</f>
        <v>0</v>
      </c>
      <c r="T18" s="108">
        <v>12</v>
      </c>
      <c r="U18" s="94">
        <f>SUM('12'!$AP$60)</f>
        <v>9</v>
      </c>
      <c r="V18" s="97">
        <f>SUM('12'!$AQ$60)</f>
        <v>1175000</v>
      </c>
      <c r="W18" s="94">
        <f>SUM('12'!$AP$61)</f>
        <v>15</v>
      </c>
      <c r="X18" s="98">
        <f>SUM('12'!$AS$61)</f>
        <v>1185000</v>
      </c>
      <c r="Y18" s="94">
        <f>SUM('12'!$AP$69)</f>
        <v>2</v>
      </c>
      <c r="Z18" s="97">
        <f>SUM('12'!$AQ$69)</f>
        <v>187000</v>
      </c>
      <c r="AA18" s="94">
        <f>SUM('12'!$AP$70)</f>
        <v>2</v>
      </c>
      <c r="AB18" s="98">
        <f>SUM('12'!$AQ$70)</f>
        <v>203500</v>
      </c>
      <c r="AC18" s="108">
        <v>12</v>
      </c>
      <c r="AD18" s="109">
        <f>SUM('12'!$AP$62)</f>
        <v>1</v>
      </c>
      <c r="AE18" s="110">
        <f>SUM('12'!$AQ$62)</f>
        <v>85000</v>
      </c>
      <c r="AF18" s="94">
        <f>SUM('12'!$AP$66)</f>
        <v>2</v>
      </c>
      <c r="AG18" s="98">
        <f>SUM('12'!$AQ$66)</f>
        <v>249900</v>
      </c>
      <c r="AH18" s="94">
        <f>SUM('12'!$AP$65)</f>
        <v>1</v>
      </c>
      <c r="AI18" s="98">
        <f>SUM('12'!$AQ$65)</f>
        <v>0</v>
      </c>
      <c r="AJ18" s="94">
        <f>SUM('12'!$AP$63)</f>
        <v>0</v>
      </c>
      <c r="AK18" s="98">
        <f>SUM('12'!$AQ$63)</f>
        <v>0</v>
      </c>
      <c r="AL18" s="94">
        <f>SUM('12'!$AP$64)</f>
        <v>0</v>
      </c>
      <c r="AM18" s="98">
        <f>SUM('12'!$AQ$64)</f>
        <v>0</v>
      </c>
      <c r="AN18" s="94">
        <f>SUM('12'!$AP$67)</f>
        <v>3</v>
      </c>
      <c r="AO18" s="98">
        <f>SUM('12'!$AQ$67)</f>
        <v>241084</v>
      </c>
      <c r="AP18" s="94">
        <f>SUM('12'!$AP$68)</f>
        <v>2</v>
      </c>
      <c r="AQ18" s="98">
        <f>SUM('12'!$AQ$68)</f>
        <v>534650</v>
      </c>
      <c r="AR18" s="108">
        <v>12</v>
      </c>
      <c r="AS18" s="94"/>
      <c r="AT18" s="94"/>
      <c r="AU18" s="94"/>
      <c r="AV18" s="94"/>
      <c r="AW18" s="94"/>
      <c r="AX18" s="350"/>
      <c r="AY18" s="211"/>
      <c r="AZ18" s="209"/>
      <c r="BA18" s="108">
        <v>12</v>
      </c>
      <c r="BB18" s="111">
        <f>SUM('12'!$AN$14:$AO$15)</f>
        <v>2000</v>
      </c>
      <c r="BC18" s="112">
        <f>SUM('12'!$AR$14:$AS$15)</f>
        <v>111000</v>
      </c>
      <c r="BD18" s="112">
        <f>SUM('12'!$AZ$14:$BA$15)</f>
        <v>0</v>
      </c>
      <c r="BE18" s="112">
        <f>SUM('12'!$AS$60)</f>
        <v>1175000</v>
      </c>
      <c r="BF18" s="112">
        <f>SUM('12'!$AS$61)</f>
        <v>1185000</v>
      </c>
      <c r="BG18" s="112">
        <f>SUM('12'!$AS$69)</f>
        <v>187000</v>
      </c>
      <c r="BH18" s="112">
        <f>SUM('12'!$AS$70)</f>
        <v>203500</v>
      </c>
      <c r="BI18" s="113">
        <f>SUM('12'!$AS$62)</f>
        <v>85000</v>
      </c>
      <c r="BJ18" s="113">
        <f>SUM('12'!$AS$66)</f>
        <v>249900</v>
      </c>
      <c r="BK18" s="113">
        <f>SUM('12'!$AS$67)</f>
        <v>241084</v>
      </c>
      <c r="BL18" s="113">
        <f>SUM('12'!$AS$63)</f>
        <v>0</v>
      </c>
      <c r="BM18" s="113">
        <f>SUM('12'!$AS$65)</f>
        <v>0</v>
      </c>
      <c r="BN18" s="358">
        <f>SUM('12'!$AS$68)</f>
        <v>534650</v>
      </c>
      <c r="BO18" s="114">
        <f>SUM('12'!$AS$64)</f>
        <v>0</v>
      </c>
      <c r="BP18" s="115">
        <f>SUM('12'!$AM$73)</f>
        <v>0</v>
      </c>
      <c r="BQ18" s="307">
        <f>SUM('12'!$AN$73)</f>
        <v>0</v>
      </c>
      <c r="BR18" s="308">
        <f>SUM('12'!$AP$73)</f>
        <v>37</v>
      </c>
      <c r="BS18" s="96">
        <f>SUM('12'!$AS$73)</f>
        <v>3861134</v>
      </c>
      <c r="BT18" s="309">
        <f t="shared" si="13"/>
        <v>3974134</v>
      </c>
      <c r="BU18" s="115"/>
      <c r="BV18" s="109"/>
      <c r="BW18" s="110"/>
      <c r="BX18" s="262"/>
      <c r="BY18" s="290">
        <f>BX18/12</f>
        <v>0</v>
      </c>
      <c r="BZ18" s="291">
        <f t="shared" si="14"/>
        <v>0</v>
      </c>
      <c r="CB18" s="134">
        <v>12</v>
      </c>
      <c r="CC18" s="120">
        <f t="shared" si="0"/>
        <v>1175000</v>
      </c>
      <c r="CD18" s="121"/>
      <c r="CE18" s="122"/>
      <c r="CF18" s="123"/>
      <c r="CG18" s="120">
        <f t="shared" si="1"/>
        <v>1185000</v>
      </c>
      <c r="CH18" s="121"/>
      <c r="CI18" s="122"/>
      <c r="CJ18" s="123"/>
      <c r="CK18" s="120">
        <f t="shared" si="2"/>
        <v>85000</v>
      </c>
      <c r="CL18" s="121"/>
      <c r="CM18" s="122"/>
      <c r="CN18" s="123"/>
      <c r="CO18" s="120">
        <f t="shared" si="3"/>
        <v>249900</v>
      </c>
      <c r="CP18" s="121"/>
      <c r="CQ18" s="122"/>
      <c r="CR18" s="123"/>
      <c r="CS18" s="120">
        <f t="shared" si="4"/>
        <v>241084</v>
      </c>
      <c r="CT18" s="121"/>
      <c r="CU18" s="122"/>
      <c r="CV18" s="123"/>
      <c r="CW18" s="120">
        <f t="shared" si="5"/>
        <v>0</v>
      </c>
      <c r="CX18" s="121"/>
      <c r="CY18" s="122"/>
      <c r="CZ18" s="123"/>
      <c r="DA18" s="120">
        <f t="shared" si="6"/>
        <v>0</v>
      </c>
      <c r="DB18" s="121"/>
      <c r="DC18" s="122"/>
      <c r="DD18" s="123"/>
      <c r="DE18" s="120">
        <f t="shared" si="7"/>
        <v>0</v>
      </c>
      <c r="DF18" s="121"/>
      <c r="DG18" s="122"/>
      <c r="DH18" s="123"/>
      <c r="DI18" s="120">
        <f t="shared" si="8"/>
        <v>111000</v>
      </c>
      <c r="DJ18" s="121"/>
      <c r="DK18" s="122"/>
      <c r="DL18" s="123"/>
      <c r="DM18" s="120">
        <f t="shared" si="9"/>
        <v>2000</v>
      </c>
      <c r="DN18" s="121">
        <f t="shared" si="10"/>
        <v>2000</v>
      </c>
      <c r="DO18" s="122"/>
      <c r="DP18" s="123"/>
      <c r="DQ18" s="124">
        <f t="shared" si="15"/>
        <v>3048984</v>
      </c>
      <c r="DR18" s="125">
        <f t="shared" si="11"/>
        <v>2000</v>
      </c>
      <c r="DS18" s="125">
        <f t="shared" si="16"/>
        <v>3046984</v>
      </c>
      <c r="DT18" s="135">
        <v>12</v>
      </c>
      <c r="DU18" s="131"/>
      <c r="DV18" s="132"/>
      <c r="DW18" s="132"/>
      <c r="DX18" s="132"/>
      <c r="DY18" s="132"/>
      <c r="DZ18" s="132"/>
      <c r="EA18" s="132"/>
      <c r="EB18" s="133"/>
      <c r="EC18" s="133"/>
      <c r="ED18" s="129">
        <f t="shared" si="12"/>
        <v>0</v>
      </c>
      <c r="EE18" s="913"/>
      <c r="EF18" s="914"/>
      <c r="EG18" s="914"/>
    </row>
    <row r="19" spans="1:137" ht="40.5" customHeight="1" thickBot="1" x14ac:dyDescent="0.35">
      <c r="A19" s="108">
        <v>13</v>
      </c>
      <c r="B19" s="205">
        <f>SUM('13'!$AL$10:$AM$10)</f>
        <v>0</v>
      </c>
      <c r="C19" s="203">
        <f>SUM('13'!$AN$10:$AO$10)</f>
        <v>0</v>
      </c>
      <c r="D19" s="204">
        <f>SUM('13'!$AL$12:$AM$12)</f>
        <v>0</v>
      </c>
      <c r="E19" s="206">
        <f>SUM('13'!$AN$12:$AO$12)</f>
        <v>0</v>
      </c>
      <c r="F19" s="108">
        <v>13</v>
      </c>
      <c r="G19" s="208">
        <f>SUM('13'!$AP$10:$AQ$10)</f>
        <v>0</v>
      </c>
      <c r="H19" s="96">
        <f>SUM('12'!$AR$10:$AS$10)</f>
        <v>105000</v>
      </c>
      <c r="I19" s="207">
        <f>SUM('13'!$AP$12:$AQ$12)</f>
        <v>0</v>
      </c>
      <c r="J19" s="98">
        <f>SUM('13'!$AR$12:$AS$12)</f>
        <v>0</v>
      </c>
      <c r="K19" s="108">
        <v>13</v>
      </c>
      <c r="L19" s="202">
        <f>SUM('13'!$AX$11:$AY$11)</f>
        <v>0</v>
      </c>
      <c r="M19" s="96">
        <f>SUM('13'!$AZ$11:$BA$11)</f>
        <v>0</v>
      </c>
      <c r="N19" s="207">
        <f>SUM('13'!$AX$13:$AY$13)</f>
        <v>0</v>
      </c>
      <c r="O19" s="97">
        <f>SUM('13'!$AZ$13:$BA$13)</f>
        <v>0</v>
      </c>
      <c r="P19" s="208">
        <f>SUM('13'!$AX$10:$AY$10)</f>
        <v>0</v>
      </c>
      <c r="Q19" s="96">
        <f>SUM('13'!$AZ$10:$BA$10)</f>
        <v>0</v>
      </c>
      <c r="R19" s="207">
        <f>SUM('13'!$AX$12:$AY$12)</f>
        <v>0</v>
      </c>
      <c r="S19" s="98">
        <f>SUM('13'!$AZ$12:$BA$12)</f>
        <v>0</v>
      </c>
      <c r="T19" s="108">
        <v>13</v>
      </c>
      <c r="U19" s="94">
        <f>SUM('13'!$AP$60)</f>
        <v>14</v>
      </c>
      <c r="V19" s="97">
        <f>SUM('13'!$AQ$60)</f>
        <v>1540000</v>
      </c>
      <c r="W19" s="94">
        <f>SUM('13'!$AP$61)</f>
        <v>12</v>
      </c>
      <c r="X19" s="98">
        <f>SUM('13'!$AS$61)</f>
        <v>1240000</v>
      </c>
      <c r="Y19" s="94">
        <f>SUM('13'!$AP$69)</f>
        <v>0</v>
      </c>
      <c r="Z19" s="97">
        <f>SUM('13'!$AQ$69)</f>
        <v>0</v>
      </c>
      <c r="AA19" s="94">
        <f>SUM('13'!$AP$70)</f>
        <v>0</v>
      </c>
      <c r="AB19" s="98">
        <f>SUM('13'!$AQ$70)</f>
        <v>0</v>
      </c>
      <c r="AC19" s="108">
        <v>13</v>
      </c>
      <c r="AD19" s="109">
        <f>SUM('13'!$AP$62)</f>
        <v>0</v>
      </c>
      <c r="AE19" s="110">
        <f>SUM('13'!$AQ$62)</f>
        <v>0</v>
      </c>
      <c r="AF19" s="94">
        <f>SUM('13'!$AP$66)</f>
        <v>8</v>
      </c>
      <c r="AG19" s="98">
        <f>SUM('13'!$AQ$66)</f>
        <v>918000</v>
      </c>
      <c r="AH19" s="94">
        <f>SUM('13'!$AP$65)</f>
        <v>1</v>
      </c>
      <c r="AI19" s="98">
        <f>SUM('13'!$AQ$65)</f>
        <v>0</v>
      </c>
      <c r="AJ19" s="94">
        <f>SUM('13'!$AP$63)</f>
        <v>0</v>
      </c>
      <c r="AK19" s="98">
        <f>SUM('13'!$AQ$63)</f>
        <v>0</v>
      </c>
      <c r="AL19" s="94">
        <f>SUM('13'!$AP$64)</f>
        <v>0</v>
      </c>
      <c r="AM19" s="98">
        <f>SUM('13'!$AQ$64)</f>
        <v>0</v>
      </c>
      <c r="AN19" s="94">
        <f>SUM('13'!$AP$67)</f>
        <v>3</v>
      </c>
      <c r="AO19" s="98">
        <f>SUM('13'!$AQ$67)</f>
        <v>450279</v>
      </c>
      <c r="AP19" s="94">
        <f>SUM('13'!$AP$68)</f>
        <v>2</v>
      </c>
      <c r="AQ19" s="98">
        <f>SUM('13'!$AQ$68)</f>
        <v>151725</v>
      </c>
      <c r="AR19" s="108">
        <v>13</v>
      </c>
      <c r="AS19" s="94"/>
      <c r="AT19" s="94"/>
      <c r="AU19" s="94"/>
      <c r="AV19" s="94"/>
      <c r="AW19" s="94"/>
      <c r="AX19" s="350"/>
      <c r="AY19" s="211"/>
      <c r="AZ19" s="209"/>
      <c r="BA19" s="108">
        <v>13</v>
      </c>
      <c r="BB19" s="111">
        <f>SUM('13'!$AN$14:$AO$15)</f>
        <v>2000</v>
      </c>
      <c r="BC19" s="112">
        <f>SUM('13'!$AR$14:$AS$15)</f>
        <v>6000</v>
      </c>
      <c r="BD19" s="112">
        <f>SUM('13'!$AZ$14:$BA$15)</f>
        <v>0</v>
      </c>
      <c r="BE19" s="112">
        <f>SUM('13'!$AS$60)</f>
        <v>1540000</v>
      </c>
      <c r="BF19" s="112">
        <f>SUM('13'!$AS$61)</f>
        <v>1240000</v>
      </c>
      <c r="BG19" s="112">
        <f>SUM('13'!$AS$69)</f>
        <v>0</v>
      </c>
      <c r="BH19" s="112">
        <f>SUM('13'!$AS$70)</f>
        <v>0</v>
      </c>
      <c r="BI19" s="113">
        <f>SUM('13'!$AS$62)</f>
        <v>0</v>
      </c>
      <c r="BJ19" s="113">
        <f>SUM('13'!$AS$66)</f>
        <v>918000</v>
      </c>
      <c r="BK19" s="113">
        <f>SUM('13'!$AS$67)</f>
        <v>450279</v>
      </c>
      <c r="BL19" s="113">
        <f>SUM('13'!$AS$63)</f>
        <v>0</v>
      </c>
      <c r="BM19" s="113">
        <f>SUM('13'!$AS$65)</f>
        <v>0</v>
      </c>
      <c r="BN19" s="358">
        <f>SUM('13'!$AS$68)</f>
        <v>151725</v>
      </c>
      <c r="BO19" s="114">
        <f>SUM('13'!$AS$64)</f>
        <v>0</v>
      </c>
      <c r="BP19" s="115">
        <f>SUM('13'!$AM$73)</f>
        <v>0</v>
      </c>
      <c r="BQ19" s="307">
        <f>SUM('13'!$AN$73)</f>
        <v>0</v>
      </c>
      <c r="BR19" s="308">
        <f>SUM('13'!$AP$73)</f>
        <v>40</v>
      </c>
      <c r="BS19" s="96">
        <f>SUM('13'!$AS$73)</f>
        <v>4300004</v>
      </c>
      <c r="BT19" s="309">
        <f t="shared" si="13"/>
        <v>4308004</v>
      </c>
      <c r="BU19" s="115"/>
      <c r="BV19" s="139"/>
      <c r="BW19" s="110"/>
      <c r="BX19" s="262"/>
      <c r="BY19" s="290">
        <f>BX19/13</f>
        <v>0</v>
      </c>
      <c r="BZ19" s="291">
        <f t="shared" si="14"/>
        <v>0</v>
      </c>
      <c r="CB19" s="136">
        <v>13</v>
      </c>
      <c r="CC19" s="120">
        <f t="shared" si="0"/>
        <v>1540000</v>
      </c>
      <c r="CD19" s="121"/>
      <c r="CE19" s="122"/>
      <c r="CF19" s="123"/>
      <c r="CG19" s="120">
        <f t="shared" si="1"/>
        <v>1240000</v>
      </c>
      <c r="CH19" s="121"/>
      <c r="CI19" s="122"/>
      <c r="CJ19" s="123"/>
      <c r="CK19" s="120">
        <f t="shared" si="2"/>
        <v>0</v>
      </c>
      <c r="CL19" s="121"/>
      <c r="CM19" s="122"/>
      <c r="CN19" s="123"/>
      <c r="CO19" s="120">
        <f t="shared" si="3"/>
        <v>918000</v>
      </c>
      <c r="CP19" s="121"/>
      <c r="CQ19" s="122"/>
      <c r="CR19" s="123"/>
      <c r="CS19" s="120">
        <f t="shared" si="4"/>
        <v>450279</v>
      </c>
      <c r="CT19" s="121"/>
      <c r="CU19" s="122"/>
      <c r="CV19" s="123"/>
      <c r="CW19" s="120">
        <f t="shared" si="5"/>
        <v>0</v>
      </c>
      <c r="CX19" s="121"/>
      <c r="CY19" s="122"/>
      <c r="CZ19" s="123"/>
      <c r="DA19" s="120">
        <f t="shared" si="6"/>
        <v>0</v>
      </c>
      <c r="DB19" s="121"/>
      <c r="DC19" s="122"/>
      <c r="DD19" s="123"/>
      <c r="DE19" s="120">
        <f t="shared" si="7"/>
        <v>0</v>
      </c>
      <c r="DF19" s="121"/>
      <c r="DG19" s="122"/>
      <c r="DH19" s="123"/>
      <c r="DI19" s="120">
        <f t="shared" si="8"/>
        <v>6000</v>
      </c>
      <c r="DJ19" s="121"/>
      <c r="DK19" s="122"/>
      <c r="DL19" s="123"/>
      <c r="DM19" s="120">
        <f t="shared" si="9"/>
        <v>2000</v>
      </c>
      <c r="DN19" s="121">
        <f t="shared" si="10"/>
        <v>2000</v>
      </c>
      <c r="DO19" s="122"/>
      <c r="DP19" s="123"/>
      <c r="DQ19" s="124">
        <f t="shared" si="15"/>
        <v>4156279</v>
      </c>
      <c r="DR19" s="125">
        <f t="shared" si="11"/>
        <v>2000</v>
      </c>
      <c r="DS19" s="125">
        <f t="shared" si="16"/>
        <v>4154279</v>
      </c>
      <c r="DT19" s="137">
        <v>13</v>
      </c>
      <c r="DU19" s="131"/>
      <c r="DV19" s="132"/>
      <c r="DW19" s="132"/>
      <c r="DX19" s="132"/>
      <c r="DY19" s="132"/>
      <c r="DZ19" s="132"/>
      <c r="EA19" s="132"/>
      <c r="EB19" s="133"/>
      <c r="EC19" s="133"/>
      <c r="ED19" s="129">
        <f t="shared" si="12"/>
        <v>0</v>
      </c>
      <c r="EE19" s="913"/>
      <c r="EF19" s="914"/>
      <c r="EG19" s="914"/>
    </row>
    <row r="20" spans="1:137" ht="40.5" customHeight="1" thickBot="1" x14ac:dyDescent="0.35">
      <c r="A20" s="108">
        <v>14</v>
      </c>
      <c r="B20" s="205">
        <f>SUM('14'!$AL$10:$AM$10)</f>
        <v>0</v>
      </c>
      <c r="C20" s="203">
        <f>SUM('14'!$AN$10:$AO$10)</f>
        <v>0</v>
      </c>
      <c r="D20" s="204">
        <f>SUM('14'!$AL$12:$AM$12)</f>
        <v>0</v>
      </c>
      <c r="E20" s="206">
        <f>SUM('14'!$AN$12:$AO$12)</f>
        <v>0</v>
      </c>
      <c r="F20" s="108">
        <v>14</v>
      </c>
      <c r="G20" s="208">
        <f>SUM('14'!$AP$10:$AQ$10)</f>
        <v>1</v>
      </c>
      <c r="H20" s="96">
        <f>SUM('13'!$AR$10:$AS$10)</f>
        <v>0</v>
      </c>
      <c r="I20" s="207">
        <f>SUM('14'!$AP$12:$AQ$12)</f>
        <v>2</v>
      </c>
      <c r="J20" s="98">
        <f>SUM('14'!$AR$12:$AS$12)</f>
        <v>80000</v>
      </c>
      <c r="K20" s="108">
        <v>14</v>
      </c>
      <c r="L20" s="202">
        <f>SUM('14'!$AX$11:$AY$11)</f>
        <v>0</v>
      </c>
      <c r="M20" s="96">
        <f>SUM('14'!$AZ$11:$BA$11)</f>
        <v>0</v>
      </c>
      <c r="N20" s="207">
        <f>SUM('14'!$AX$13:$AY$13)</f>
        <v>0</v>
      </c>
      <c r="O20" s="97">
        <f>SUM('14'!$AZ$13:$BA$13)</f>
        <v>0</v>
      </c>
      <c r="P20" s="208">
        <f>SUM('14'!$AX$10:$AY$10)</f>
        <v>0</v>
      </c>
      <c r="Q20" s="96">
        <f>SUM('14'!$AZ$10:$BA$10)</f>
        <v>0</v>
      </c>
      <c r="R20" s="207">
        <f>SUM('14'!$AX$12:$AY$12)</f>
        <v>0</v>
      </c>
      <c r="S20" s="98">
        <f>SUM('14'!$AZ$12:$BA$12)</f>
        <v>0</v>
      </c>
      <c r="T20" s="108">
        <v>14</v>
      </c>
      <c r="U20" s="94">
        <f>SUM('14'!$AP$60)</f>
        <v>7</v>
      </c>
      <c r="V20" s="97">
        <f>SUM('14'!$AQ$60)</f>
        <v>375000</v>
      </c>
      <c r="W20" s="94">
        <f>SUM('14'!$AP$61)</f>
        <v>4</v>
      </c>
      <c r="X20" s="98">
        <f>SUM('14'!$AS$61)</f>
        <v>255000</v>
      </c>
      <c r="Y20" s="94">
        <f>SUM('14'!$AP$69)</f>
        <v>0</v>
      </c>
      <c r="Z20" s="97">
        <f>SUM('14'!$AQ$69)</f>
        <v>0</v>
      </c>
      <c r="AA20" s="94">
        <f>SUM('14'!$AP$70)</f>
        <v>0</v>
      </c>
      <c r="AB20" s="98">
        <f>SUM('14'!$AQ$70)</f>
        <v>0</v>
      </c>
      <c r="AC20" s="108">
        <v>14</v>
      </c>
      <c r="AD20" s="109">
        <f>SUM('14'!$AP$62)</f>
        <v>1</v>
      </c>
      <c r="AE20" s="110">
        <f>SUM('14'!$AQ$62)</f>
        <v>311800</v>
      </c>
      <c r="AF20" s="94">
        <f>SUM('14'!$AP$66)</f>
        <v>2</v>
      </c>
      <c r="AG20" s="98">
        <f>SUM('14'!$AQ$66)</f>
        <v>132600</v>
      </c>
      <c r="AH20" s="94">
        <f>SUM('14'!$AP$65)</f>
        <v>1</v>
      </c>
      <c r="AI20" s="98">
        <f>SUM('14'!$AQ$65)</f>
        <v>140000</v>
      </c>
      <c r="AJ20" s="94">
        <f>SUM('14'!$AP$63)</f>
        <v>0</v>
      </c>
      <c r="AK20" s="98">
        <f>SUM('14'!$AQ$63)</f>
        <v>0</v>
      </c>
      <c r="AL20" s="94">
        <f>SUM('14'!$AP$64)</f>
        <v>0</v>
      </c>
      <c r="AM20" s="98">
        <f>SUM('14'!$AQ$64)</f>
        <v>0</v>
      </c>
      <c r="AN20" s="94">
        <f>SUM('14'!$AP$67)</f>
        <v>3</v>
      </c>
      <c r="AO20" s="98">
        <f>SUM('14'!$AQ$67)</f>
        <v>177450</v>
      </c>
      <c r="AP20" s="94">
        <f>SUM('14'!$AP$68)</f>
        <v>1</v>
      </c>
      <c r="AQ20" s="98">
        <f>SUM('14'!$AQ$68)</f>
        <v>0</v>
      </c>
      <c r="AR20" s="108">
        <v>14</v>
      </c>
      <c r="AS20" s="94"/>
      <c r="AT20" s="94"/>
      <c r="AU20" s="94"/>
      <c r="AV20" s="94"/>
      <c r="AW20" s="94"/>
      <c r="AX20" s="350"/>
      <c r="AY20" s="211"/>
      <c r="AZ20" s="209"/>
      <c r="BA20" s="108">
        <v>14</v>
      </c>
      <c r="BB20" s="111">
        <f>SUM('14'!$AN$14:$AO$15)</f>
        <v>0</v>
      </c>
      <c r="BC20" s="112">
        <f>SUM('14'!$AR$14:$AS$15)</f>
        <v>154000</v>
      </c>
      <c r="BD20" s="112">
        <f>SUM('14'!$AZ$14:$BA$15)</f>
        <v>0</v>
      </c>
      <c r="BE20" s="112">
        <f>SUM('14'!$AS$60)</f>
        <v>375000</v>
      </c>
      <c r="BF20" s="112">
        <f>SUM('14'!$AS$61)</f>
        <v>255000</v>
      </c>
      <c r="BG20" s="112">
        <f>SUM('14'!$AS$69)</f>
        <v>0</v>
      </c>
      <c r="BH20" s="112">
        <f>SUM('14'!$AS$70)</f>
        <v>0</v>
      </c>
      <c r="BI20" s="113">
        <f>SUM('14'!$AS$62)</f>
        <v>311800</v>
      </c>
      <c r="BJ20" s="113">
        <f>SUM('14'!$AS$66)</f>
        <v>132600</v>
      </c>
      <c r="BK20" s="113">
        <f>SUM('14'!$AS$67)</f>
        <v>177450</v>
      </c>
      <c r="BL20" s="113">
        <f>SUM('14'!$AS$63)</f>
        <v>0</v>
      </c>
      <c r="BM20" s="113">
        <f>SUM('14'!$AS$65)</f>
        <v>140000</v>
      </c>
      <c r="BN20" s="358">
        <f>SUM('14'!$AS$68)</f>
        <v>0</v>
      </c>
      <c r="BO20" s="114">
        <f>SUM('14'!$AS$64)</f>
        <v>0</v>
      </c>
      <c r="BP20" s="115">
        <f>SUM('14'!$AM$73)</f>
        <v>0</v>
      </c>
      <c r="BQ20" s="307">
        <f>SUM('14'!$AN$73)</f>
        <v>0</v>
      </c>
      <c r="BR20" s="308">
        <f>SUM('14'!$AP$73)</f>
        <v>19</v>
      </c>
      <c r="BS20" s="96">
        <f>SUM('14'!$AS$73)</f>
        <v>1391850</v>
      </c>
      <c r="BT20" s="309">
        <f t="shared" si="13"/>
        <v>1545850</v>
      </c>
      <c r="BU20" s="115"/>
      <c r="BV20" s="109"/>
      <c r="BW20" s="110"/>
      <c r="BX20" s="262"/>
      <c r="BY20" s="290">
        <f>BX20/14</f>
        <v>0</v>
      </c>
      <c r="BZ20" s="291">
        <f t="shared" si="14"/>
        <v>0</v>
      </c>
      <c r="CB20" s="130">
        <v>14</v>
      </c>
      <c r="CC20" s="120">
        <f t="shared" si="0"/>
        <v>375000</v>
      </c>
      <c r="CD20" s="121"/>
      <c r="CE20" s="122"/>
      <c r="CF20" s="123"/>
      <c r="CG20" s="120">
        <f t="shared" si="1"/>
        <v>255000</v>
      </c>
      <c r="CH20" s="121"/>
      <c r="CI20" s="122"/>
      <c r="CJ20" s="123"/>
      <c r="CK20" s="120">
        <f t="shared" si="2"/>
        <v>311800</v>
      </c>
      <c r="CL20" s="121"/>
      <c r="CM20" s="122"/>
      <c r="CN20" s="123"/>
      <c r="CO20" s="120">
        <f t="shared" si="3"/>
        <v>132600</v>
      </c>
      <c r="CP20" s="121"/>
      <c r="CQ20" s="122"/>
      <c r="CR20" s="123"/>
      <c r="CS20" s="120">
        <f t="shared" si="4"/>
        <v>177450</v>
      </c>
      <c r="CT20" s="121"/>
      <c r="CU20" s="122"/>
      <c r="CV20" s="123"/>
      <c r="CW20" s="120">
        <f t="shared" si="5"/>
        <v>0</v>
      </c>
      <c r="CX20" s="121"/>
      <c r="CY20" s="122"/>
      <c r="CZ20" s="123"/>
      <c r="DA20" s="120">
        <f t="shared" si="6"/>
        <v>140000</v>
      </c>
      <c r="DB20" s="121"/>
      <c r="DC20" s="122"/>
      <c r="DD20" s="123"/>
      <c r="DE20" s="120">
        <f t="shared" si="7"/>
        <v>0</v>
      </c>
      <c r="DF20" s="121"/>
      <c r="DG20" s="122"/>
      <c r="DH20" s="123"/>
      <c r="DI20" s="120">
        <f t="shared" si="8"/>
        <v>154000</v>
      </c>
      <c r="DJ20" s="121"/>
      <c r="DK20" s="122"/>
      <c r="DL20" s="123"/>
      <c r="DM20" s="120">
        <f t="shared" si="9"/>
        <v>0</v>
      </c>
      <c r="DN20" s="121">
        <f t="shared" si="10"/>
        <v>0</v>
      </c>
      <c r="DO20" s="122"/>
      <c r="DP20" s="123"/>
      <c r="DQ20" s="124">
        <f t="shared" si="15"/>
        <v>1545850</v>
      </c>
      <c r="DR20" s="125">
        <f t="shared" si="11"/>
        <v>0</v>
      </c>
      <c r="DS20" s="125">
        <f t="shared" si="16"/>
        <v>1545850</v>
      </c>
      <c r="DT20" s="352">
        <v>14</v>
      </c>
      <c r="DU20" s="131"/>
      <c r="DV20" s="132"/>
      <c r="DW20" s="132"/>
      <c r="DX20" s="132"/>
      <c r="DY20" s="132"/>
      <c r="DZ20" s="132"/>
      <c r="EA20" s="132"/>
      <c r="EB20" s="133"/>
      <c r="EC20" s="133"/>
      <c r="ED20" s="129">
        <f t="shared" si="12"/>
        <v>0</v>
      </c>
      <c r="EE20" s="913"/>
      <c r="EF20" s="914"/>
      <c r="EG20" s="914"/>
    </row>
    <row r="21" spans="1:137" ht="40.5" customHeight="1" thickBot="1" x14ac:dyDescent="0.35">
      <c r="A21" s="108">
        <v>15</v>
      </c>
      <c r="B21" s="205">
        <f>SUM('15'!$AL$10:$AM$10)</f>
        <v>0</v>
      </c>
      <c r="C21" s="203">
        <f>SUM('15'!$AN$10:$AO$10)</f>
        <v>0</v>
      </c>
      <c r="D21" s="204">
        <f>SUM('15'!$AL$12:$AM$12)</f>
        <v>0</v>
      </c>
      <c r="E21" s="206">
        <f>SUM('15'!$AN$12:$AO$12)</f>
        <v>0</v>
      </c>
      <c r="F21" s="108">
        <v>15</v>
      </c>
      <c r="G21" s="208">
        <f>SUM('15'!$AP$10:$AQ$10)</f>
        <v>1</v>
      </c>
      <c r="H21" s="96">
        <f>SUM('14'!$AR$10:$AS$10)</f>
        <v>70000</v>
      </c>
      <c r="I21" s="207">
        <f>SUM('15'!$AP$12:$AQ$12)</f>
        <v>0</v>
      </c>
      <c r="J21" s="98">
        <f>SUM('15'!$AR$12:$AS$12)</f>
        <v>0</v>
      </c>
      <c r="K21" s="108">
        <v>15</v>
      </c>
      <c r="L21" s="202">
        <f>SUM('15'!$AX$11:$AY$11)</f>
        <v>0</v>
      </c>
      <c r="M21" s="96">
        <f>SUM('15'!$AZ$11:$BA$11)</f>
        <v>0</v>
      </c>
      <c r="N21" s="207">
        <f>SUM('15'!$AX$13:$AY$13)</f>
        <v>0</v>
      </c>
      <c r="O21" s="97">
        <f>SUM('15'!$AZ$13:$BA$13)</f>
        <v>0</v>
      </c>
      <c r="P21" s="208">
        <f>SUM('15'!$AX$10:$AY$10)</f>
        <v>0</v>
      </c>
      <c r="Q21" s="96">
        <f>SUM('15'!$AZ$10:$BA$10)</f>
        <v>0</v>
      </c>
      <c r="R21" s="207">
        <f>SUM('15'!$AX$12:$AY$12)</f>
        <v>0</v>
      </c>
      <c r="S21" s="98">
        <f>SUM('15'!$AZ$12:$BA$12)</f>
        <v>0</v>
      </c>
      <c r="T21" s="108">
        <v>15</v>
      </c>
      <c r="U21" s="94">
        <f>SUM('15'!$AP$60)</f>
        <v>9</v>
      </c>
      <c r="V21" s="97">
        <f>SUM('15'!$AQ$60)</f>
        <v>570000</v>
      </c>
      <c r="W21" s="94">
        <f>SUM('15'!$AP$61)</f>
        <v>3</v>
      </c>
      <c r="X21" s="98">
        <f>SUM('15'!$AS$61)</f>
        <v>195000</v>
      </c>
      <c r="Y21" s="94">
        <f>SUM('15'!$AP$69)</f>
        <v>0</v>
      </c>
      <c r="Z21" s="97">
        <f>SUM('15'!$AQ$69)</f>
        <v>0</v>
      </c>
      <c r="AA21" s="94">
        <f>SUM('15'!$AP$70)</f>
        <v>1</v>
      </c>
      <c r="AB21" s="98">
        <f>SUM('15'!$AQ$70)</f>
        <v>71500</v>
      </c>
      <c r="AC21" s="108">
        <v>15</v>
      </c>
      <c r="AD21" s="109">
        <f>SUM('15'!$AP$62)</f>
        <v>2</v>
      </c>
      <c r="AE21" s="110">
        <f>SUM('15'!$AQ$62)</f>
        <v>65000</v>
      </c>
      <c r="AF21" s="94">
        <f>SUM('15'!$AP$66)</f>
        <v>3</v>
      </c>
      <c r="AG21" s="98">
        <f>SUM('15'!$AQ$66)</f>
        <v>132600</v>
      </c>
      <c r="AH21" s="94">
        <f>SUM('15'!$AP$65)</f>
        <v>1</v>
      </c>
      <c r="AI21" s="98">
        <f>SUM('15'!$AQ$65)</f>
        <v>0</v>
      </c>
      <c r="AJ21" s="94">
        <f>SUM('15'!$AP$63)</f>
        <v>0</v>
      </c>
      <c r="AK21" s="98">
        <f>SUM('15'!$AQ$63)</f>
        <v>0</v>
      </c>
      <c r="AL21" s="94">
        <f>SUM('15'!$AP$64)</f>
        <v>0</v>
      </c>
      <c r="AM21" s="98">
        <f>SUM('15'!$AQ$64)</f>
        <v>0</v>
      </c>
      <c r="AN21" s="94">
        <f>SUM('15'!$AP$67)</f>
        <v>1</v>
      </c>
      <c r="AO21" s="98">
        <f>SUM('15'!$AQ$67)</f>
        <v>0</v>
      </c>
      <c r="AP21" s="94">
        <f>SUM('15'!$AP$68)</f>
        <v>0</v>
      </c>
      <c r="AQ21" s="98">
        <f>SUM('15'!$AQ$68)</f>
        <v>0</v>
      </c>
      <c r="AR21" s="108">
        <v>15</v>
      </c>
      <c r="AS21" s="94"/>
      <c r="AT21" s="94"/>
      <c r="AU21" s="94"/>
      <c r="AV21" s="94"/>
      <c r="AW21" s="94"/>
      <c r="AX21" s="350"/>
      <c r="AY21" s="211"/>
      <c r="AZ21" s="209"/>
      <c r="BA21" s="108">
        <v>15</v>
      </c>
      <c r="BB21" s="111">
        <f>SUM('15'!$AN$14:$AO$15)</f>
        <v>0</v>
      </c>
      <c r="BC21" s="112">
        <f>SUM('15'!$AR$14:$AS$15)</f>
        <v>199000</v>
      </c>
      <c r="BD21" s="112">
        <f>SUM('15'!$AZ$14:$BA$15)</f>
        <v>0</v>
      </c>
      <c r="BE21" s="112">
        <f>SUM('15'!$AS$60)</f>
        <v>570000</v>
      </c>
      <c r="BF21" s="112">
        <f>SUM('15'!$AS$61)</f>
        <v>195000</v>
      </c>
      <c r="BG21" s="112">
        <f>SUM('15'!$AS$69)</f>
        <v>0</v>
      </c>
      <c r="BH21" s="112">
        <f>SUM('15'!$AS$70)</f>
        <v>71500</v>
      </c>
      <c r="BI21" s="113">
        <f>SUM('15'!$AS$62)</f>
        <v>65000</v>
      </c>
      <c r="BJ21" s="113">
        <f>SUM('15'!$AS$66)</f>
        <v>132600</v>
      </c>
      <c r="BK21" s="113">
        <f>SUM('15'!$AS$67)</f>
        <v>0</v>
      </c>
      <c r="BL21" s="113">
        <f>SUM('15'!$AS$63)</f>
        <v>0</v>
      </c>
      <c r="BM21" s="113">
        <f>SUM('15'!$AS$65)</f>
        <v>0</v>
      </c>
      <c r="BN21" s="358">
        <f>SUM('15'!$AS$68)</f>
        <v>0</v>
      </c>
      <c r="BO21" s="114">
        <f>SUM('15'!$AS$64)</f>
        <v>0</v>
      </c>
      <c r="BP21" s="115">
        <f>SUM('15'!$AM$73)</f>
        <v>0</v>
      </c>
      <c r="BQ21" s="307">
        <f>SUM('15'!$AN$73)</f>
        <v>0</v>
      </c>
      <c r="BR21" s="308">
        <f>SUM('15'!$AP$73)</f>
        <v>20</v>
      </c>
      <c r="BS21" s="96">
        <f>SUM('15'!$AS$73)</f>
        <v>1034100</v>
      </c>
      <c r="BT21" s="309">
        <f t="shared" si="13"/>
        <v>1233100</v>
      </c>
      <c r="BU21" s="115"/>
      <c r="BV21" s="109"/>
      <c r="BW21" s="110"/>
      <c r="BX21" s="262"/>
      <c r="BY21" s="290">
        <f>BX21/15</f>
        <v>0</v>
      </c>
      <c r="BZ21" s="291">
        <f t="shared" si="14"/>
        <v>0</v>
      </c>
      <c r="CB21" s="130">
        <v>15</v>
      </c>
      <c r="CC21" s="120">
        <f t="shared" si="0"/>
        <v>570000</v>
      </c>
      <c r="CD21" s="121"/>
      <c r="CE21" s="122"/>
      <c r="CF21" s="123"/>
      <c r="CG21" s="120">
        <f t="shared" si="1"/>
        <v>195000</v>
      </c>
      <c r="CH21" s="121"/>
      <c r="CI21" s="122"/>
      <c r="CJ21" s="123"/>
      <c r="CK21" s="120">
        <f t="shared" si="2"/>
        <v>65000</v>
      </c>
      <c r="CL21" s="121"/>
      <c r="CM21" s="122"/>
      <c r="CN21" s="123"/>
      <c r="CO21" s="120">
        <f t="shared" si="3"/>
        <v>132600</v>
      </c>
      <c r="CP21" s="121"/>
      <c r="CQ21" s="122"/>
      <c r="CR21" s="123"/>
      <c r="CS21" s="120">
        <f t="shared" si="4"/>
        <v>0</v>
      </c>
      <c r="CT21" s="121"/>
      <c r="CU21" s="122"/>
      <c r="CV21" s="123"/>
      <c r="CW21" s="120">
        <f t="shared" si="5"/>
        <v>0</v>
      </c>
      <c r="CX21" s="121"/>
      <c r="CY21" s="122"/>
      <c r="CZ21" s="123"/>
      <c r="DA21" s="120">
        <f t="shared" si="6"/>
        <v>0</v>
      </c>
      <c r="DB21" s="121"/>
      <c r="DC21" s="122"/>
      <c r="DD21" s="123"/>
      <c r="DE21" s="120">
        <f t="shared" si="7"/>
        <v>0</v>
      </c>
      <c r="DF21" s="121"/>
      <c r="DG21" s="122"/>
      <c r="DH21" s="123"/>
      <c r="DI21" s="120">
        <f t="shared" si="8"/>
        <v>199000</v>
      </c>
      <c r="DJ21" s="121"/>
      <c r="DK21" s="122"/>
      <c r="DL21" s="123"/>
      <c r="DM21" s="120">
        <f t="shared" si="9"/>
        <v>0</v>
      </c>
      <c r="DN21" s="121">
        <f t="shared" si="10"/>
        <v>0</v>
      </c>
      <c r="DO21" s="122"/>
      <c r="DP21" s="123"/>
      <c r="DQ21" s="124">
        <f t="shared" si="15"/>
        <v>1161600</v>
      </c>
      <c r="DR21" s="125">
        <f t="shared" si="11"/>
        <v>0</v>
      </c>
      <c r="DS21" s="125">
        <f t="shared" si="16"/>
        <v>1161600</v>
      </c>
      <c r="DT21" s="352">
        <v>15</v>
      </c>
      <c r="DU21" s="131"/>
      <c r="DV21" s="132"/>
      <c r="DW21" s="132"/>
      <c r="DX21" s="132"/>
      <c r="DY21" s="132"/>
      <c r="DZ21" s="132"/>
      <c r="EA21" s="132"/>
      <c r="EB21" s="133"/>
      <c r="EC21" s="133"/>
      <c r="ED21" s="129">
        <f t="shared" si="12"/>
        <v>0</v>
      </c>
      <c r="EE21" s="913"/>
      <c r="EF21" s="914"/>
      <c r="EG21" s="914"/>
    </row>
    <row r="22" spans="1:137" ht="40.5" customHeight="1" thickBot="1" x14ac:dyDescent="0.35">
      <c r="A22" s="108">
        <v>16</v>
      </c>
      <c r="B22" s="205">
        <f>SUM('16'!$AL$10:$AM$10)</f>
        <v>0</v>
      </c>
      <c r="C22" s="203">
        <f>SUM('16'!$AN$10:$AO$10)</f>
        <v>0</v>
      </c>
      <c r="D22" s="204">
        <f>SUM('16'!$AL$12:$AM$12)</f>
        <v>0</v>
      </c>
      <c r="E22" s="206">
        <f>SUM('16'!$AN$12:$AO$12)</f>
        <v>0</v>
      </c>
      <c r="F22" s="108">
        <v>16</v>
      </c>
      <c r="G22" s="208">
        <f>SUM('16'!$AP$10:$AQ$10)</f>
        <v>1</v>
      </c>
      <c r="H22" s="96">
        <f>SUM('15'!$AR$10:$AS$10)</f>
        <v>195000</v>
      </c>
      <c r="I22" s="207">
        <f>SUM('16'!$AP$12:$AQ$12)</f>
        <v>0</v>
      </c>
      <c r="J22" s="98">
        <f>SUM('16'!$AR$12:$AS$12)</f>
        <v>0</v>
      </c>
      <c r="K22" s="108">
        <v>16</v>
      </c>
      <c r="L22" s="202">
        <f>SUM('16'!$AX$11:$AY$11)</f>
        <v>0</v>
      </c>
      <c r="M22" s="96">
        <f>SUM('16'!$AZ$11:$BA$11)</f>
        <v>0</v>
      </c>
      <c r="N22" s="207">
        <f>SUM('16'!$AX$13:$AY$13)</f>
        <v>0</v>
      </c>
      <c r="O22" s="97">
        <f>SUM('16'!$AZ$13:$BA$13)</f>
        <v>0</v>
      </c>
      <c r="P22" s="208">
        <f>SUM('16'!$AX$10:$AY$10)</f>
        <v>0</v>
      </c>
      <c r="Q22" s="96">
        <f>SUM('16'!$AZ$10:$BA$10)</f>
        <v>0</v>
      </c>
      <c r="R22" s="207">
        <f>SUM('16'!$AX$12:$AY$12)</f>
        <v>0</v>
      </c>
      <c r="S22" s="98">
        <f>SUM('16'!$AZ$12:$BA$12)</f>
        <v>0</v>
      </c>
      <c r="T22" s="108">
        <v>16</v>
      </c>
      <c r="U22" s="94">
        <f>SUM('16'!$AP$60)</f>
        <v>3</v>
      </c>
      <c r="V22" s="97">
        <f>SUM('16'!$AQ$60)</f>
        <v>180000</v>
      </c>
      <c r="W22" s="94">
        <f>SUM('16'!$AP$61)</f>
        <v>8</v>
      </c>
      <c r="X22" s="98">
        <f>SUM('16'!$AS$61)</f>
        <v>610000</v>
      </c>
      <c r="Y22" s="94">
        <f>SUM('16'!$AP$69)</f>
        <v>0</v>
      </c>
      <c r="Z22" s="97">
        <f>SUM('16'!$AQ$69)</f>
        <v>0</v>
      </c>
      <c r="AA22" s="94">
        <f>SUM('16'!$AP$70)</f>
        <v>0</v>
      </c>
      <c r="AB22" s="98">
        <f>SUM('16'!$AQ$70)</f>
        <v>0</v>
      </c>
      <c r="AC22" s="108">
        <v>16</v>
      </c>
      <c r="AD22" s="109">
        <f>SUM('16'!$AP$62)</f>
        <v>2</v>
      </c>
      <c r="AE22" s="110">
        <f>SUM('16'!$AQ$62)</f>
        <v>65000</v>
      </c>
      <c r="AF22" s="94">
        <f>SUM('16'!$AP$66)</f>
        <v>2</v>
      </c>
      <c r="AG22" s="98">
        <f>SUM('16'!$AQ$66)</f>
        <v>136500</v>
      </c>
      <c r="AH22" s="94">
        <f>SUM('16'!$AP$65)</f>
        <v>1</v>
      </c>
      <c r="AI22" s="98">
        <f>SUM('16'!$AQ$65)</f>
        <v>0</v>
      </c>
      <c r="AJ22" s="94">
        <f>SUM('16'!$AP$63)</f>
        <v>0</v>
      </c>
      <c r="AK22" s="98">
        <f>SUM('16'!$AQ$63)</f>
        <v>0</v>
      </c>
      <c r="AL22" s="94">
        <f>SUM('16'!$AP$64)</f>
        <v>0</v>
      </c>
      <c r="AM22" s="98">
        <f>SUM('16'!$AQ$64)</f>
        <v>0</v>
      </c>
      <c r="AN22" s="94">
        <f>SUM('16'!$AP$67)</f>
        <v>5</v>
      </c>
      <c r="AO22" s="98">
        <f>SUM('16'!$AQ$67)</f>
        <v>741617</v>
      </c>
      <c r="AP22" s="94">
        <f>SUM('16'!$AP$68)</f>
        <v>0</v>
      </c>
      <c r="AQ22" s="98">
        <f>SUM('16'!$AQ$68)</f>
        <v>0</v>
      </c>
      <c r="AR22" s="108">
        <v>16</v>
      </c>
      <c r="AS22" s="94"/>
      <c r="AT22" s="94"/>
      <c r="AU22" s="94"/>
      <c r="AV22" s="94"/>
      <c r="AW22" s="94"/>
      <c r="AX22" s="350"/>
      <c r="AY22" s="211"/>
      <c r="AZ22" s="209"/>
      <c r="BA22" s="108">
        <v>16</v>
      </c>
      <c r="BB22" s="111">
        <f>SUM('16'!$AN$14:$AO$15)</f>
        <v>4000</v>
      </c>
      <c r="BC22" s="112">
        <f>SUM('16'!$AR$14:$AS$15)</f>
        <v>84000</v>
      </c>
      <c r="BD22" s="112">
        <f>SUM('16'!$AZ$14:$BA$15)</f>
        <v>0</v>
      </c>
      <c r="BE22" s="112">
        <f>SUM('16'!$AS$60)</f>
        <v>180000</v>
      </c>
      <c r="BF22" s="112">
        <f>SUM('16'!$AS$61)</f>
        <v>610000</v>
      </c>
      <c r="BG22" s="112">
        <f>SUM('16'!$AS$69)</f>
        <v>0</v>
      </c>
      <c r="BH22" s="112">
        <f>SUM('16'!$AS$70)</f>
        <v>0</v>
      </c>
      <c r="BI22" s="113">
        <f>SUM('16'!$AS$62)</f>
        <v>65000</v>
      </c>
      <c r="BJ22" s="113">
        <f>SUM('16'!$AS$66)</f>
        <v>136500</v>
      </c>
      <c r="BK22" s="113">
        <f>SUM('16'!$AS$67)</f>
        <v>741617</v>
      </c>
      <c r="BL22" s="113">
        <f>SUM('16'!$AS$63)</f>
        <v>0</v>
      </c>
      <c r="BM22" s="113">
        <f>SUM('16'!$AS$65)</f>
        <v>0</v>
      </c>
      <c r="BN22" s="358">
        <f>SUM('16'!$AS$68)</f>
        <v>0</v>
      </c>
      <c r="BO22" s="114">
        <f>SUM('16'!$AS$64)</f>
        <v>0</v>
      </c>
      <c r="BP22" s="115">
        <f>SUM('16'!$AM$73)</f>
        <v>0</v>
      </c>
      <c r="BQ22" s="307">
        <f>SUM('16'!$AN$73)</f>
        <v>0</v>
      </c>
      <c r="BR22" s="308">
        <f>SUM('16'!$AP$73)</f>
        <v>21</v>
      </c>
      <c r="BS22" s="96">
        <f>SUM('16'!$AS$73)</f>
        <v>1733117</v>
      </c>
      <c r="BT22" s="309">
        <f t="shared" si="13"/>
        <v>1821117</v>
      </c>
      <c r="BU22" s="115"/>
      <c r="BV22" s="117"/>
      <c r="BW22" s="110"/>
      <c r="BX22" s="262"/>
      <c r="BY22" s="290">
        <f>BX22/16</f>
        <v>0</v>
      </c>
      <c r="BZ22" s="291">
        <f t="shared" si="14"/>
        <v>0</v>
      </c>
      <c r="CB22" s="130">
        <v>16</v>
      </c>
      <c r="CC22" s="120">
        <f t="shared" si="0"/>
        <v>180000</v>
      </c>
      <c r="CD22" s="121"/>
      <c r="CE22" s="122"/>
      <c r="CF22" s="123"/>
      <c r="CG22" s="120">
        <f t="shared" si="1"/>
        <v>610000</v>
      </c>
      <c r="CH22" s="121"/>
      <c r="CI22" s="122"/>
      <c r="CJ22" s="123"/>
      <c r="CK22" s="120">
        <f t="shared" si="2"/>
        <v>65000</v>
      </c>
      <c r="CL22" s="121"/>
      <c r="CM22" s="122"/>
      <c r="CN22" s="123"/>
      <c r="CO22" s="120">
        <f t="shared" si="3"/>
        <v>136500</v>
      </c>
      <c r="CP22" s="121"/>
      <c r="CQ22" s="122"/>
      <c r="CR22" s="123"/>
      <c r="CS22" s="120">
        <f t="shared" si="4"/>
        <v>741617</v>
      </c>
      <c r="CT22" s="121"/>
      <c r="CU22" s="122"/>
      <c r="CV22" s="123"/>
      <c r="CW22" s="120">
        <f t="shared" si="5"/>
        <v>0</v>
      </c>
      <c r="CX22" s="121"/>
      <c r="CY22" s="122"/>
      <c r="CZ22" s="123"/>
      <c r="DA22" s="120">
        <f t="shared" si="6"/>
        <v>0</v>
      </c>
      <c r="DB22" s="121"/>
      <c r="DC22" s="122"/>
      <c r="DD22" s="123"/>
      <c r="DE22" s="120">
        <f t="shared" si="7"/>
        <v>0</v>
      </c>
      <c r="DF22" s="121"/>
      <c r="DG22" s="122"/>
      <c r="DH22" s="123"/>
      <c r="DI22" s="120">
        <f t="shared" si="8"/>
        <v>84000</v>
      </c>
      <c r="DJ22" s="121"/>
      <c r="DK22" s="122"/>
      <c r="DL22" s="123"/>
      <c r="DM22" s="120">
        <f t="shared" si="9"/>
        <v>4000</v>
      </c>
      <c r="DN22" s="121">
        <f t="shared" si="10"/>
        <v>4000</v>
      </c>
      <c r="DO22" s="122"/>
      <c r="DP22" s="123"/>
      <c r="DQ22" s="124">
        <f t="shared" si="15"/>
        <v>1821117</v>
      </c>
      <c r="DR22" s="125">
        <f t="shared" si="11"/>
        <v>4000</v>
      </c>
      <c r="DS22" s="125">
        <f t="shared" si="16"/>
        <v>1817117</v>
      </c>
      <c r="DT22" s="352">
        <v>16</v>
      </c>
      <c r="DU22" s="131"/>
      <c r="DV22" s="132"/>
      <c r="DW22" s="132"/>
      <c r="DX22" s="132"/>
      <c r="DY22" s="132"/>
      <c r="DZ22" s="132"/>
      <c r="EA22" s="132"/>
      <c r="EB22" s="133"/>
      <c r="EC22" s="133"/>
      <c r="ED22" s="129">
        <f t="shared" si="12"/>
        <v>0</v>
      </c>
      <c r="EE22" s="913"/>
      <c r="EF22" s="914"/>
      <c r="EG22" s="914"/>
    </row>
    <row r="23" spans="1:137" ht="40.5" customHeight="1" thickBot="1" x14ac:dyDescent="0.35">
      <c r="A23" s="108">
        <v>17</v>
      </c>
      <c r="B23" s="205">
        <f>SUM('17'!$AL$10:$AM$10)</f>
        <v>0</v>
      </c>
      <c r="C23" s="203">
        <f>SUM('17'!$AN$10:$AO$10)</f>
        <v>0</v>
      </c>
      <c r="D23" s="204">
        <f>SUM('17'!$AL$12:$AM$12)</f>
        <v>0</v>
      </c>
      <c r="E23" s="206">
        <f>SUM('17'!$AN$12:$AO$12)</f>
        <v>0</v>
      </c>
      <c r="F23" s="108">
        <v>17</v>
      </c>
      <c r="G23" s="208">
        <f>SUM('17'!$AP$10:$AQ$10)</f>
        <v>4</v>
      </c>
      <c r="H23" s="96">
        <f>SUM('16'!$AR$10:$AS$10)</f>
        <v>80000</v>
      </c>
      <c r="I23" s="207">
        <f>SUM('17'!$AP$12:$AQ$12)</f>
        <v>0</v>
      </c>
      <c r="J23" s="98">
        <f>SUM('17'!$AR$12:$AS$12)</f>
        <v>0</v>
      </c>
      <c r="K23" s="108">
        <v>17</v>
      </c>
      <c r="L23" s="202">
        <f>SUM('17'!$AX$11:$AY$11)</f>
        <v>0</v>
      </c>
      <c r="M23" s="96">
        <f>SUM('17'!$AZ$11:$BA$11)</f>
        <v>0</v>
      </c>
      <c r="N23" s="207">
        <v>7</v>
      </c>
      <c r="O23" s="97">
        <f>SUM('17'!$AZ$13:$BA$13)</f>
        <v>0</v>
      </c>
      <c r="P23" s="208">
        <f>SUM('17'!$AX$10:$AY$10)</f>
        <v>0</v>
      </c>
      <c r="Q23" s="96">
        <f>SUM('17'!$AZ$10:$BA$10)</f>
        <v>0</v>
      </c>
      <c r="R23" s="207">
        <f>SUM('17'!$AX$12:$AY$12)</f>
        <v>1</v>
      </c>
      <c r="S23" s="98">
        <f>SUM('17'!$AZ$12:$BA$12)</f>
        <v>2750000</v>
      </c>
      <c r="T23" s="108">
        <v>17</v>
      </c>
      <c r="U23" s="94">
        <f>SUM('17'!$AP$60)</f>
        <v>8</v>
      </c>
      <c r="V23" s="97">
        <f>SUM('17'!$AQ$60)</f>
        <v>310000</v>
      </c>
      <c r="W23" s="94">
        <f>SUM('17'!$AP$61)</f>
        <v>7</v>
      </c>
      <c r="X23" s="98">
        <f>SUM('17'!$AS$61)</f>
        <v>560000</v>
      </c>
      <c r="Y23" s="94">
        <f>SUM('17'!$AP$69)</f>
        <v>0</v>
      </c>
      <c r="Z23" s="97">
        <f>SUM('17'!$AQ$69)</f>
        <v>0</v>
      </c>
      <c r="AA23" s="94">
        <f>SUM('17'!$AP$70)</f>
        <v>0</v>
      </c>
      <c r="AB23" s="98">
        <f>SUM('17'!$AQ$70)</f>
        <v>0</v>
      </c>
      <c r="AC23" s="108">
        <v>17</v>
      </c>
      <c r="AD23" s="109">
        <f>SUM('17'!$AP$62)</f>
        <v>1</v>
      </c>
      <c r="AE23" s="110">
        <f>SUM('17'!$AQ$62)</f>
        <v>0</v>
      </c>
      <c r="AF23" s="94">
        <f>SUM('17'!$AP$66)</f>
        <v>7</v>
      </c>
      <c r="AG23" s="98">
        <f>SUM('17'!$AQ$66)</f>
        <v>556650</v>
      </c>
      <c r="AH23" s="94">
        <f>SUM('17'!$AP$65)</f>
        <v>1</v>
      </c>
      <c r="AI23" s="98">
        <f>SUM('17'!$AQ$65)</f>
        <v>66500</v>
      </c>
      <c r="AJ23" s="94">
        <f>SUM('17'!$AP$63)</f>
        <v>0</v>
      </c>
      <c r="AK23" s="98">
        <f>SUM('17'!$AQ$63)</f>
        <v>0</v>
      </c>
      <c r="AL23" s="94">
        <f>SUM('17'!$AP$64)</f>
        <v>0</v>
      </c>
      <c r="AM23" s="98">
        <f>SUM('17'!$AQ$64)</f>
        <v>0</v>
      </c>
      <c r="AN23" s="94">
        <f>SUM('17'!$AP$67)</f>
        <v>5</v>
      </c>
      <c r="AO23" s="98">
        <f>SUM('17'!$AQ$67)</f>
        <v>486777</v>
      </c>
      <c r="AP23" s="94">
        <f>SUM('17'!$AP$68)</f>
        <v>1</v>
      </c>
      <c r="AQ23" s="98">
        <f>SUM('17'!$AQ$68)</f>
        <v>93925</v>
      </c>
      <c r="AR23" s="108">
        <v>17</v>
      </c>
      <c r="AS23" s="94"/>
      <c r="AT23" s="94"/>
      <c r="AU23" s="94"/>
      <c r="AV23" s="94"/>
      <c r="AW23" s="94"/>
      <c r="AX23" s="350"/>
      <c r="AY23" s="211"/>
      <c r="AZ23" s="209"/>
      <c r="BA23" s="108">
        <v>17</v>
      </c>
      <c r="BB23" s="111">
        <f>SUM('17'!$AN$14:$AO$15)</f>
        <v>8000</v>
      </c>
      <c r="BC23" s="112">
        <f>SUM('17'!$AR$14:$AS$15)</f>
        <v>255000</v>
      </c>
      <c r="BD23" s="112">
        <f>SUM('17'!$AZ$14:$BA$15)</f>
        <v>2750000</v>
      </c>
      <c r="BE23" s="112">
        <f>SUM('17'!$AS$60)</f>
        <v>310000</v>
      </c>
      <c r="BF23" s="112">
        <f>SUM('17'!$AS$61)</f>
        <v>560000</v>
      </c>
      <c r="BG23" s="112">
        <f>SUM('17'!$AS$69)</f>
        <v>0</v>
      </c>
      <c r="BH23" s="112">
        <f>SUM('17'!$AS$70)</f>
        <v>0</v>
      </c>
      <c r="BI23" s="113">
        <f>SUM('17'!$AS$62)</f>
        <v>0</v>
      </c>
      <c r="BJ23" s="113">
        <f>SUM('17'!$AS$66)</f>
        <v>556650</v>
      </c>
      <c r="BK23" s="113">
        <f>SUM('17'!$AS$67)</f>
        <v>486777</v>
      </c>
      <c r="BL23" s="113">
        <f>SUM('17'!$AS$63)</f>
        <v>0</v>
      </c>
      <c r="BM23" s="113">
        <f>SUM('17'!$AS$65)</f>
        <v>66500</v>
      </c>
      <c r="BN23" s="358">
        <f>SUM('17'!$AS$68)</f>
        <v>93925</v>
      </c>
      <c r="BO23" s="114">
        <f>SUM('17'!$AS$64)</f>
        <v>0</v>
      </c>
      <c r="BP23" s="115">
        <f>SUM('17'!$AM$73)</f>
        <v>0</v>
      </c>
      <c r="BQ23" s="307">
        <f>SUM('17'!$AN$73)</f>
        <v>0</v>
      </c>
      <c r="BR23" s="308">
        <f>SUM('17'!$AP$73)</f>
        <v>30</v>
      </c>
      <c r="BS23" s="96">
        <f>SUM('17'!$AS$73)</f>
        <v>2073852</v>
      </c>
      <c r="BT23" s="309">
        <f t="shared" si="13"/>
        <v>5086852</v>
      </c>
      <c r="BU23" s="115"/>
      <c r="BV23" s="117"/>
      <c r="BW23" s="110"/>
      <c r="BX23" s="262"/>
      <c r="BY23" s="290">
        <f>BX23/17</f>
        <v>0</v>
      </c>
      <c r="BZ23" s="291">
        <f t="shared" si="14"/>
        <v>0</v>
      </c>
      <c r="CB23" s="130">
        <v>17</v>
      </c>
      <c r="CC23" s="120">
        <f t="shared" si="0"/>
        <v>310000</v>
      </c>
      <c r="CD23" s="121"/>
      <c r="CE23" s="122"/>
      <c r="CF23" s="123"/>
      <c r="CG23" s="120">
        <f t="shared" si="1"/>
        <v>560000</v>
      </c>
      <c r="CH23" s="121"/>
      <c r="CI23" s="122"/>
      <c r="CJ23" s="123"/>
      <c r="CK23" s="120">
        <f t="shared" si="2"/>
        <v>0</v>
      </c>
      <c r="CL23" s="121"/>
      <c r="CM23" s="122"/>
      <c r="CN23" s="123"/>
      <c r="CO23" s="120">
        <f t="shared" si="3"/>
        <v>556650</v>
      </c>
      <c r="CP23" s="121"/>
      <c r="CQ23" s="122"/>
      <c r="CR23" s="123"/>
      <c r="CS23" s="120">
        <f t="shared" si="4"/>
        <v>486777</v>
      </c>
      <c r="CT23" s="121"/>
      <c r="CU23" s="122"/>
      <c r="CV23" s="123"/>
      <c r="CW23" s="120">
        <f t="shared" si="5"/>
        <v>0</v>
      </c>
      <c r="CX23" s="121"/>
      <c r="CY23" s="122"/>
      <c r="CZ23" s="123"/>
      <c r="DA23" s="120">
        <f t="shared" si="6"/>
        <v>66500</v>
      </c>
      <c r="DB23" s="121"/>
      <c r="DC23" s="122"/>
      <c r="DD23" s="123"/>
      <c r="DE23" s="120">
        <f t="shared" si="7"/>
        <v>0</v>
      </c>
      <c r="DF23" s="121"/>
      <c r="DG23" s="122"/>
      <c r="DH23" s="123"/>
      <c r="DI23" s="120">
        <f t="shared" si="8"/>
        <v>255000</v>
      </c>
      <c r="DJ23" s="121"/>
      <c r="DK23" s="122"/>
      <c r="DL23" s="123"/>
      <c r="DM23" s="120">
        <f t="shared" si="9"/>
        <v>2758000</v>
      </c>
      <c r="DN23" s="121">
        <f t="shared" si="10"/>
        <v>2758000</v>
      </c>
      <c r="DO23" s="122"/>
      <c r="DP23" s="123"/>
      <c r="DQ23" s="124">
        <f t="shared" si="15"/>
        <v>4992927</v>
      </c>
      <c r="DR23" s="125">
        <f t="shared" si="11"/>
        <v>2758000</v>
      </c>
      <c r="DS23" s="125">
        <f t="shared" si="16"/>
        <v>2234927</v>
      </c>
      <c r="DT23" s="352">
        <v>17</v>
      </c>
      <c r="DU23" s="131"/>
      <c r="DV23" s="132"/>
      <c r="DW23" s="132"/>
      <c r="DX23" s="132"/>
      <c r="DY23" s="132"/>
      <c r="DZ23" s="132"/>
      <c r="EA23" s="132"/>
      <c r="EB23" s="133"/>
      <c r="EC23" s="133"/>
      <c r="ED23" s="129">
        <f t="shared" si="12"/>
        <v>0</v>
      </c>
      <c r="EE23" s="913"/>
      <c r="EF23" s="914"/>
      <c r="EG23" s="914"/>
    </row>
    <row r="24" spans="1:137" ht="40.5" customHeight="1" thickBot="1" x14ac:dyDescent="0.35">
      <c r="A24" s="108">
        <v>18</v>
      </c>
      <c r="B24" s="205">
        <f>SUM('18'!$AL$10:$AM$10)</f>
        <v>1</v>
      </c>
      <c r="C24" s="203">
        <f>SUM('18'!$AN$10:$AO$10)</f>
        <v>70000</v>
      </c>
      <c r="D24" s="204">
        <f>SUM('18'!$AL$12:$AM$12)</f>
        <v>0</v>
      </c>
      <c r="E24" s="206">
        <f>SUM('18'!$AN$12:$AO$12)</f>
        <v>0</v>
      </c>
      <c r="F24" s="108">
        <v>18</v>
      </c>
      <c r="G24" s="208">
        <f>SUM('18'!$AP$10:$AQ$10)</f>
        <v>4</v>
      </c>
      <c r="H24" s="96">
        <f>SUM('17'!$AR$10:$AS$10)</f>
        <v>255000</v>
      </c>
      <c r="I24" s="207">
        <f>SUM('18'!$AP$12:$AQ$12)</f>
        <v>0</v>
      </c>
      <c r="J24" s="98">
        <f>SUM('18'!$AR$12:$AS$12)</f>
        <v>0</v>
      </c>
      <c r="K24" s="108">
        <v>18</v>
      </c>
      <c r="L24" s="202">
        <f>SUM('18'!$AX$11:$AY$11)</f>
        <v>0</v>
      </c>
      <c r="M24" s="96">
        <f>SUM('18'!$AZ$11:$BA$11)</f>
        <v>0</v>
      </c>
      <c r="N24" s="207">
        <f>SUM('18'!$AX$13:$AY$13)</f>
        <v>0</v>
      </c>
      <c r="O24" s="97">
        <f>SUM('18'!$AZ$13:$BA$13)</f>
        <v>0</v>
      </c>
      <c r="P24" s="208">
        <f>SUM('18'!$AX$10:$AY$10)</f>
        <v>0</v>
      </c>
      <c r="Q24" s="96">
        <f>SUM('18'!$AZ$10:$BA$10)</f>
        <v>0</v>
      </c>
      <c r="R24" s="207">
        <f>SUM('18'!$AX$12:$AY$12)</f>
        <v>0</v>
      </c>
      <c r="S24" s="98">
        <f>SUM('18'!$AZ$12:$BA$12)</f>
        <v>0</v>
      </c>
      <c r="T24" s="108">
        <v>18</v>
      </c>
      <c r="U24" s="94">
        <f>SUM('18'!$AP$60)</f>
        <v>11</v>
      </c>
      <c r="V24" s="97">
        <f>SUM('18'!$AQ$60)</f>
        <v>615000</v>
      </c>
      <c r="W24" s="94">
        <f>SUM('18'!$AP$61)</f>
        <v>6</v>
      </c>
      <c r="X24" s="98">
        <f>SUM('18'!$AS$61)</f>
        <v>185000</v>
      </c>
      <c r="Y24" s="94">
        <f>SUM('18'!$AP$69)</f>
        <v>1</v>
      </c>
      <c r="Z24" s="97">
        <f>SUM('18'!$AQ$69)</f>
        <v>71500</v>
      </c>
      <c r="AA24" s="94">
        <f>SUM('18'!$AP$70)</f>
        <v>0</v>
      </c>
      <c r="AB24" s="98">
        <f>SUM('18'!$AQ$70)</f>
        <v>0</v>
      </c>
      <c r="AC24" s="108">
        <v>18</v>
      </c>
      <c r="AD24" s="109">
        <f>SUM('18'!$AP$62)</f>
        <v>1</v>
      </c>
      <c r="AE24" s="110">
        <f>SUM('18'!$AQ$62)</f>
        <v>0</v>
      </c>
      <c r="AF24" s="94">
        <f>SUM('18'!$AP$66)</f>
        <v>7</v>
      </c>
      <c r="AG24" s="98">
        <f>SUM('18'!$AQ$66)</f>
        <v>497550</v>
      </c>
      <c r="AH24" s="94">
        <f>SUM('18'!$AP$65)</f>
        <v>0</v>
      </c>
      <c r="AI24" s="98">
        <f>SUM('18'!$AQ$65)</f>
        <v>0</v>
      </c>
      <c r="AJ24" s="94">
        <f>SUM('18'!$AP$63)</f>
        <v>0</v>
      </c>
      <c r="AK24" s="98">
        <f>SUM('18'!$AQ$63)</f>
        <v>0</v>
      </c>
      <c r="AL24" s="94">
        <f>SUM('18'!$AP$64)</f>
        <v>0</v>
      </c>
      <c r="AM24" s="98">
        <f>SUM('18'!$AQ$64)</f>
        <v>0</v>
      </c>
      <c r="AN24" s="94">
        <f>SUM('18'!$AP$67)</f>
        <v>4</v>
      </c>
      <c r="AO24" s="98">
        <f>SUM('18'!$AQ$67)</f>
        <v>0</v>
      </c>
      <c r="AP24" s="94">
        <f>SUM('18'!$AP$68)</f>
        <v>2</v>
      </c>
      <c r="AQ24" s="98">
        <f>SUM('18'!$AQ$68)</f>
        <v>212288</v>
      </c>
      <c r="AR24" s="108">
        <v>18</v>
      </c>
      <c r="AS24" s="94"/>
      <c r="AT24" s="94"/>
      <c r="AU24" s="94"/>
      <c r="AV24" s="94"/>
      <c r="AW24" s="94"/>
      <c r="AX24" s="350"/>
      <c r="AY24" s="211"/>
      <c r="AZ24" s="209"/>
      <c r="BA24" s="108">
        <v>18</v>
      </c>
      <c r="BB24" s="111">
        <f>SUM('18'!$AN$14:$AO$15)</f>
        <v>70000</v>
      </c>
      <c r="BC24" s="112">
        <f>SUM('18'!$AR$14:$AS$15)</f>
        <v>272000</v>
      </c>
      <c r="BD24" s="112">
        <f>SUM('18'!$AZ$14:$BA$15)</f>
        <v>0</v>
      </c>
      <c r="BE24" s="112">
        <f>SUM('18'!$AS$60)</f>
        <v>615000</v>
      </c>
      <c r="BF24" s="112">
        <f>SUM('18'!$AS$61)</f>
        <v>185000</v>
      </c>
      <c r="BG24" s="112">
        <f>SUM('18'!$AS$69)</f>
        <v>71500</v>
      </c>
      <c r="BH24" s="112">
        <f>SUM('18'!$AS$70)</f>
        <v>0</v>
      </c>
      <c r="BI24" s="113">
        <f>SUM('18'!$AS$62)</f>
        <v>0</v>
      </c>
      <c r="BJ24" s="113">
        <f>SUM('18'!$AS$66)</f>
        <v>497550</v>
      </c>
      <c r="BK24" s="113">
        <f>SUM('18'!$AS$67)</f>
        <v>0</v>
      </c>
      <c r="BL24" s="113">
        <f>SUM('18'!$AS$63)</f>
        <v>0</v>
      </c>
      <c r="BM24" s="113">
        <f>SUM('18'!$AS$65)</f>
        <v>0</v>
      </c>
      <c r="BN24" s="358">
        <f>SUM('18'!$AS$68)</f>
        <v>212288</v>
      </c>
      <c r="BO24" s="114">
        <f>SUM('18'!$AS$64)</f>
        <v>0</v>
      </c>
      <c r="BP24" s="115">
        <f>SUM('18'!$AM$73)</f>
        <v>0</v>
      </c>
      <c r="BQ24" s="307">
        <f>SUM('18'!$AN$73)</f>
        <v>0</v>
      </c>
      <c r="BR24" s="308">
        <f>SUM('18'!$AP$73)</f>
        <v>32</v>
      </c>
      <c r="BS24" s="96">
        <f>SUM('18'!$AS$73)</f>
        <v>1581338</v>
      </c>
      <c r="BT24" s="309">
        <f t="shared" si="13"/>
        <v>1923338</v>
      </c>
      <c r="BU24" s="115"/>
      <c r="BV24" s="109"/>
      <c r="BW24" s="110"/>
      <c r="BX24" s="262"/>
      <c r="BY24" s="290">
        <f>BX24/18</f>
        <v>0</v>
      </c>
      <c r="BZ24" s="291">
        <f t="shared" si="14"/>
        <v>0</v>
      </c>
      <c r="CA24" s="140"/>
      <c r="CB24" s="130">
        <v>18</v>
      </c>
      <c r="CC24" s="120">
        <f t="shared" si="0"/>
        <v>615000</v>
      </c>
      <c r="CD24" s="121"/>
      <c r="CE24" s="122"/>
      <c r="CF24" s="123"/>
      <c r="CG24" s="120">
        <f t="shared" si="1"/>
        <v>185000</v>
      </c>
      <c r="CH24" s="121"/>
      <c r="CI24" s="122"/>
      <c r="CJ24" s="123"/>
      <c r="CK24" s="120">
        <f t="shared" si="2"/>
        <v>0</v>
      </c>
      <c r="CL24" s="121"/>
      <c r="CM24" s="122"/>
      <c r="CN24" s="123"/>
      <c r="CO24" s="120">
        <f t="shared" si="3"/>
        <v>497550</v>
      </c>
      <c r="CP24" s="121"/>
      <c r="CQ24" s="122"/>
      <c r="CR24" s="123"/>
      <c r="CS24" s="120">
        <f t="shared" si="4"/>
        <v>0</v>
      </c>
      <c r="CT24" s="121"/>
      <c r="CU24" s="122"/>
      <c r="CV24" s="123"/>
      <c r="CW24" s="120">
        <f t="shared" si="5"/>
        <v>0</v>
      </c>
      <c r="CX24" s="121"/>
      <c r="CY24" s="122"/>
      <c r="CZ24" s="123"/>
      <c r="DA24" s="120">
        <f t="shared" si="6"/>
        <v>0</v>
      </c>
      <c r="DB24" s="121"/>
      <c r="DC24" s="122"/>
      <c r="DD24" s="123"/>
      <c r="DE24" s="120">
        <f t="shared" si="7"/>
        <v>0</v>
      </c>
      <c r="DF24" s="121"/>
      <c r="DG24" s="122"/>
      <c r="DH24" s="123"/>
      <c r="DI24" s="120">
        <f t="shared" si="8"/>
        <v>272000</v>
      </c>
      <c r="DJ24" s="121"/>
      <c r="DK24" s="122"/>
      <c r="DL24" s="123"/>
      <c r="DM24" s="120">
        <f t="shared" si="9"/>
        <v>70000</v>
      </c>
      <c r="DN24" s="121">
        <f t="shared" si="10"/>
        <v>70000</v>
      </c>
      <c r="DO24" s="122"/>
      <c r="DP24" s="123"/>
      <c r="DQ24" s="124">
        <f t="shared" si="15"/>
        <v>1639550</v>
      </c>
      <c r="DR24" s="125">
        <f t="shared" si="11"/>
        <v>70000</v>
      </c>
      <c r="DS24" s="125">
        <f t="shared" si="16"/>
        <v>1569550</v>
      </c>
      <c r="DT24" s="352">
        <v>18</v>
      </c>
      <c r="DU24" s="131"/>
      <c r="DV24" s="132"/>
      <c r="DW24" s="132"/>
      <c r="DX24" s="132"/>
      <c r="DY24" s="132"/>
      <c r="DZ24" s="132"/>
      <c r="EA24" s="132"/>
      <c r="EB24" s="133"/>
      <c r="EC24" s="133"/>
      <c r="ED24" s="129">
        <f t="shared" si="12"/>
        <v>0</v>
      </c>
    </row>
    <row r="25" spans="1:137" ht="40.5" customHeight="1" thickBot="1" x14ac:dyDescent="0.35">
      <c r="A25" s="108">
        <v>19</v>
      </c>
      <c r="B25" s="205">
        <f>SUM('19'!$AL$10:$AM$10)</f>
        <v>0</v>
      </c>
      <c r="C25" s="203">
        <f>SUM('19'!$AN$10:$AO$10)</f>
        <v>0</v>
      </c>
      <c r="D25" s="204">
        <f>SUM('19'!$AL$12:$AM$12)</f>
        <v>0</v>
      </c>
      <c r="E25" s="206">
        <f>SUM('19'!$AN$12:$AO$12)</f>
        <v>0</v>
      </c>
      <c r="F25" s="108">
        <v>19</v>
      </c>
      <c r="G25" s="208">
        <f>SUM('19'!$AP$10:$AQ$10)</f>
        <v>0</v>
      </c>
      <c r="H25" s="96">
        <f>SUM('18'!$AR$10:$AS$10)</f>
        <v>260000</v>
      </c>
      <c r="I25" s="207">
        <f>SUM('19'!$AP$12:$AQ$12)</f>
        <v>3</v>
      </c>
      <c r="J25" s="98">
        <f>SUM('19'!$AR$12:$AS$12)</f>
        <v>95000</v>
      </c>
      <c r="K25" s="108">
        <v>19</v>
      </c>
      <c r="L25" s="202">
        <f>SUM('19'!$AX$11:$AY$11)</f>
        <v>0</v>
      </c>
      <c r="M25" s="96">
        <f>SUM('19'!$AZ$11:$BA$11)</f>
        <v>0</v>
      </c>
      <c r="N25" s="207">
        <f>SUM('19'!$AX$13:$AY$13)</f>
        <v>0</v>
      </c>
      <c r="O25" s="97">
        <f>SUM('19'!$AZ$13:$BA$13)</f>
        <v>0</v>
      </c>
      <c r="P25" s="208">
        <f>SUM('19'!$AX$10:$AY$10)</f>
        <v>0</v>
      </c>
      <c r="Q25" s="96">
        <f>SUM('19'!$AZ$10:$BA$10)</f>
        <v>0</v>
      </c>
      <c r="R25" s="207">
        <f>SUM('19'!$AX$12:$AY$12)</f>
        <v>0</v>
      </c>
      <c r="S25" s="98">
        <f>SUM('19'!$AZ$12:$BA$12)</f>
        <v>0</v>
      </c>
      <c r="T25" s="108">
        <v>19</v>
      </c>
      <c r="U25" s="94">
        <f>SUM('19'!$AP$60)</f>
        <v>12</v>
      </c>
      <c r="V25" s="97">
        <f>SUM('19'!$AQ$60)</f>
        <v>1865000</v>
      </c>
      <c r="W25" s="94">
        <f>SUM('19'!$AP$61)</f>
        <v>8</v>
      </c>
      <c r="X25" s="98">
        <f>SUM('19'!$AS$61)</f>
        <v>960000</v>
      </c>
      <c r="Y25" s="94">
        <f>SUM('19'!$AP$69)</f>
        <v>0</v>
      </c>
      <c r="Z25" s="97">
        <f>SUM('19'!$AQ$69)</f>
        <v>0</v>
      </c>
      <c r="AA25" s="94">
        <f>SUM('19'!$AP$70)</f>
        <v>1</v>
      </c>
      <c r="AB25" s="98">
        <f>SUM('19'!$AQ$70)</f>
        <v>93500</v>
      </c>
      <c r="AC25" s="108">
        <v>19</v>
      </c>
      <c r="AD25" s="109">
        <f>SUM('19'!$AP$62)</f>
        <v>0</v>
      </c>
      <c r="AE25" s="110">
        <f>SUM('19'!$AQ$62)</f>
        <v>0</v>
      </c>
      <c r="AF25" s="94">
        <f>SUM('19'!$AP$66)</f>
        <v>8</v>
      </c>
      <c r="AG25" s="98">
        <f>SUM('19'!$AQ$66)</f>
        <v>924750</v>
      </c>
      <c r="AH25" s="94">
        <f>SUM('19'!$AP$65)</f>
        <v>1</v>
      </c>
      <c r="AI25" s="98">
        <f>SUM('19'!$AQ$65)</f>
        <v>254165</v>
      </c>
      <c r="AJ25" s="94">
        <f>SUM('19'!$AP$63)</f>
        <v>0</v>
      </c>
      <c r="AK25" s="98">
        <f>SUM('19'!$AQ$63)</f>
        <v>0</v>
      </c>
      <c r="AL25" s="94">
        <f>SUM('19'!$AP$64)</f>
        <v>0</v>
      </c>
      <c r="AM25" s="98">
        <f>SUM('19'!$AQ$64)</f>
        <v>0</v>
      </c>
      <c r="AN25" s="94">
        <f>SUM('19'!$AP$67)</f>
        <v>7</v>
      </c>
      <c r="AO25" s="98">
        <f>SUM('19'!$AQ$67)</f>
        <v>1155195</v>
      </c>
      <c r="AP25" s="94">
        <f>SUM('19'!$AP$68)</f>
        <v>0</v>
      </c>
      <c r="AQ25" s="98">
        <f>SUM('19'!$AQ$68)</f>
        <v>0</v>
      </c>
      <c r="AR25" s="108">
        <v>19</v>
      </c>
      <c r="AS25" s="94"/>
      <c r="AT25" s="94"/>
      <c r="AU25" s="94"/>
      <c r="AV25" s="94"/>
      <c r="AW25" s="94"/>
      <c r="AX25" s="350"/>
      <c r="AY25" s="211"/>
      <c r="AZ25" s="209"/>
      <c r="BA25" s="108">
        <v>19</v>
      </c>
      <c r="BB25" s="111">
        <f>SUM('19'!$AN$14:$AO$15)</f>
        <v>2000</v>
      </c>
      <c r="BC25" s="112">
        <f>SUM('19'!$AR$14:$AS$15)</f>
        <v>101000</v>
      </c>
      <c r="BD25" s="112">
        <f>SUM('19'!$AZ$14:$BA$15)</f>
        <v>0</v>
      </c>
      <c r="BE25" s="112">
        <f>SUM('19'!$AS$60)</f>
        <v>1865000</v>
      </c>
      <c r="BF25" s="112">
        <f>SUM('19'!$AS$61)</f>
        <v>960000</v>
      </c>
      <c r="BG25" s="112">
        <f>SUM('19'!$AS$69)</f>
        <v>0</v>
      </c>
      <c r="BH25" s="112">
        <f>SUM('19'!$AS$70)</f>
        <v>93500</v>
      </c>
      <c r="BI25" s="113">
        <f>SUM('19'!$AS$62)</f>
        <v>0</v>
      </c>
      <c r="BJ25" s="113">
        <f>SUM('19'!$AS$66)</f>
        <v>924750</v>
      </c>
      <c r="BK25" s="113">
        <f>SUM('19'!$AS$67)</f>
        <v>1155195</v>
      </c>
      <c r="BL25" s="113">
        <f>SUM('19'!$AS$63)</f>
        <v>0</v>
      </c>
      <c r="BM25" s="113">
        <f>SUM('19'!$AS$65)</f>
        <v>254165</v>
      </c>
      <c r="BN25" s="358">
        <f>SUM('19'!$AS$68)</f>
        <v>0</v>
      </c>
      <c r="BO25" s="114">
        <f>SUM('19'!$AS$64)</f>
        <v>0</v>
      </c>
      <c r="BP25" s="115">
        <f>SUM('19'!$AM$73)</f>
        <v>0</v>
      </c>
      <c r="BQ25" s="307">
        <f>SUM('19'!$AN$73)</f>
        <v>0</v>
      </c>
      <c r="BR25" s="308">
        <f>SUM('19'!$AP$73)</f>
        <v>37</v>
      </c>
      <c r="BS25" s="96">
        <f>SUM('19'!$AS$73)</f>
        <v>5252610</v>
      </c>
      <c r="BT25" s="309">
        <f t="shared" si="13"/>
        <v>5355610</v>
      </c>
      <c r="BU25" s="115"/>
      <c r="BV25" s="109"/>
      <c r="BW25" s="110"/>
      <c r="BX25" s="262"/>
      <c r="BY25" s="290">
        <f>BX25/19</f>
        <v>0</v>
      </c>
      <c r="BZ25" s="291">
        <f t="shared" si="14"/>
        <v>0</v>
      </c>
      <c r="CB25" s="134">
        <v>19</v>
      </c>
      <c r="CC25" s="120">
        <f t="shared" si="0"/>
        <v>1865000</v>
      </c>
      <c r="CD25" s="121"/>
      <c r="CE25" s="122"/>
      <c r="CF25" s="123"/>
      <c r="CG25" s="120">
        <f t="shared" si="1"/>
        <v>960000</v>
      </c>
      <c r="CH25" s="121"/>
      <c r="CI25" s="122"/>
      <c r="CJ25" s="123"/>
      <c r="CK25" s="120">
        <f t="shared" si="2"/>
        <v>0</v>
      </c>
      <c r="CL25" s="121"/>
      <c r="CM25" s="122"/>
      <c r="CN25" s="123"/>
      <c r="CO25" s="120">
        <f t="shared" si="3"/>
        <v>924750</v>
      </c>
      <c r="CP25" s="121"/>
      <c r="CQ25" s="122"/>
      <c r="CR25" s="123"/>
      <c r="CS25" s="120">
        <f t="shared" si="4"/>
        <v>1155195</v>
      </c>
      <c r="CT25" s="121"/>
      <c r="CU25" s="122"/>
      <c r="CV25" s="123"/>
      <c r="CW25" s="120">
        <f t="shared" si="5"/>
        <v>0</v>
      </c>
      <c r="CX25" s="121"/>
      <c r="CY25" s="122"/>
      <c r="CZ25" s="123"/>
      <c r="DA25" s="120">
        <f t="shared" si="6"/>
        <v>254165</v>
      </c>
      <c r="DB25" s="121"/>
      <c r="DC25" s="122"/>
      <c r="DD25" s="123"/>
      <c r="DE25" s="120">
        <f t="shared" si="7"/>
        <v>0</v>
      </c>
      <c r="DF25" s="121"/>
      <c r="DG25" s="122"/>
      <c r="DH25" s="123"/>
      <c r="DI25" s="120">
        <f t="shared" si="8"/>
        <v>101000</v>
      </c>
      <c r="DJ25" s="121"/>
      <c r="DK25" s="122"/>
      <c r="DL25" s="123"/>
      <c r="DM25" s="120">
        <f t="shared" si="9"/>
        <v>2000</v>
      </c>
      <c r="DN25" s="121">
        <f t="shared" si="10"/>
        <v>2000</v>
      </c>
      <c r="DO25" s="122"/>
      <c r="DP25" s="123"/>
      <c r="DQ25" s="124">
        <f t="shared" si="15"/>
        <v>5262110</v>
      </c>
      <c r="DR25" s="125">
        <f t="shared" si="11"/>
        <v>2000</v>
      </c>
      <c r="DS25" s="125">
        <f t="shared" si="16"/>
        <v>5260110</v>
      </c>
      <c r="DT25" s="135">
        <v>19</v>
      </c>
      <c r="DU25" s="131"/>
      <c r="DV25" s="132"/>
      <c r="DW25" s="132"/>
      <c r="DX25" s="132"/>
      <c r="DY25" s="132"/>
      <c r="DZ25" s="132"/>
      <c r="EA25" s="132"/>
      <c r="EB25" s="133"/>
      <c r="EC25" s="133"/>
      <c r="ED25" s="129">
        <f t="shared" si="12"/>
        <v>0</v>
      </c>
      <c r="EE25" s="913"/>
      <c r="EF25" s="914"/>
      <c r="EG25" s="914"/>
    </row>
    <row r="26" spans="1:137" ht="40.5" customHeight="1" thickBot="1" x14ac:dyDescent="0.35">
      <c r="A26" s="108">
        <v>20</v>
      </c>
      <c r="B26" s="205">
        <f>SUM('20'!$AL$10:$AM$10)</f>
        <v>0</v>
      </c>
      <c r="C26" s="203">
        <f>SUM('20'!$AN$10:$AO$10)</f>
        <v>0</v>
      </c>
      <c r="D26" s="204">
        <f>SUM('20'!$AL$12:$AM$12)</f>
        <v>0</v>
      </c>
      <c r="E26" s="206">
        <f>SUM('20'!$AN$12:$AO$12)</f>
        <v>0</v>
      </c>
      <c r="F26" s="108">
        <v>20</v>
      </c>
      <c r="G26" s="208">
        <f>SUM('20'!$AP$10:$AQ$10)</f>
        <v>0</v>
      </c>
      <c r="H26" s="96">
        <f>SUM('19'!$AR$10:$AS$10)</f>
        <v>0</v>
      </c>
      <c r="I26" s="207">
        <f>SUM('20'!$AP$12:$AQ$12)</f>
        <v>0</v>
      </c>
      <c r="J26" s="98">
        <f>SUM('20'!$AR$12:$AS$12)</f>
        <v>0</v>
      </c>
      <c r="K26" s="108">
        <v>20</v>
      </c>
      <c r="L26" s="202">
        <f>SUM('20'!$AX$11:$AY$11)</f>
        <v>0</v>
      </c>
      <c r="M26" s="96">
        <f>SUM('20'!$AZ$11:$BA$11)</f>
        <v>0</v>
      </c>
      <c r="N26" s="207">
        <f>SUM('20'!$AX$13:$AY$13)</f>
        <v>0</v>
      </c>
      <c r="O26" s="97">
        <f>SUM('20'!$AZ$13:$BA$13)</f>
        <v>0</v>
      </c>
      <c r="P26" s="208">
        <f>SUM('20'!$AX$10:$AY$10)</f>
        <v>0</v>
      </c>
      <c r="Q26" s="96">
        <f>SUM('20'!$AZ$10:$BA$10)</f>
        <v>0</v>
      </c>
      <c r="R26" s="207">
        <f>SUM('20'!$AX$12:$AY$12)</f>
        <v>1</v>
      </c>
      <c r="S26" s="98">
        <f>SUM('20'!$AZ$12:$BA$12)</f>
        <v>20000</v>
      </c>
      <c r="T26" s="108">
        <v>20</v>
      </c>
      <c r="U26" s="94">
        <f>SUM('20'!$AP$60)</f>
        <v>13</v>
      </c>
      <c r="V26" s="97">
        <f>SUM('20'!$AQ$60)</f>
        <v>1295000</v>
      </c>
      <c r="W26" s="94">
        <f>SUM('20'!$AP$61)</f>
        <v>9</v>
      </c>
      <c r="X26" s="98">
        <f>SUM('20'!$AS$61)</f>
        <v>915000</v>
      </c>
      <c r="Y26" s="94">
        <f>SUM('20'!$AP$69)</f>
        <v>0</v>
      </c>
      <c r="Z26" s="97">
        <f>SUM('20'!$AQ$69)</f>
        <v>0</v>
      </c>
      <c r="AA26" s="94">
        <f>SUM('20'!$AP$70)</f>
        <v>1</v>
      </c>
      <c r="AB26" s="98">
        <f>SUM('20'!$AQ$70)</f>
        <v>143000</v>
      </c>
      <c r="AC26" s="108">
        <v>20</v>
      </c>
      <c r="AD26" s="109">
        <f>SUM('20'!$AP$62)</f>
        <v>2</v>
      </c>
      <c r="AE26" s="110">
        <f>SUM('20'!$AQ$62)</f>
        <v>280000</v>
      </c>
      <c r="AF26" s="94">
        <f>SUM('20'!$AP$66)</f>
        <v>4</v>
      </c>
      <c r="AG26" s="98">
        <f>SUM('20'!$AQ$66)</f>
        <v>255000</v>
      </c>
      <c r="AH26" s="94">
        <f>SUM('20'!$AP$65)</f>
        <v>1</v>
      </c>
      <c r="AI26" s="98">
        <f>SUM('20'!$AQ$65)</f>
        <v>0</v>
      </c>
      <c r="AJ26" s="94">
        <f>SUM('20'!$AP$63)</f>
        <v>0</v>
      </c>
      <c r="AK26" s="98">
        <f>SUM('20'!$AQ$63)</f>
        <v>0</v>
      </c>
      <c r="AL26" s="94">
        <f>SUM('20'!$AP$64)</f>
        <v>0</v>
      </c>
      <c r="AM26" s="98">
        <f>SUM('20'!$AQ$64)</f>
        <v>0</v>
      </c>
      <c r="AN26" s="94">
        <f>SUM('20'!$AP$67)</f>
        <v>11</v>
      </c>
      <c r="AO26" s="98">
        <f>SUM('20'!$AQ$67)</f>
        <v>704840</v>
      </c>
      <c r="AP26" s="94">
        <f>SUM('20'!$AP$68)</f>
        <v>1</v>
      </c>
      <c r="AQ26" s="98">
        <f>SUM('20'!$AQ$68)</f>
        <v>180625</v>
      </c>
      <c r="AR26" s="108">
        <v>20</v>
      </c>
      <c r="AS26" s="94"/>
      <c r="AU26" s="94"/>
      <c r="AV26" s="94"/>
      <c r="AW26" s="94"/>
      <c r="AX26" s="350"/>
      <c r="AY26" s="211"/>
      <c r="AZ26" s="209"/>
      <c r="BA26" s="108">
        <v>20</v>
      </c>
      <c r="BB26" s="111">
        <f>SUM('20'!$AN$14:$AO$15)</f>
        <v>2000</v>
      </c>
      <c r="BC26" s="112">
        <f>SUM('20'!$AR$14:$AS$15)</f>
        <v>2000</v>
      </c>
      <c r="BD26" s="112">
        <f>SUM('20'!$AZ$14:$BA$15)</f>
        <v>20000</v>
      </c>
      <c r="BE26" s="112">
        <f>SUM('20'!$AS$60)</f>
        <v>1295000</v>
      </c>
      <c r="BF26" s="112">
        <f>SUM('20'!$AS$61)</f>
        <v>915000</v>
      </c>
      <c r="BG26" s="112">
        <f>SUM('20'!$AS$69)</f>
        <v>0</v>
      </c>
      <c r="BH26" s="112">
        <f>SUM('20'!$AS$70)</f>
        <v>143000</v>
      </c>
      <c r="BI26" s="113">
        <f>SUM('20'!$AS$62)</f>
        <v>280000</v>
      </c>
      <c r="BJ26" s="113">
        <f>SUM('20'!$AS$66)</f>
        <v>255000</v>
      </c>
      <c r="BK26" s="113">
        <f>SUM('20'!$AS$67)</f>
        <v>704840</v>
      </c>
      <c r="BL26" s="113">
        <f>SUM('20'!$AS$63)</f>
        <v>0</v>
      </c>
      <c r="BM26" s="113">
        <f>SUM('20'!$AS$65)</f>
        <v>0</v>
      </c>
      <c r="BN26" s="358">
        <f>SUM('20'!$AS$68)</f>
        <v>180625</v>
      </c>
      <c r="BO26" s="114">
        <f>SUM('20'!$AS$64)</f>
        <v>0</v>
      </c>
      <c r="BP26" s="115">
        <f>SUM('20'!$AM$73)</f>
        <v>0</v>
      </c>
      <c r="BQ26" s="307">
        <f>SUM('20'!$AN$73)</f>
        <v>0</v>
      </c>
      <c r="BR26" s="308">
        <f>SUM('20'!$AP$73)</f>
        <v>42</v>
      </c>
      <c r="BS26" s="96">
        <f>SUM('20'!$AS$73)</f>
        <v>3773465</v>
      </c>
      <c r="BT26" s="309">
        <f t="shared" si="13"/>
        <v>3797465</v>
      </c>
      <c r="BU26" s="115"/>
      <c r="BV26" s="141"/>
      <c r="BW26" s="110"/>
      <c r="BX26" s="262"/>
      <c r="BY26" s="290">
        <f>BX26/20</f>
        <v>0</v>
      </c>
      <c r="BZ26" s="291">
        <f t="shared" si="14"/>
        <v>0</v>
      </c>
      <c r="CB26" s="136">
        <v>20</v>
      </c>
      <c r="CC26" s="120">
        <f t="shared" si="0"/>
        <v>1295000</v>
      </c>
      <c r="CD26" s="121"/>
      <c r="CE26" s="122"/>
      <c r="CF26" s="123"/>
      <c r="CG26" s="120">
        <f t="shared" si="1"/>
        <v>915000</v>
      </c>
      <c r="CH26" s="121"/>
      <c r="CI26" s="122"/>
      <c r="CJ26" s="123"/>
      <c r="CK26" s="120">
        <f t="shared" si="2"/>
        <v>280000</v>
      </c>
      <c r="CL26" s="121"/>
      <c r="CM26" s="122"/>
      <c r="CN26" s="123"/>
      <c r="CO26" s="120">
        <f t="shared" si="3"/>
        <v>255000</v>
      </c>
      <c r="CP26" s="121"/>
      <c r="CQ26" s="122"/>
      <c r="CR26" s="123"/>
      <c r="CS26" s="120">
        <f t="shared" si="4"/>
        <v>704840</v>
      </c>
      <c r="CT26" s="121"/>
      <c r="CU26" s="122"/>
      <c r="CV26" s="123"/>
      <c r="CW26" s="120">
        <f t="shared" si="5"/>
        <v>0</v>
      </c>
      <c r="CX26" s="121"/>
      <c r="CY26" s="122"/>
      <c r="CZ26" s="123"/>
      <c r="DA26" s="120">
        <f t="shared" si="6"/>
        <v>0</v>
      </c>
      <c r="DB26" s="121"/>
      <c r="DC26" s="122"/>
      <c r="DD26" s="123"/>
      <c r="DE26" s="120">
        <f t="shared" si="7"/>
        <v>0</v>
      </c>
      <c r="DF26" s="121"/>
      <c r="DG26" s="122"/>
      <c r="DH26" s="123"/>
      <c r="DI26" s="120">
        <f t="shared" si="8"/>
        <v>2000</v>
      </c>
      <c r="DJ26" s="121"/>
      <c r="DK26" s="122"/>
      <c r="DL26" s="123"/>
      <c r="DM26" s="120">
        <f t="shared" si="9"/>
        <v>22000</v>
      </c>
      <c r="DN26" s="121">
        <f t="shared" si="10"/>
        <v>22000</v>
      </c>
      <c r="DO26" s="122"/>
      <c r="DP26" s="123"/>
      <c r="DQ26" s="124">
        <f t="shared" si="15"/>
        <v>3473840</v>
      </c>
      <c r="DR26" s="125">
        <f t="shared" si="11"/>
        <v>22000</v>
      </c>
      <c r="DS26" s="125">
        <f t="shared" si="16"/>
        <v>3451840</v>
      </c>
      <c r="DT26" s="137">
        <v>20</v>
      </c>
      <c r="DU26" s="131"/>
      <c r="DV26" s="132"/>
      <c r="DW26" s="132"/>
      <c r="DX26" s="132"/>
      <c r="DY26" s="132"/>
      <c r="DZ26" s="132"/>
      <c r="EA26" s="132"/>
      <c r="EB26" s="133"/>
      <c r="EC26" s="133"/>
      <c r="ED26" s="129">
        <f t="shared" si="12"/>
        <v>0</v>
      </c>
      <c r="EE26" s="913"/>
      <c r="EF26" s="914"/>
      <c r="EG26" s="914"/>
    </row>
    <row r="27" spans="1:137" ht="40.5" customHeight="1" thickBot="1" x14ac:dyDescent="0.35">
      <c r="A27" s="108">
        <v>21</v>
      </c>
      <c r="B27" s="205">
        <f>SUM('21'!$AL$10:$AM$10)</f>
        <v>0</v>
      </c>
      <c r="C27" s="203">
        <f>SUM('21'!$AN$10:$AO$10)</f>
        <v>0</v>
      </c>
      <c r="D27" s="204">
        <f>SUM('21'!$AL$12:$AM$12)</f>
        <v>1</v>
      </c>
      <c r="E27" s="206">
        <f>SUM('21'!$AN$12:$AO$12)</f>
        <v>10000</v>
      </c>
      <c r="F27" s="108">
        <v>21</v>
      </c>
      <c r="G27" s="208">
        <f>SUM('21'!$AP$10:$AQ$10)</f>
        <v>1</v>
      </c>
      <c r="H27" s="96">
        <f>SUM('20'!$AR$10:$AS$10)</f>
        <v>0</v>
      </c>
      <c r="I27" s="207">
        <f>SUM('21'!$AP$12:$AQ$12)</f>
        <v>1</v>
      </c>
      <c r="J27" s="98">
        <f>SUM('21'!$AR$12:$AS$12)</f>
        <v>20000</v>
      </c>
      <c r="K27" s="108">
        <v>21</v>
      </c>
      <c r="L27" s="202">
        <f>SUM('21'!$AX$11:$AY$11)</f>
        <v>0</v>
      </c>
      <c r="M27" s="96">
        <f>SUM('21'!$AZ$11:$BA$11)</f>
        <v>0</v>
      </c>
      <c r="N27" s="207">
        <f>SUM('21'!$AX$13:$AY$13)</f>
        <v>0</v>
      </c>
      <c r="O27" s="97">
        <f>SUM('21'!$AZ$13:$BA$13)</f>
        <v>0</v>
      </c>
      <c r="P27" s="208">
        <f>SUM('21'!$AX$10:$AY$10)</f>
        <v>0</v>
      </c>
      <c r="Q27" s="96">
        <f>SUM('21'!$AZ$10:$BA$10)</f>
        <v>0</v>
      </c>
      <c r="R27" s="207">
        <f>SUM('21'!$AX$12:$AY$12)</f>
        <v>0</v>
      </c>
      <c r="S27" s="98">
        <f>SUM('21'!$AZ$12:$BA$12)</f>
        <v>0</v>
      </c>
      <c r="T27" s="108">
        <v>21</v>
      </c>
      <c r="U27" s="94">
        <f>SUM('21'!$AP$60)</f>
        <v>6</v>
      </c>
      <c r="V27" s="97">
        <f>SUM('21'!$AQ$60)</f>
        <v>485000</v>
      </c>
      <c r="W27" s="94">
        <f>SUM('21'!$AP$61)</f>
        <v>6</v>
      </c>
      <c r="X27" s="98">
        <f>SUM('21'!$AS$61)</f>
        <v>425000</v>
      </c>
      <c r="Y27" s="94">
        <f>SUM('21'!$AP$69)</f>
        <v>4</v>
      </c>
      <c r="Z27" s="97">
        <f>SUM('21'!$AQ$69)</f>
        <v>1622500</v>
      </c>
      <c r="AA27" s="94">
        <f>SUM('21'!$AP$70)</f>
        <v>0</v>
      </c>
      <c r="AB27" s="98">
        <f>SUM('21'!$AQ$70)</f>
        <v>0</v>
      </c>
      <c r="AC27" s="108">
        <v>21</v>
      </c>
      <c r="AD27" s="109">
        <f>SUM('21'!$AP$62)</f>
        <v>1</v>
      </c>
      <c r="AE27" s="110">
        <f>SUM('21'!$AQ$62)</f>
        <v>65000</v>
      </c>
      <c r="AF27" s="94">
        <f>SUM('21'!$AP$66)</f>
        <v>4</v>
      </c>
      <c r="AG27" s="98">
        <f>SUM('21'!$AQ$66)</f>
        <v>471900</v>
      </c>
      <c r="AH27" s="94">
        <f>SUM('21'!$AP$65)</f>
        <v>1</v>
      </c>
      <c r="AI27" s="98">
        <f>SUM('21'!$AQ$65)</f>
        <v>157698</v>
      </c>
      <c r="AJ27" s="94">
        <f>SUM('21'!$AP$63)</f>
        <v>0</v>
      </c>
      <c r="AK27" s="98">
        <f>SUM('21'!$AQ$63)</f>
        <v>0</v>
      </c>
      <c r="AL27" s="94">
        <f>SUM('21'!$AP$64)</f>
        <v>0</v>
      </c>
      <c r="AM27" s="98">
        <f>SUM('21'!$AQ$64)</f>
        <v>0</v>
      </c>
      <c r="AN27" s="94">
        <f>SUM('21'!$AP$67)</f>
        <v>4</v>
      </c>
      <c r="AO27" s="98">
        <f>SUM('21'!$AQ$67)</f>
        <v>136482</v>
      </c>
      <c r="AP27" s="94">
        <f>SUM('21'!$AP$68)</f>
        <v>2</v>
      </c>
      <c r="AQ27" s="98">
        <f>SUM('21'!$AQ$68)</f>
        <v>383989</v>
      </c>
      <c r="AR27" s="108">
        <v>21</v>
      </c>
      <c r="AS27" s="94"/>
      <c r="AT27" s="94"/>
      <c r="AU27" s="94"/>
      <c r="AV27" s="94"/>
      <c r="AW27" s="94"/>
      <c r="AX27" s="350"/>
      <c r="AY27" s="211"/>
      <c r="AZ27" s="209"/>
      <c r="BA27" s="108">
        <v>21</v>
      </c>
      <c r="BB27" s="111">
        <f>SUM('21'!$AN$14:$AO$15)</f>
        <v>12000</v>
      </c>
      <c r="BC27" s="112">
        <f>SUM('21'!$AR$14:$AS$15)</f>
        <v>87000</v>
      </c>
      <c r="BD27" s="112">
        <f>SUM('21'!$AZ$14:$BA$15)</f>
        <v>0</v>
      </c>
      <c r="BE27" s="112">
        <f>SUM('21'!$AS$60)</f>
        <v>485000</v>
      </c>
      <c r="BF27" s="112">
        <f>SUM('21'!$AS$61)</f>
        <v>425000</v>
      </c>
      <c r="BG27" s="112">
        <f>SUM('21'!$AS$69)</f>
        <v>1622500</v>
      </c>
      <c r="BH27" s="112">
        <f>SUM('21'!$AS$70)</f>
        <v>0</v>
      </c>
      <c r="BI27" s="113">
        <f>SUM('21'!$AS$62)</f>
        <v>65000</v>
      </c>
      <c r="BJ27" s="113">
        <f>SUM('21'!$AS$66)</f>
        <v>471900</v>
      </c>
      <c r="BK27" s="113">
        <f>SUM('21'!$AS$67)</f>
        <v>136482</v>
      </c>
      <c r="BL27" s="113">
        <f>SUM('21'!$AS$63)</f>
        <v>0</v>
      </c>
      <c r="BM27" s="113">
        <f>SUM('21'!$AS$65)</f>
        <v>157698</v>
      </c>
      <c r="BN27" s="358">
        <f>SUM('21'!$AS$68)</f>
        <v>383989</v>
      </c>
      <c r="BO27" s="114">
        <f>SUM('21'!$AS$64)</f>
        <v>0</v>
      </c>
      <c r="BP27" s="115">
        <f>SUM('21'!$AM$73)</f>
        <v>0</v>
      </c>
      <c r="BQ27" s="307">
        <f>SUM('21'!$AN$73)</f>
        <v>0</v>
      </c>
      <c r="BR27" s="308">
        <f>SUM('21'!$AP$73)</f>
        <v>28</v>
      </c>
      <c r="BS27" s="96">
        <f>SUM('21'!$AS$73)</f>
        <v>3747569</v>
      </c>
      <c r="BT27" s="309">
        <f t="shared" si="13"/>
        <v>3846569</v>
      </c>
      <c r="BU27" s="115"/>
      <c r="BV27" s="141"/>
      <c r="BW27" s="110"/>
      <c r="BX27" s="262"/>
      <c r="BY27" s="290">
        <f>BX27/21</f>
        <v>0</v>
      </c>
      <c r="BZ27" s="291">
        <f t="shared" si="14"/>
        <v>0</v>
      </c>
      <c r="CB27" s="130">
        <v>21</v>
      </c>
      <c r="CC27" s="120">
        <f t="shared" si="0"/>
        <v>485000</v>
      </c>
      <c r="CD27" s="121"/>
      <c r="CE27" s="122"/>
      <c r="CF27" s="123"/>
      <c r="CG27" s="120">
        <f t="shared" si="1"/>
        <v>425000</v>
      </c>
      <c r="CH27" s="121"/>
      <c r="CI27" s="122"/>
      <c r="CJ27" s="123"/>
      <c r="CK27" s="120">
        <f t="shared" si="2"/>
        <v>65000</v>
      </c>
      <c r="CL27" s="121"/>
      <c r="CM27" s="122"/>
      <c r="CN27" s="123"/>
      <c r="CO27" s="120">
        <f t="shared" si="3"/>
        <v>471900</v>
      </c>
      <c r="CP27" s="121"/>
      <c r="CQ27" s="122"/>
      <c r="CR27" s="123"/>
      <c r="CS27" s="120">
        <f t="shared" si="4"/>
        <v>136482</v>
      </c>
      <c r="CT27" s="121"/>
      <c r="CU27" s="122"/>
      <c r="CV27" s="123"/>
      <c r="CW27" s="120">
        <f t="shared" si="5"/>
        <v>0</v>
      </c>
      <c r="CX27" s="121"/>
      <c r="CY27" s="122"/>
      <c r="CZ27" s="123"/>
      <c r="DA27" s="120">
        <f t="shared" si="6"/>
        <v>157698</v>
      </c>
      <c r="DB27" s="121"/>
      <c r="DC27" s="122"/>
      <c r="DD27" s="123"/>
      <c r="DE27" s="120">
        <f t="shared" si="7"/>
        <v>0</v>
      </c>
      <c r="DF27" s="121"/>
      <c r="DG27" s="122"/>
      <c r="DH27" s="123"/>
      <c r="DI27" s="120">
        <f t="shared" si="8"/>
        <v>87000</v>
      </c>
      <c r="DJ27" s="121"/>
      <c r="DK27" s="122"/>
      <c r="DL27" s="123"/>
      <c r="DM27" s="120">
        <f t="shared" si="9"/>
        <v>12000</v>
      </c>
      <c r="DN27" s="121">
        <f t="shared" si="10"/>
        <v>12000</v>
      </c>
      <c r="DO27" s="122"/>
      <c r="DP27" s="123"/>
      <c r="DQ27" s="124">
        <f t="shared" si="15"/>
        <v>1840080</v>
      </c>
      <c r="DR27" s="125">
        <f t="shared" si="11"/>
        <v>12000</v>
      </c>
      <c r="DS27" s="125">
        <f t="shared" si="16"/>
        <v>1828080</v>
      </c>
      <c r="DT27" s="352">
        <v>21</v>
      </c>
      <c r="DU27" s="131"/>
      <c r="DV27" s="132"/>
      <c r="DW27" s="132"/>
      <c r="DX27" s="132"/>
      <c r="DY27" s="132"/>
      <c r="DZ27" s="132"/>
      <c r="EA27" s="132"/>
      <c r="EB27" s="133"/>
      <c r="EC27" s="133"/>
      <c r="ED27" s="129">
        <f t="shared" si="12"/>
        <v>0</v>
      </c>
    </row>
    <row r="28" spans="1:137" ht="40.5" customHeight="1" thickBot="1" x14ac:dyDescent="0.35">
      <c r="A28" s="108">
        <v>22</v>
      </c>
      <c r="B28" s="205">
        <f>SUM('22'!$AL$10:$AM$10)</f>
        <v>0</v>
      </c>
      <c r="C28" s="203">
        <f>SUM('22'!$AN$10:$AO$10)</f>
        <v>0</v>
      </c>
      <c r="D28" s="204">
        <f>SUM('22'!$AL$12:$AM$12)</f>
        <v>0</v>
      </c>
      <c r="E28" s="206">
        <f>SUM('22'!$AN$12:$AO$12)</f>
        <v>0</v>
      </c>
      <c r="F28" s="108">
        <v>22</v>
      </c>
      <c r="G28" s="208">
        <f>SUM('22'!$AP$10:$AQ$10)</f>
        <v>3</v>
      </c>
      <c r="H28" s="96">
        <f>SUM('22'!$AR$10:$AS$10)</f>
        <v>205000</v>
      </c>
      <c r="I28" s="207">
        <f>SUM('22'!$AP$12:$AQ$12)</f>
        <v>1</v>
      </c>
      <c r="J28" s="98">
        <f>SUM('22'!$AR$12:$AS$12)</f>
        <v>45000</v>
      </c>
      <c r="K28" s="108">
        <v>22</v>
      </c>
      <c r="L28" s="202">
        <f>SUM('22'!$AX$11:$AY$11)</f>
        <v>0</v>
      </c>
      <c r="M28" s="96">
        <f>SUM('22'!$AZ$11:$BA$11)</f>
        <v>0</v>
      </c>
      <c r="N28" s="207">
        <f>SUM('22'!$AX$13:$AY$13)</f>
        <v>0</v>
      </c>
      <c r="O28" s="97">
        <f>SUM('22'!$AZ$13:$BA$13)</f>
        <v>0</v>
      </c>
      <c r="P28" s="208">
        <f>SUM('22'!$AX$10:$AY$10)</f>
        <v>0</v>
      </c>
      <c r="Q28" s="96">
        <f>SUM('22'!$AZ$10:$BA$10)</f>
        <v>0</v>
      </c>
      <c r="R28" s="207">
        <f>SUM('22'!$AX$12:$AY$12)</f>
        <v>0</v>
      </c>
      <c r="S28" s="98">
        <f>SUM('22'!$AZ$12:$BA$12)</f>
        <v>0</v>
      </c>
      <c r="T28" s="108">
        <v>22</v>
      </c>
      <c r="U28" s="94">
        <f>SUM('22'!$AP$60)</f>
        <v>4</v>
      </c>
      <c r="V28" s="97">
        <f>SUM('22'!$AQ$60)</f>
        <v>270000</v>
      </c>
      <c r="W28" s="94">
        <f>SUM('22'!$AP$61)</f>
        <v>2</v>
      </c>
      <c r="X28" s="98">
        <f>SUM('22'!$AS$61)</f>
        <v>70000</v>
      </c>
      <c r="Y28" s="94">
        <f>SUM('22'!$AP$69)</f>
        <v>6</v>
      </c>
      <c r="Z28" s="97">
        <f>SUM('22'!$AQ$69)</f>
        <v>308000</v>
      </c>
      <c r="AA28" s="94">
        <f>SUM('22'!$AP$70)</f>
        <v>0</v>
      </c>
      <c r="AB28" s="98">
        <f>SUM('22'!$AQ$70)</f>
        <v>0</v>
      </c>
      <c r="AC28" s="108">
        <v>22</v>
      </c>
      <c r="AD28" s="109">
        <f>SUM('22'!$AP$62)</f>
        <v>0</v>
      </c>
      <c r="AE28" s="110">
        <f>SUM('22'!$AQ$62)</f>
        <v>0</v>
      </c>
      <c r="AF28" s="94">
        <f>SUM('22'!$AP$66)</f>
        <v>5</v>
      </c>
      <c r="AG28" s="98">
        <f>SUM('22'!$AQ$66)</f>
        <v>1354500</v>
      </c>
      <c r="AH28" s="94">
        <f>SUM('22'!$AP$65)</f>
        <v>1</v>
      </c>
      <c r="AI28" s="98">
        <f>SUM('22'!$AQ$65)</f>
        <v>0</v>
      </c>
      <c r="AJ28" s="94">
        <f>SUM('22'!$AP$63)</f>
        <v>0</v>
      </c>
      <c r="AK28" s="98">
        <f>SUM('22'!$AQ$63)</f>
        <v>0</v>
      </c>
      <c r="AL28" s="94">
        <f>SUM('22'!$AP$64)</f>
        <v>0</v>
      </c>
      <c r="AM28" s="98">
        <f>SUM('22'!$AQ$64)</f>
        <v>0</v>
      </c>
      <c r="AN28" s="94">
        <f>SUM('22'!$AP$67)</f>
        <v>2</v>
      </c>
      <c r="AO28" s="98">
        <f>SUM('22'!$AQ$67)</f>
        <v>145572</v>
      </c>
      <c r="AP28" s="94">
        <f>SUM('22'!$AP$68)</f>
        <v>1</v>
      </c>
      <c r="AQ28" s="98">
        <f>SUM('22'!$AQ$68)</f>
        <v>0</v>
      </c>
      <c r="AR28" s="108">
        <v>22</v>
      </c>
      <c r="AS28" s="94"/>
      <c r="AT28" s="94"/>
      <c r="AU28" s="94"/>
      <c r="AV28" s="94"/>
      <c r="AW28" s="94"/>
      <c r="AX28" s="350"/>
      <c r="AY28" s="211"/>
      <c r="AZ28" s="209"/>
      <c r="BA28" s="108">
        <v>22</v>
      </c>
      <c r="BB28" s="111">
        <f>SUM('22'!$AN$14:$AO$15)</f>
        <v>2000</v>
      </c>
      <c r="BC28" s="112">
        <f>SUM('22'!$AR$14:$AS$15)</f>
        <v>252000</v>
      </c>
      <c r="BD28" s="112">
        <f>SUM('22'!$AZ$14:$BA$15)</f>
        <v>0</v>
      </c>
      <c r="BE28" s="112">
        <f>SUM('22'!$AS$60)</f>
        <v>270000</v>
      </c>
      <c r="BF28" s="112">
        <f>SUM('22'!$AS$61)</f>
        <v>70000</v>
      </c>
      <c r="BG28" s="112">
        <f>SUM('22'!$AS$69)</f>
        <v>308000</v>
      </c>
      <c r="BH28" s="112">
        <f>SUM('22'!$AS$70)</f>
        <v>0</v>
      </c>
      <c r="BI28" s="113">
        <f>SUM('22'!$AS$62)</f>
        <v>0</v>
      </c>
      <c r="BJ28" s="113">
        <f>SUM('22'!$AS$66)</f>
        <v>1354500</v>
      </c>
      <c r="BK28" s="113">
        <f>SUM('22'!$AS$67)</f>
        <v>145572</v>
      </c>
      <c r="BL28" s="113">
        <f>SUM('22'!$AS$63)</f>
        <v>0</v>
      </c>
      <c r="BM28" s="113">
        <f>SUM('22'!$AS$65)</f>
        <v>0</v>
      </c>
      <c r="BN28" s="358">
        <f>SUM('22'!$AS$68)</f>
        <v>0</v>
      </c>
      <c r="BO28" s="114">
        <f>SUM('22'!$AS$64)</f>
        <v>0</v>
      </c>
      <c r="BP28" s="115">
        <f>SUM('22'!$AM$73)</f>
        <v>0</v>
      </c>
      <c r="BQ28" s="307">
        <f>SUM('22'!$AN$73)</f>
        <v>0</v>
      </c>
      <c r="BR28" s="308">
        <f>SUM('22'!$AP$73)</f>
        <v>21</v>
      </c>
      <c r="BS28" s="96">
        <f>SUM('22'!$AS$73)</f>
        <v>2148072</v>
      </c>
      <c r="BT28" s="309">
        <f t="shared" si="13"/>
        <v>2402072</v>
      </c>
      <c r="BU28" s="115"/>
      <c r="BV28" s="109"/>
      <c r="BW28" s="110"/>
      <c r="BX28" s="262"/>
      <c r="BY28" s="290">
        <f>BX28/22</f>
        <v>0</v>
      </c>
      <c r="BZ28" s="291">
        <f t="shared" si="14"/>
        <v>0</v>
      </c>
      <c r="CB28" s="130">
        <v>22</v>
      </c>
      <c r="CC28" s="120">
        <f t="shared" si="0"/>
        <v>270000</v>
      </c>
      <c r="CD28" s="121"/>
      <c r="CE28" s="122"/>
      <c r="CF28" s="123"/>
      <c r="CG28" s="120">
        <f t="shared" si="1"/>
        <v>70000</v>
      </c>
      <c r="CH28" s="121"/>
      <c r="CI28" s="122"/>
      <c r="CJ28" s="123"/>
      <c r="CK28" s="120">
        <f t="shared" si="2"/>
        <v>0</v>
      </c>
      <c r="CL28" s="121"/>
      <c r="CM28" s="122"/>
      <c r="CN28" s="123"/>
      <c r="CO28" s="120">
        <f t="shared" si="3"/>
        <v>1354500</v>
      </c>
      <c r="CP28" s="121"/>
      <c r="CQ28" s="122"/>
      <c r="CR28" s="123"/>
      <c r="CS28" s="120">
        <f t="shared" si="4"/>
        <v>145572</v>
      </c>
      <c r="CT28" s="121"/>
      <c r="CU28" s="122"/>
      <c r="CV28" s="123"/>
      <c r="CW28" s="120">
        <f t="shared" si="5"/>
        <v>0</v>
      </c>
      <c r="CX28" s="121"/>
      <c r="CY28" s="122"/>
      <c r="CZ28" s="123"/>
      <c r="DA28" s="120">
        <f t="shared" si="6"/>
        <v>0</v>
      </c>
      <c r="DB28" s="121"/>
      <c r="DC28" s="122"/>
      <c r="DD28" s="123"/>
      <c r="DE28" s="120">
        <f t="shared" si="7"/>
        <v>0</v>
      </c>
      <c r="DF28" s="121"/>
      <c r="DG28" s="122"/>
      <c r="DH28" s="123"/>
      <c r="DI28" s="120">
        <f t="shared" si="8"/>
        <v>252000</v>
      </c>
      <c r="DJ28" s="121"/>
      <c r="DK28" s="122"/>
      <c r="DL28" s="123"/>
      <c r="DM28" s="120">
        <f t="shared" si="9"/>
        <v>2000</v>
      </c>
      <c r="DN28" s="121">
        <f t="shared" si="10"/>
        <v>2000</v>
      </c>
      <c r="DO28" s="122"/>
      <c r="DP28" s="123"/>
      <c r="DQ28" s="124">
        <f t="shared" si="15"/>
        <v>2094072</v>
      </c>
      <c r="DR28" s="125">
        <f t="shared" si="11"/>
        <v>2000</v>
      </c>
      <c r="DS28" s="125">
        <f t="shared" si="16"/>
        <v>2092072</v>
      </c>
      <c r="DT28" s="352">
        <v>22</v>
      </c>
      <c r="DU28" s="131"/>
      <c r="DV28" s="132"/>
      <c r="DW28" s="132"/>
      <c r="DX28" s="132"/>
      <c r="DY28" s="132"/>
      <c r="DZ28" s="132"/>
      <c r="EA28" s="132"/>
      <c r="EB28" s="133"/>
      <c r="EC28" s="133"/>
      <c r="ED28" s="129">
        <f t="shared" si="12"/>
        <v>0</v>
      </c>
    </row>
    <row r="29" spans="1:137" ht="40.5" customHeight="1" thickBot="1" x14ac:dyDescent="0.35">
      <c r="A29" s="108">
        <v>23</v>
      </c>
      <c r="B29" s="205">
        <f>SUM('23'!$AL$10:$AM$10)</f>
        <v>0</v>
      </c>
      <c r="C29" s="203">
        <f>SUM('23'!$AN$10:$AO$10)</f>
        <v>0</v>
      </c>
      <c r="D29" s="204">
        <f>SUM('23'!$AL$12:$AM$12)</f>
        <v>0</v>
      </c>
      <c r="E29" s="206">
        <f>SUM('23'!$AN$12:$AO$12)</f>
        <v>0</v>
      </c>
      <c r="F29" s="108">
        <v>23</v>
      </c>
      <c r="G29" s="208">
        <f>SUM('23'!$AP$10:$AQ$10)</f>
        <v>1</v>
      </c>
      <c r="H29" s="96">
        <f>SUM('23'!$AR$10:$AS$10)</f>
        <v>65000</v>
      </c>
      <c r="I29" s="207">
        <f>SUM('23'!$AP$12:$AQ$12)</f>
        <v>2</v>
      </c>
      <c r="J29" s="98">
        <f>SUM('23'!$AR$12:$AS$12)</f>
        <v>220000</v>
      </c>
      <c r="K29" s="108">
        <v>23</v>
      </c>
      <c r="L29" s="202">
        <f>SUM('23'!$AX$11:$AY$11)</f>
        <v>0</v>
      </c>
      <c r="M29" s="96">
        <f>SUM('23'!$AZ$11:$BA$11)</f>
        <v>0</v>
      </c>
      <c r="N29" s="207">
        <f>SUM('23'!$AX$13:$AY$13)</f>
        <v>0</v>
      </c>
      <c r="O29" s="97">
        <f>SUM('23'!$AZ$13:$BA$13)</f>
        <v>0</v>
      </c>
      <c r="P29" s="208">
        <f>SUM('23'!$AX$10:$AY$10)</f>
        <v>0</v>
      </c>
      <c r="Q29" s="96">
        <f>SUM('23'!$AZ$10:$BA$10)</f>
        <v>0</v>
      </c>
      <c r="R29" s="207">
        <f>SUM('23'!$AX$12:$AY$12)</f>
        <v>0</v>
      </c>
      <c r="S29" s="98">
        <f>SUM('23'!$AZ$12:$BA$12)</f>
        <v>0</v>
      </c>
      <c r="T29" s="108">
        <v>23</v>
      </c>
      <c r="U29" s="94">
        <f>SUM('23'!$AP$60)</f>
        <v>4</v>
      </c>
      <c r="V29" s="97">
        <f>SUM('23'!$AQ$60)</f>
        <v>325000</v>
      </c>
      <c r="W29" s="94">
        <f>SUM('23'!$AP$61)</f>
        <v>0</v>
      </c>
      <c r="X29" s="98">
        <f>SUM('23'!$AS$61)</f>
        <v>0</v>
      </c>
      <c r="Y29" s="94">
        <f>SUM('23'!$AP$69)</f>
        <v>5</v>
      </c>
      <c r="Z29" s="97">
        <f>SUM('23'!$AQ$69)</f>
        <v>0</v>
      </c>
      <c r="AA29" s="94">
        <f>SUM('23'!$AP$70)</f>
        <v>0</v>
      </c>
      <c r="AB29" s="98">
        <f>SUM('23'!$AQ$70)</f>
        <v>0</v>
      </c>
      <c r="AC29" s="108">
        <v>23</v>
      </c>
      <c r="AD29" s="109">
        <f>SUM('23'!$AP$62)</f>
        <v>0</v>
      </c>
      <c r="AE29" s="110">
        <f>SUM('23'!$AQ$62)</f>
        <v>0</v>
      </c>
      <c r="AF29" s="94">
        <f>SUM('23'!$AP$66)</f>
        <v>4</v>
      </c>
      <c r="AG29" s="98">
        <f>SUM('23'!$AQ$66)</f>
        <v>0</v>
      </c>
      <c r="AH29" s="94">
        <f>SUM('23'!$AP$65)</f>
        <v>0</v>
      </c>
      <c r="AI29" s="98">
        <f>SUM('23'!$AQ$65)</f>
        <v>0</v>
      </c>
      <c r="AJ29" s="94">
        <f>SUM('23'!$AP$63)</f>
        <v>0</v>
      </c>
      <c r="AK29" s="98">
        <f>SUM('23'!$AQ$63)</f>
        <v>0</v>
      </c>
      <c r="AL29" s="94">
        <f>SUM('23'!$AP$64)</f>
        <v>0</v>
      </c>
      <c r="AM29" s="98">
        <f>SUM('23'!$AQ$64)</f>
        <v>0</v>
      </c>
      <c r="AN29" s="94">
        <f>SUM('23'!$AP$67)</f>
        <v>2</v>
      </c>
      <c r="AO29" s="98">
        <f>SUM('23'!$AQ$67)</f>
        <v>0</v>
      </c>
      <c r="AP29" s="94">
        <f>SUM('23'!$AP$68)</f>
        <v>1</v>
      </c>
      <c r="AQ29" s="98">
        <f>SUM('23'!$AQ$68)</f>
        <v>0</v>
      </c>
      <c r="AR29" s="108">
        <v>23</v>
      </c>
      <c r="AS29" s="94"/>
      <c r="AT29" s="94"/>
      <c r="AU29" s="94"/>
      <c r="AV29" s="94"/>
      <c r="AW29" s="94"/>
      <c r="AX29" s="350"/>
      <c r="AY29" s="211"/>
      <c r="AZ29" s="209"/>
      <c r="BA29" s="108">
        <v>23</v>
      </c>
      <c r="BB29" s="111">
        <f>SUM('23'!$AN$14:$AO$15)</f>
        <v>0</v>
      </c>
      <c r="BC29" s="112">
        <f>SUM('23'!$AR$14:$AS$15)</f>
        <v>285000</v>
      </c>
      <c r="BD29" s="112">
        <f>SUM('23'!$AZ$14:$BA$15)</f>
        <v>0</v>
      </c>
      <c r="BE29" s="112">
        <f>SUM('23'!$AS$60)</f>
        <v>325000</v>
      </c>
      <c r="BF29" s="112">
        <f>SUM('23'!$AS$61)</f>
        <v>0</v>
      </c>
      <c r="BG29" s="112">
        <f>SUM('23'!$AS$69)</f>
        <v>0</v>
      </c>
      <c r="BH29" s="112">
        <f>SUM('23'!$AS$70)</f>
        <v>0</v>
      </c>
      <c r="BI29" s="113">
        <f>SUM('23'!$AS$62)</f>
        <v>0</v>
      </c>
      <c r="BJ29" s="113">
        <f>SUM('23'!$AS$66)</f>
        <v>0</v>
      </c>
      <c r="BK29" s="113">
        <f>SUM('23'!$AS$67)</f>
        <v>0</v>
      </c>
      <c r="BL29" s="113">
        <f>SUM('23'!$AS$63)</f>
        <v>0</v>
      </c>
      <c r="BM29" s="113">
        <f>SUM('23'!$AS$65)</f>
        <v>0</v>
      </c>
      <c r="BN29" s="358">
        <f>SUM('23'!$AS$68)</f>
        <v>0</v>
      </c>
      <c r="BO29" s="114">
        <f>SUM('23'!$AS$64)</f>
        <v>0</v>
      </c>
      <c r="BP29" s="115">
        <f>SUM('23'!$AM$73)</f>
        <v>0</v>
      </c>
      <c r="BQ29" s="307">
        <f>SUM('23'!$AN$73)</f>
        <v>0</v>
      </c>
      <c r="BR29" s="308">
        <f>SUM('23'!$AP$73)</f>
        <v>16</v>
      </c>
      <c r="BS29" s="96">
        <f>SUM('23'!$AS$73)</f>
        <v>325000</v>
      </c>
      <c r="BT29" s="309">
        <f t="shared" si="13"/>
        <v>610000</v>
      </c>
      <c r="BU29" s="115"/>
      <c r="BV29" s="109"/>
      <c r="BW29" s="110"/>
      <c r="BX29" s="262"/>
      <c r="BY29" s="290">
        <f>BX29/23</f>
        <v>0</v>
      </c>
      <c r="BZ29" s="291">
        <f t="shared" si="14"/>
        <v>0</v>
      </c>
      <c r="CA29" s="118"/>
      <c r="CB29" s="130">
        <v>23</v>
      </c>
      <c r="CC29" s="120">
        <f t="shared" si="0"/>
        <v>325000</v>
      </c>
      <c r="CD29" s="121"/>
      <c r="CE29" s="122"/>
      <c r="CF29" s="123"/>
      <c r="CG29" s="120">
        <f t="shared" si="1"/>
        <v>0</v>
      </c>
      <c r="CH29" s="121"/>
      <c r="CI29" s="122"/>
      <c r="CJ29" s="123"/>
      <c r="CK29" s="120">
        <f t="shared" si="2"/>
        <v>0</v>
      </c>
      <c r="CL29" s="121"/>
      <c r="CM29" s="122"/>
      <c r="CN29" s="123"/>
      <c r="CO29" s="120">
        <f t="shared" si="3"/>
        <v>0</v>
      </c>
      <c r="CP29" s="121"/>
      <c r="CQ29" s="122"/>
      <c r="CR29" s="123"/>
      <c r="CS29" s="120">
        <f t="shared" si="4"/>
        <v>0</v>
      </c>
      <c r="CT29" s="121"/>
      <c r="CU29" s="122"/>
      <c r="CV29" s="123"/>
      <c r="CW29" s="120">
        <f t="shared" si="5"/>
        <v>0</v>
      </c>
      <c r="CX29" s="121"/>
      <c r="CY29" s="122"/>
      <c r="CZ29" s="123"/>
      <c r="DA29" s="120">
        <f t="shared" si="6"/>
        <v>0</v>
      </c>
      <c r="DB29" s="121"/>
      <c r="DC29" s="122"/>
      <c r="DD29" s="123"/>
      <c r="DE29" s="120">
        <f t="shared" si="7"/>
        <v>0</v>
      </c>
      <c r="DF29" s="121"/>
      <c r="DG29" s="122"/>
      <c r="DH29" s="123"/>
      <c r="DI29" s="120">
        <f t="shared" si="8"/>
        <v>285000</v>
      </c>
      <c r="DJ29" s="121"/>
      <c r="DK29" s="122"/>
      <c r="DL29" s="123"/>
      <c r="DM29" s="120">
        <f t="shared" si="9"/>
        <v>0</v>
      </c>
      <c r="DN29" s="121">
        <f t="shared" si="10"/>
        <v>0</v>
      </c>
      <c r="DO29" s="122"/>
      <c r="DP29" s="123"/>
      <c r="DQ29" s="124">
        <f t="shared" si="15"/>
        <v>610000</v>
      </c>
      <c r="DR29" s="125">
        <f t="shared" si="11"/>
        <v>0</v>
      </c>
      <c r="DS29" s="125">
        <f t="shared" si="16"/>
        <v>610000</v>
      </c>
      <c r="DT29" s="352">
        <v>23</v>
      </c>
      <c r="DU29" s="131"/>
      <c r="DV29" s="132"/>
      <c r="DW29" s="132"/>
      <c r="DX29" s="132"/>
      <c r="DY29" s="132"/>
      <c r="DZ29" s="132"/>
      <c r="EA29" s="132"/>
      <c r="EB29" s="133"/>
      <c r="EC29" s="133"/>
      <c r="ED29" s="129">
        <f t="shared" si="12"/>
        <v>0</v>
      </c>
      <c r="EE29" s="913"/>
      <c r="EF29" s="914"/>
      <c r="EG29" s="914"/>
    </row>
    <row r="30" spans="1:137" ht="40.5" customHeight="1" thickBot="1" x14ac:dyDescent="0.35">
      <c r="A30" s="108">
        <v>24</v>
      </c>
      <c r="B30" s="205">
        <f>SUM('24'!$AL$10:$AM$10)</f>
        <v>0</v>
      </c>
      <c r="C30" s="203">
        <f>SUM('24'!$AN$10:$AO$10)</f>
        <v>0</v>
      </c>
      <c r="D30" s="204">
        <f>SUM('24'!$AL$12:$AM$12)</f>
        <v>0</v>
      </c>
      <c r="E30" s="206">
        <f>SUM('24'!$AN$12:$AO$12)</f>
        <v>0</v>
      </c>
      <c r="F30" s="108">
        <v>24</v>
      </c>
      <c r="G30" s="208">
        <f>SUM('24'!$AP$10:$AQ$10)</f>
        <v>1</v>
      </c>
      <c r="H30" s="96">
        <f>SUM('24'!$AR$10:$AS$10)</f>
        <v>65000</v>
      </c>
      <c r="I30" s="207">
        <f>SUM('24'!$AP$12:$AQ$12)</f>
        <v>0</v>
      </c>
      <c r="J30" s="98">
        <f>SUM('24'!$AR$12:$AS$12)</f>
        <v>0</v>
      </c>
      <c r="K30" s="108">
        <v>24</v>
      </c>
      <c r="L30" s="202">
        <f>SUM('24'!$AX$11:$AY$11)</f>
        <v>0</v>
      </c>
      <c r="M30" s="96">
        <f>SUM('24'!$AZ$11:$BA$11)</f>
        <v>0</v>
      </c>
      <c r="N30" s="207">
        <f>SUM('24'!$AX$13:$AY$13)</f>
        <v>0</v>
      </c>
      <c r="O30" s="97">
        <f>SUM('24'!$AZ$13:$BA$13)</f>
        <v>0</v>
      </c>
      <c r="P30" s="208">
        <f>SUM('24'!$AX$10:$AY$10)</f>
        <v>0</v>
      </c>
      <c r="Q30" s="96">
        <f>SUM('24'!$AZ$10:$BA$10)</f>
        <v>0</v>
      </c>
      <c r="R30" s="207">
        <f>SUM('24'!$AX$12:$AY$12)</f>
        <v>0</v>
      </c>
      <c r="S30" s="98">
        <f>SUM('24'!$AZ$12:$BA$12)</f>
        <v>0</v>
      </c>
      <c r="T30" s="108">
        <v>24</v>
      </c>
      <c r="U30" s="94">
        <f>SUM('24'!$AP$60)</f>
        <v>3</v>
      </c>
      <c r="V30" s="97">
        <f>SUM('24'!$AQ$60)</f>
        <v>375000</v>
      </c>
      <c r="W30" s="94">
        <f>SUM('24'!$AP$61)</f>
        <v>1</v>
      </c>
      <c r="X30" s="98">
        <f>SUM('24'!$AS$61)</f>
        <v>80000</v>
      </c>
      <c r="Y30" s="94">
        <f>SUM('24'!$AP$69)</f>
        <v>5</v>
      </c>
      <c r="Z30" s="97">
        <f>SUM('24'!$AQ$69)</f>
        <v>0</v>
      </c>
      <c r="AA30" s="94">
        <f>SUM('24'!$AP$70)</f>
        <v>0</v>
      </c>
      <c r="AB30" s="98">
        <f>SUM('24'!$AQ$70)</f>
        <v>0</v>
      </c>
      <c r="AC30" s="108">
        <v>24</v>
      </c>
      <c r="AD30" s="109">
        <f>SUM('24'!$AP$62)</f>
        <v>1</v>
      </c>
      <c r="AE30" s="110">
        <f>SUM('24'!$AQ$62)</f>
        <v>691600</v>
      </c>
      <c r="AF30" s="94">
        <f>SUM('24'!$AP$66)</f>
        <v>5</v>
      </c>
      <c r="AG30" s="98">
        <f>SUM('24'!$AQ$66)</f>
        <v>273000</v>
      </c>
      <c r="AH30" s="94">
        <f>SUM('24'!$AP$65)</f>
        <v>1</v>
      </c>
      <c r="AI30" s="98">
        <f>SUM('24'!$AQ$65)</f>
        <v>508311</v>
      </c>
      <c r="AJ30" s="94">
        <f>SUM('24'!$AP$63)</f>
        <v>0</v>
      </c>
      <c r="AK30" s="98">
        <f>SUM('24'!$AQ$63)</f>
        <v>0</v>
      </c>
      <c r="AL30" s="94">
        <f>SUM('24'!$AP$64)</f>
        <v>0</v>
      </c>
      <c r="AM30" s="98">
        <f>SUM('24'!$AQ$64)</f>
        <v>0</v>
      </c>
      <c r="AN30" s="94">
        <f>SUM('24'!$AP$67)</f>
        <v>0</v>
      </c>
      <c r="AO30" s="98">
        <f>SUM('24'!$AQ$67)</f>
        <v>0</v>
      </c>
      <c r="AP30" s="94">
        <f>SUM('24'!$AP$68)</f>
        <v>0</v>
      </c>
      <c r="AQ30" s="98">
        <f>SUM('24'!$AQ$68)</f>
        <v>0</v>
      </c>
      <c r="AR30" s="108">
        <v>24</v>
      </c>
      <c r="AS30" s="94"/>
      <c r="AT30" s="94"/>
      <c r="AU30" s="94"/>
      <c r="AV30" s="94"/>
      <c r="AW30" s="94"/>
      <c r="AX30" s="350"/>
      <c r="AY30" s="211"/>
      <c r="AZ30" s="209"/>
      <c r="BA30" s="108">
        <v>24</v>
      </c>
      <c r="BB30" s="111">
        <f>SUM('24'!$AN$14:$AO$15)</f>
        <v>0</v>
      </c>
      <c r="BC30" s="112">
        <f>SUM('24'!$AR$14:$AS$15)</f>
        <v>69000</v>
      </c>
      <c r="BD30" s="112">
        <f>SUM('24'!$AZ$14:$BA$15)</f>
        <v>0</v>
      </c>
      <c r="BE30" s="112">
        <f>SUM('24'!$AS$60)</f>
        <v>375000</v>
      </c>
      <c r="BF30" s="112">
        <f>SUM('24'!$AS$61)</f>
        <v>80000</v>
      </c>
      <c r="BG30" s="112">
        <f>SUM('24'!$AS$69)</f>
        <v>0</v>
      </c>
      <c r="BH30" s="112">
        <f>SUM('24'!$AS$70)</f>
        <v>0</v>
      </c>
      <c r="BI30" s="113">
        <f>SUM('24'!$AS$62)</f>
        <v>691600</v>
      </c>
      <c r="BJ30" s="113">
        <f>SUM('24'!$AS$66)</f>
        <v>273000</v>
      </c>
      <c r="BK30" s="113">
        <f>SUM('24'!$AS$67)</f>
        <v>0</v>
      </c>
      <c r="BL30" s="113">
        <f>SUM('24'!$AS$63)</f>
        <v>0</v>
      </c>
      <c r="BM30" s="113">
        <f>SUM('24'!$AS$65)</f>
        <v>508311</v>
      </c>
      <c r="BN30" s="358">
        <f>SUM('24'!$AS$68)</f>
        <v>0</v>
      </c>
      <c r="BO30" s="114">
        <f>SUM('24'!$AS$64)</f>
        <v>0</v>
      </c>
      <c r="BP30" s="115">
        <f>SUM('24'!$AM$73)</f>
        <v>0</v>
      </c>
      <c r="BQ30" s="307">
        <f>SUM('24'!$AN$73)</f>
        <v>0</v>
      </c>
      <c r="BR30" s="308">
        <f>SUM('24'!$AP$73)</f>
        <v>16</v>
      </c>
      <c r="BS30" s="96">
        <f>SUM('24'!$AS$73)</f>
        <v>1927911</v>
      </c>
      <c r="BT30" s="309">
        <f t="shared" si="13"/>
        <v>1996911</v>
      </c>
      <c r="BU30" s="115"/>
      <c r="BV30" s="109"/>
      <c r="BW30" s="110"/>
      <c r="BX30" s="262"/>
      <c r="BY30" s="290">
        <f>BX30/24</f>
        <v>0</v>
      </c>
      <c r="BZ30" s="291">
        <f t="shared" si="14"/>
        <v>0</v>
      </c>
      <c r="CB30" s="130">
        <v>24</v>
      </c>
      <c r="CC30" s="120">
        <f t="shared" si="0"/>
        <v>375000</v>
      </c>
      <c r="CD30" s="121"/>
      <c r="CE30" s="122"/>
      <c r="CF30" s="123"/>
      <c r="CG30" s="120">
        <f t="shared" si="1"/>
        <v>80000</v>
      </c>
      <c r="CH30" s="121"/>
      <c r="CI30" s="122"/>
      <c r="CJ30" s="123"/>
      <c r="CK30" s="120">
        <f t="shared" si="2"/>
        <v>691600</v>
      </c>
      <c r="CL30" s="121"/>
      <c r="CM30" s="122"/>
      <c r="CN30" s="123"/>
      <c r="CO30" s="120">
        <f t="shared" si="3"/>
        <v>273000</v>
      </c>
      <c r="CP30" s="121"/>
      <c r="CQ30" s="122"/>
      <c r="CR30" s="123"/>
      <c r="CS30" s="120">
        <f t="shared" si="4"/>
        <v>0</v>
      </c>
      <c r="CT30" s="121"/>
      <c r="CU30" s="122"/>
      <c r="CV30" s="123"/>
      <c r="CW30" s="120">
        <f t="shared" si="5"/>
        <v>0</v>
      </c>
      <c r="CX30" s="121"/>
      <c r="CY30" s="122"/>
      <c r="CZ30" s="123"/>
      <c r="DA30" s="120">
        <f t="shared" si="6"/>
        <v>508311</v>
      </c>
      <c r="DB30" s="121"/>
      <c r="DC30" s="122"/>
      <c r="DD30" s="123"/>
      <c r="DE30" s="120">
        <f t="shared" si="7"/>
        <v>0</v>
      </c>
      <c r="DF30" s="121"/>
      <c r="DG30" s="122"/>
      <c r="DH30" s="123"/>
      <c r="DI30" s="120">
        <f t="shared" si="8"/>
        <v>69000</v>
      </c>
      <c r="DJ30" s="121"/>
      <c r="DK30" s="122"/>
      <c r="DL30" s="123"/>
      <c r="DM30" s="120">
        <f t="shared" si="9"/>
        <v>0</v>
      </c>
      <c r="DN30" s="121">
        <f t="shared" si="10"/>
        <v>0</v>
      </c>
      <c r="DO30" s="122"/>
      <c r="DP30" s="123"/>
      <c r="DQ30" s="124">
        <f t="shared" si="15"/>
        <v>1996911</v>
      </c>
      <c r="DR30" s="125">
        <f t="shared" si="11"/>
        <v>0</v>
      </c>
      <c r="DS30" s="125">
        <f t="shared" si="16"/>
        <v>1996911</v>
      </c>
      <c r="DT30" s="352">
        <v>24</v>
      </c>
      <c r="DU30" s="131"/>
      <c r="DV30" s="132"/>
      <c r="DW30" s="132"/>
      <c r="DX30" s="132"/>
      <c r="DY30" s="132"/>
      <c r="DZ30" s="132"/>
      <c r="EA30" s="132"/>
      <c r="EB30" s="133"/>
      <c r="EC30" s="133"/>
      <c r="ED30" s="129">
        <f t="shared" si="12"/>
        <v>0</v>
      </c>
      <c r="EE30" s="913"/>
      <c r="EF30" s="914"/>
      <c r="EG30" s="914"/>
    </row>
    <row r="31" spans="1:137" ht="40.5" customHeight="1" thickBot="1" x14ac:dyDescent="0.35">
      <c r="A31" s="108">
        <v>25</v>
      </c>
      <c r="B31" s="205">
        <f>SUM('25'!$AL$10:$AM$10)</f>
        <v>0</v>
      </c>
      <c r="C31" s="203">
        <f>SUM('25'!$AN$10:$AO$10)</f>
        <v>0</v>
      </c>
      <c r="D31" s="204">
        <f>SUM('25'!$AL$12:$AM$12)</f>
        <v>0</v>
      </c>
      <c r="E31" s="206">
        <f>SUM('25'!$AN$12:$AO$12)</f>
        <v>0</v>
      </c>
      <c r="F31" s="108">
        <v>25</v>
      </c>
      <c r="G31" s="208">
        <f>SUM('25'!$AP$10:$AQ$10)</f>
        <v>8</v>
      </c>
      <c r="H31" s="96">
        <f>SUM('25'!$AR$10:$AS$10)</f>
        <v>590000</v>
      </c>
      <c r="I31" s="207">
        <f>SUM('25'!$AP$12:$AQ$12)</f>
        <v>1</v>
      </c>
      <c r="J31" s="98">
        <f>SUM('25'!$AR$12:$AS$12)</f>
        <v>1890000</v>
      </c>
      <c r="K31" s="108">
        <v>25</v>
      </c>
      <c r="L31" s="202">
        <f>SUM('25'!$AX$11:$AY$11)</f>
        <v>0</v>
      </c>
      <c r="M31" s="96">
        <f>SUM('25'!$AZ$11:$BA$11)</f>
        <v>0</v>
      </c>
      <c r="N31" s="207">
        <f>SUM('25'!$AX$13:$AY$13)</f>
        <v>0</v>
      </c>
      <c r="O31" s="97">
        <f>SUM('25'!$AZ$13:$BA$13)</f>
        <v>0</v>
      </c>
      <c r="P31" s="208">
        <f>SUM('25'!$AX$10:$AY$10)</f>
        <v>0</v>
      </c>
      <c r="Q31" s="96">
        <f>SUM('25'!$AZ$10:$BA$10)</f>
        <v>0</v>
      </c>
      <c r="R31" s="207">
        <f>SUM('25'!$AX$12:$AY$12)</f>
        <v>0</v>
      </c>
      <c r="S31" s="98">
        <f>SUM('25'!$AZ$12:$BA$12)</f>
        <v>0</v>
      </c>
      <c r="T31" s="108">
        <v>25</v>
      </c>
      <c r="U31" s="94">
        <f>SUM('25'!$AP$60)</f>
        <v>7</v>
      </c>
      <c r="V31" s="97">
        <f>SUM('25'!$AQ$60)</f>
        <v>685000</v>
      </c>
      <c r="W31" s="94">
        <f>SUM('25'!$AP$61)</f>
        <v>3</v>
      </c>
      <c r="X31" s="98">
        <f>SUM('25'!$AS$61)</f>
        <v>255000</v>
      </c>
      <c r="Y31" s="94">
        <f>SUM('25'!$AP$69)</f>
        <v>4</v>
      </c>
      <c r="Z31" s="97">
        <f>SUM('25'!$AQ$69)</f>
        <v>0</v>
      </c>
      <c r="AA31" s="94">
        <f>SUM('25'!$AP$70)</f>
        <v>1</v>
      </c>
      <c r="AB31" s="98">
        <f>SUM('25'!$AQ$70)</f>
        <v>93500</v>
      </c>
      <c r="AC31" s="108">
        <v>25</v>
      </c>
      <c r="AD31" s="109">
        <f>SUM('25'!$AP$62)</f>
        <v>1</v>
      </c>
      <c r="AE31" s="110">
        <f>SUM('25'!$AQ$62)</f>
        <v>0</v>
      </c>
      <c r="AF31" s="94">
        <f>SUM('25'!$AP$66)</f>
        <v>3</v>
      </c>
      <c r="AG31" s="98">
        <f>SUM('25'!$AQ$66)</f>
        <v>153000</v>
      </c>
      <c r="AH31" s="94">
        <f>SUM('25'!$AP$65)</f>
        <v>1</v>
      </c>
      <c r="AI31" s="98">
        <f>SUM('25'!$AQ$65)</f>
        <v>0</v>
      </c>
      <c r="AJ31" s="94">
        <f>SUM('25'!$AP$63)</f>
        <v>0</v>
      </c>
      <c r="AK31" s="98">
        <f>SUM('25'!$AQ$63)</f>
        <v>0</v>
      </c>
      <c r="AL31" s="94">
        <f>SUM('25'!$AP$64)</f>
        <v>0</v>
      </c>
      <c r="AM31" s="98">
        <f>SUM('25'!$AQ$64)</f>
        <v>0</v>
      </c>
      <c r="AN31" s="94">
        <f>SUM('25'!$AP$67)</f>
        <v>1</v>
      </c>
      <c r="AO31" s="98">
        <f>SUM('25'!$AQ$67)</f>
        <v>263813</v>
      </c>
      <c r="AP31" s="94">
        <f>SUM('25'!$AP$68)</f>
        <v>0</v>
      </c>
      <c r="AQ31" s="98">
        <f>SUM('25'!$AQ$68)</f>
        <v>0</v>
      </c>
      <c r="AR31" s="108">
        <v>25</v>
      </c>
      <c r="AS31" s="94"/>
      <c r="AT31" s="94"/>
      <c r="AU31" s="94"/>
      <c r="AV31" s="94"/>
      <c r="AW31" s="94"/>
      <c r="AX31" s="350"/>
      <c r="AY31" s="211"/>
      <c r="AZ31" s="209"/>
      <c r="BA31" s="108">
        <v>25</v>
      </c>
      <c r="BB31" s="111">
        <f>SUM('25'!$AN$14:$AO$15)</f>
        <v>2000</v>
      </c>
      <c r="BC31" s="112">
        <f>SUM('25'!$AR$14:$AS$15)</f>
        <v>2484000</v>
      </c>
      <c r="BD31" s="112">
        <f>SUM('25'!$AZ$14:$BA$15)</f>
        <v>0</v>
      </c>
      <c r="BE31" s="112">
        <f>SUM('25'!$AS$60)</f>
        <v>685000</v>
      </c>
      <c r="BF31" s="112">
        <f>SUM('25'!$AS$61)</f>
        <v>255000</v>
      </c>
      <c r="BG31" s="112">
        <f>SUM('25'!$AS$69)</f>
        <v>0</v>
      </c>
      <c r="BH31" s="112">
        <f>SUM('25'!$AS$70)</f>
        <v>93500</v>
      </c>
      <c r="BI31" s="113">
        <f>SUM('25'!$AS$62)</f>
        <v>0</v>
      </c>
      <c r="BJ31" s="113">
        <f>SUM('25'!$AS$66)</f>
        <v>153000</v>
      </c>
      <c r="BK31" s="113">
        <f>SUM('25'!$AS$67)</f>
        <v>263813</v>
      </c>
      <c r="BL31" s="113">
        <f>SUM('25'!$AS$63)</f>
        <v>0</v>
      </c>
      <c r="BM31" s="113">
        <f>SUM('25'!$AS$65)</f>
        <v>0</v>
      </c>
      <c r="BN31" s="358">
        <f>SUM('25'!$AS$68)</f>
        <v>0</v>
      </c>
      <c r="BO31" s="114">
        <f>SUM('25'!$AS$64)</f>
        <v>0</v>
      </c>
      <c r="BP31" s="115">
        <f>SUM('25'!$AM$73)</f>
        <v>0</v>
      </c>
      <c r="BQ31" s="307">
        <f>SUM('25'!$AN$73)</f>
        <v>0</v>
      </c>
      <c r="BR31" s="308">
        <f>SUM('25'!$AP$73)</f>
        <v>21</v>
      </c>
      <c r="BS31" s="96">
        <f>SUM('25'!$AS$73)</f>
        <v>1450313</v>
      </c>
      <c r="BT31" s="309">
        <f t="shared" si="13"/>
        <v>3936313</v>
      </c>
      <c r="BU31" s="115"/>
      <c r="BV31" s="109"/>
      <c r="BW31" s="110"/>
      <c r="BX31" s="262"/>
      <c r="BY31" s="290">
        <f>BX31/25</f>
        <v>0</v>
      </c>
      <c r="BZ31" s="291">
        <f t="shared" si="14"/>
        <v>0</v>
      </c>
      <c r="CB31" s="130">
        <v>25</v>
      </c>
      <c r="CC31" s="120">
        <f t="shared" si="0"/>
        <v>685000</v>
      </c>
      <c r="CD31" s="121"/>
      <c r="CE31" s="122"/>
      <c r="CF31" s="123"/>
      <c r="CG31" s="120">
        <f t="shared" si="1"/>
        <v>255000</v>
      </c>
      <c r="CH31" s="121"/>
      <c r="CI31" s="122"/>
      <c r="CJ31" s="123"/>
      <c r="CK31" s="120">
        <f t="shared" si="2"/>
        <v>0</v>
      </c>
      <c r="CL31" s="121"/>
      <c r="CM31" s="122"/>
      <c r="CN31" s="123"/>
      <c r="CO31" s="120">
        <f t="shared" si="3"/>
        <v>153000</v>
      </c>
      <c r="CP31" s="121"/>
      <c r="CQ31" s="122"/>
      <c r="CR31" s="123"/>
      <c r="CS31" s="120">
        <f t="shared" si="4"/>
        <v>263813</v>
      </c>
      <c r="CT31" s="121"/>
      <c r="CU31" s="122"/>
      <c r="CV31" s="123"/>
      <c r="CW31" s="120">
        <f t="shared" si="5"/>
        <v>0</v>
      </c>
      <c r="CX31" s="121"/>
      <c r="CY31" s="122"/>
      <c r="CZ31" s="123"/>
      <c r="DA31" s="120">
        <f t="shared" si="6"/>
        <v>0</v>
      </c>
      <c r="DB31" s="121"/>
      <c r="DC31" s="122"/>
      <c r="DD31" s="123"/>
      <c r="DE31" s="120">
        <f t="shared" si="7"/>
        <v>0</v>
      </c>
      <c r="DF31" s="121"/>
      <c r="DG31" s="122"/>
      <c r="DH31" s="123"/>
      <c r="DI31" s="120">
        <f t="shared" si="8"/>
        <v>2484000</v>
      </c>
      <c r="DJ31" s="121"/>
      <c r="DK31" s="122"/>
      <c r="DL31" s="123"/>
      <c r="DM31" s="120">
        <f t="shared" si="9"/>
        <v>2000</v>
      </c>
      <c r="DN31" s="121">
        <f t="shared" si="10"/>
        <v>2000</v>
      </c>
      <c r="DO31" s="122"/>
      <c r="DP31" s="123"/>
      <c r="DQ31" s="124">
        <f t="shared" si="15"/>
        <v>3842813</v>
      </c>
      <c r="DR31" s="125">
        <f t="shared" si="11"/>
        <v>2000</v>
      </c>
      <c r="DS31" s="125">
        <f t="shared" si="16"/>
        <v>3840813</v>
      </c>
      <c r="DT31" s="352">
        <v>25</v>
      </c>
      <c r="DU31" s="131"/>
      <c r="DV31" s="132"/>
      <c r="DW31" s="132"/>
      <c r="DX31" s="132"/>
      <c r="DY31" s="132"/>
      <c r="DZ31" s="132"/>
      <c r="EA31" s="132"/>
      <c r="EB31" s="133"/>
      <c r="EC31" s="133"/>
      <c r="ED31" s="129">
        <f t="shared" si="12"/>
        <v>0</v>
      </c>
      <c r="EE31" s="913"/>
      <c r="EF31" s="914"/>
      <c r="EG31" s="914"/>
    </row>
    <row r="32" spans="1:137" ht="40.5" customHeight="1" thickBot="1" x14ac:dyDescent="0.35">
      <c r="A32" s="108">
        <v>26</v>
      </c>
      <c r="B32" s="205">
        <f>SUM('26'!$AL$10:$AM$10)</f>
        <v>0</v>
      </c>
      <c r="C32" s="203">
        <f>SUM('26'!$AN$10:$AO$10)</f>
        <v>0</v>
      </c>
      <c r="D32" s="204">
        <f>SUM('26'!$AL$12:$AM$12)</f>
        <v>0</v>
      </c>
      <c r="E32" s="206">
        <f>SUM('26'!$AN$12:$AO$12)</f>
        <v>0</v>
      </c>
      <c r="F32" s="108">
        <v>26</v>
      </c>
      <c r="G32" s="208">
        <f>SUM('26'!$AP$10:$AQ$10)</f>
        <v>1</v>
      </c>
      <c r="H32" s="96">
        <f>SUM('26'!$AR$10:$AS$10)</f>
        <v>305000</v>
      </c>
      <c r="I32" s="207">
        <f>SUM('26'!$AP$12:$AQ$12)</f>
        <v>0</v>
      </c>
      <c r="J32" s="98">
        <f>SUM('26'!$AR$12:$AS$12)</f>
        <v>0</v>
      </c>
      <c r="K32" s="108">
        <v>26</v>
      </c>
      <c r="L32" s="202">
        <f>SUM('26'!$AX$11:$AY$11)</f>
        <v>0</v>
      </c>
      <c r="M32" s="96">
        <f>SUM('26'!$AZ$11:$BA$11)</f>
        <v>0</v>
      </c>
      <c r="N32" s="207">
        <f>SUM('26'!$AX$13:$AY$13)</f>
        <v>0</v>
      </c>
      <c r="O32" s="97">
        <f>SUM('26'!$AZ$13:$BA$13)</f>
        <v>0</v>
      </c>
      <c r="P32" s="208">
        <f>SUM('26'!$AX$10:$AY$10)</f>
        <v>0</v>
      </c>
      <c r="Q32" s="96">
        <f>SUM('26'!$AZ$10:$BA$10)</f>
        <v>0</v>
      </c>
      <c r="R32" s="207">
        <f>SUM('26'!$AX$12:$AY$12)</f>
        <v>0</v>
      </c>
      <c r="S32" s="98">
        <f>SUM('26'!$AZ$12:$BA$12)</f>
        <v>0</v>
      </c>
      <c r="T32" s="108">
        <v>26</v>
      </c>
      <c r="U32" s="94">
        <f>SUM('26'!$AP$60)</f>
        <v>11</v>
      </c>
      <c r="V32" s="97">
        <f>SUM('26'!$AQ$60)</f>
        <v>760000</v>
      </c>
      <c r="W32" s="94">
        <f>SUM('26'!$AP$61)</f>
        <v>7</v>
      </c>
      <c r="X32" s="98">
        <f>SUM('26'!$AS$61)</f>
        <v>700000</v>
      </c>
      <c r="Y32" s="94">
        <f>SUM('26'!$AP$69)</f>
        <v>1</v>
      </c>
      <c r="Z32" s="97">
        <f>SUM('26'!$AQ$69)</f>
        <v>99000</v>
      </c>
      <c r="AA32" s="94">
        <f>SUM('26'!$AP$70)</f>
        <v>4</v>
      </c>
      <c r="AB32" s="98">
        <f>SUM('26'!$AQ$70)</f>
        <v>583000</v>
      </c>
      <c r="AC32" s="108">
        <v>26</v>
      </c>
      <c r="AD32" s="109">
        <f>SUM('26'!$AP$62)</f>
        <v>5</v>
      </c>
      <c r="AE32" s="110">
        <f>SUM('26'!$AQ$62)</f>
        <v>1877800</v>
      </c>
      <c r="AF32" s="94">
        <f>SUM('26'!$AP$66)</f>
        <v>8</v>
      </c>
      <c r="AG32" s="98">
        <f>SUM('26'!$AQ$66)</f>
        <v>940350</v>
      </c>
      <c r="AH32" s="94">
        <f>SUM('26'!$AP$65)</f>
        <v>1</v>
      </c>
      <c r="AI32" s="98">
        <f>SUM('26'!$AQ$65)</f>
        <v>0</v>
      </c>
      <c r="AJ32" s="94">
        <f>SUM('26'!$AP$63)</f>
        <v>0</v>
      </c>
      <c r="AK32" s="98">
        <f>SUM('26'!$AQ$63)</f>
        <v>0</v>
      </c>
      <c r="AL32" s="94">
        <f>SUM('26'!$AP$64)</f>
        <v>0</v>
      </c>
      <c r="AM32" s="98">
        <f>SUM('26'!$AQ$64)</f>
        <v>0</v>
      </c>
      <c r="AN32" s="94">
        <f>SUM('26'!$AP$67)</f>
        <v>2</v>
      </c>
      <c r="AO32" s="98">
        <f>SUM('26'!$AQ$67)</f>
        <v>218300</v>
      </c>
      <c r="AP32" s="94">
        <f>SUM('26'!$AP$68)</f>
        <v>1</v>
      </c>
      <c r="AQ32" s="98">
        <f>SUM('26'!$AQ$68)</f>
        <v>126438</v>
      </c>
      <c r="AR32" s="108">
        <v>26</v>
      </c>
      <c r="AS32" s="94"/>
      <c r="AT32" s="94"/>
      <c r="AU32" s="94"/>
      <c r="AV32" s="94"/>
      <c r="AW32" s="94"/>
      <c r="AX32" s="350"/>
      <c r="AY32" s="211"/>
      <c r="AZ32" s="209"/>
      <c r="BA32" s="108">
        <v>26</v>
      </c>
      <c r="BB32" s="111">
        <f>SUM('26'!$AN$14:$AO$15)</f>
        <v>0</v>
      </c>
      <c r="BC32" s="112">
        <f>SUM('26'!$AR$14:$AS$15)</f>
        <v>321000</v>
      </c>
      <c r="BD32" s="112">
        <f>SUM('26'!$AZ$14:$BA$15)</f>
        <v>0</v>
      </c>
      <c r="BE32" s="112">
        <f>SUM('26'!$AS$60)</f>
        <v>760000</v>
      </c>
      <c r="BF32" s="112">
        <f>SUM('26'!$AS$61)</f>
        <v>700000</v>
      </c>
      <c r="BG32" s="112">
        <f>SUM('26'!$AS$69)</f>
        <v>99000</v>
      </c>
      <c r="BH32" s="112">
        <f>SUM('26'!$AS$70)</f>
        <v>583000</v>
      </c>
      <c r="BI32" s="113">
        <f>SUM('26'!$AS$62)</f>
        <v>1877800</v>
      </c>
      <c r="BJ32" s="113">
        <f>SUM('26'!$AS$66)</f>
        <v>940350</v>
      </c>
      <c r="BK32" s="113">
        <f>SUM('26'!$AS$67)</f>
        <v>218300</v>
      </c>
      <c r="BL32" s="113">
        <f>SUM('26'!$AS$63)</f>
        <v>0</v>
      </c>
      <c r="BM32" s="113">
        <f>SUM('26'!$AS$65)</f>
        <v>0</v>
      </c>
      <c r="BN32" s="358">
        <f>SUM('26'!$AS$68)</f>
        <v>126438</v>
      </c>
      <c r="BO32" s="114">
        <f>SUM('26'!$AS$64)</f>
        <v>0</v>
      </c>
      <c r="BP32" s="115">
        <f>SUM('26'!$AM$73)</f>
        <v>0</v>
      </c>
      <c r="BQ32" s="307">
        <f>SUM('26'!$AN$73)</f>
        <v>0</v>
      </c>
      <c r="BR32" s="308">
        <f>SUM('26'!$AP$73)</f>
        <v>40</v>
      </c>
      <c r="BS32" s="96">
        <f>SUM('26'!$AS$73)</f>
        <v>5304888</v>
      </c>
      <c r="BT32" s="309">
        <f t="shared" si="13"/>
        <v>5625888</v>
      </c>
      <c r="BU32" s="115"/>
      <c r="BV32" s="109"/>
      <c r="BW32" s="110"/>
      <c r="BX32" s="262"/>
      <c r="BY32" s="290">
        <f>BX32/26</f>
        <v>0</v>
      </c>
      <c r="BZ32" s="291">
        <f t="shared" si="14"/>
        <v>0</v>
      </c>
      <c r="CB32" s="134">
        <v>26</v>
      </c>
      <c r="CC32" s="120">
        <f t="shared" si="0"/>
        <v>760000</v>
      </c>
      <c r="CD32" s="121"/>
      <c r="CE32" s="122"/>
      <c r="CF32" s="123"/>
      <c r="CG32" s="120">
        <f t="shared" si="1"/>
        <v>700000</v>
      </c>
      <c r="CH32" s="121"/>
      <c r="CI32" s="122"/>
      <c r="CJ32" s="123"/>
      <c r="CK32" s="120">
        <f t="shared" si="2"/>
        <v>1877800</v>
      </c>
      <c r="CL32" s="121"/>
      <c r="CM32" s="122"/>
      <c r="CN32" s="123"/>
      <c r="CO32" s="120">
        <f t="shared" si="3"/>
        <v>940350</v>
      </c>
      <c r="CP32" s="121"/>
      <c r="CQ32" s="122"/>
      <c r="CR32" s="123"/>
      <c r="CS32" s="120">
        <f t="shared" si="4"/>
        <v>218300</v>
      </c>
      <c r="CT32" s="121"/>
      <c r="CU32" s="122"/>
      <c r="CV32" s="123"/>
      <c r="CW32" s="120">
        <f t="shared" si="5"/>
        <v>0</v>
      </c>
      <c r="CX32" s="121"/>
      <c r="CY32" s="122"/>
      <c r="CZ32" s="123"/>
      <c r="DA32" s="120">
        <f t="shared" si="6"/>
        <v>0</v>
      </c>
      <c r="DB32" s="121"/>
      <c r="DC32" s="122"/>
      <c r="DD32" s="123"/>
      <c r="DE32" s="120">
        <f t="shared" si="7"/>
        <v>0</v>
      </c>
      <c r="DF32" s="121"/>
      <c r="DG32" s="122"/>
      <c r="DH32" s="123"/>
      <c r="DI32" s="120">
        <f t="shared" si="8"/>
        <v>321000</v>
      </c>
      <c r="DJ32" s="121"/>
      <c r="DK32" s="122"/>
      <c r="DL32" s="123"/>
      <c r="DM32" s="120">
        <f t="shared" si="9"/>
        <v>0</v>
      </c>
      <c r="DN32" s="121">
        <f t="shared" si="10"/>
        <v>0</v>
      </c>
      <c r="DO32" s="122"/>
      <c r="DP32" s="123"/>
      <c r="DQ32" s="124">
        <f t="shared" si="15"/>
        <v>4817450</v>
      </c>
      <c r="DR32" s="125">
        <f t="shared" si="11"/>
        <v>0</v>
      </c>
      <c r="DS32" s="125">
        <f t="shared" si="16"/>
        <v>4817450</v>
      </c>
      <c r="DT32" s="135">
        <v>26</v>
      </c>
      <c r="DU32" s="131"/>
      <c r="DV32" s="132"/>
      <c r="DW32" s="132"/>
      <c r="DX32" s="132"/>
      <c r="DY32" s="132"/>
      <c r="DZ32" s="132"/>
      <c r="EA32" s="132"/>
      <c r="EB32" s="133"/>
      <c r="EC32" s="133"/>
      <c r="ED32" s="129">
        <f t="shared" si="12"/>
        <v>0</v>
      </c>
      <c r="EE32" s="913"/>
      <c r="EF32" s="914"/>
      <c r="EG32" s="914"/>
    </row>
    <row r="33" spans="1:137" ht="40.5" customHeight="1" thickBot="1" x14ac:dyDescent="0.35">
      <c r="A33" s="108">
        <v>27</v>
      </c>
      <c r="B33" s="205">
        <f>SUM('27'!$AL$10:$AM$10)</f>
        <v>0</v>
      </c>
      <c r="C33" s="203">
        <f>SUM('27'!$AN$10:$AO$10)</f>
        <v>0</v>
      </c>
      <c r="D33" s="204">
        <f>SUM('27'!$AL$12:$AM$12)</f>
        <v>0</v>
      </c>
      <c r="E33" s="206">
        <f>SUM('27'!$AN$12:$AO$12)</f>
        <v>0</v>
      </c>
      <c r="F33" s="108">
        <v>27</v>
      </c>
      <c r="G33" s="208">
        <f>SUM('27'!$AP$10:$AQ$10)</f>
        <v>0</v>
      </c>
      <c r="H33" s="96">
        <f>SUM('27'!$AR$10:$AS$10)</f>
        <v>0</v>
      </c>
      <c r="I33" s="207">
        <f>SUM('27'!$AP$12:$AQ$12)</f>
        <v>0</v>
      </c>
      <c r="J33" s="98">
        <f>SUM('27'!$AR$12:$AS$12)</f>
        <v>0</v>
      </c>
      <c r="K33" s="108">
        <v>27</v>
      </c>
      <c r="L33" s="202">
        <f>SUM('27'!$AX$11:$AY$11)</f>
        <v>0</v>
      </c>
      <c r="M33" s="96">
        <f>SUM('27'!$AZ$11:$BA$11)</f>
        <v>0</v>
      </c>
      <c r="N33" s="207">
        <f>SUM('27'!$AX$13:$AY$13)</f>
        <v>0</v>
      </c>
      <c r="O33" s="97">
        <f>SUM('27'!$AZ$13:$BA$13)</f>
        <v>0</v>
      </c>
      <c r="P33" s="208">
        <f>SUM('27'!$AX$10:$AY$10)</f>
        <v>0</v>
      </c>
      <c r="Q33" s="96">
        <f>SUM('27'!$AZ$10:$BA$10)</f>
        <v>0</v>
      </c>
      <c r="R33" s="207">
        <f>SUM('27'!$AX$12:$AY$12)</f>
        <v>0</v>
      </c>
      <c r="S33" s="98">
        <f>SUM('27'!$AZ$12:$BA$12)</f>
        <v>0</v>
      </c>
      <c r="T33" s="108">
        <v>27</v>
      </c>
      <c r="U33" s="94">
        <f>SUM('27'!$AP$60)</f>
        <v>11</v>
      </c>
      <c r="V33" s="97">
        <f>SUM('27'!$AQ$60)</f>
        <v>1390000</v>
      </c>
      <c r="W33" s="94">
        <f>SUM('27'!$AP$61)</f>
        <v>3</v>
      </c>
      <c r="X33" s="98">
        <f>SUM('27'!$AS$61)</f>
        <v>395000</v>
      </c>
      <c r="Y33" s="94">
        <f>SUM('27'!$AP$69)</f>
        <v>2</v>
      </c>
      <c r="Z33" s="97">
        <f>SUM('27'!$AQ$69)</f>
        <v>308000</v>
      </c>
      <c r="AA33" s="94">
        <f>SUM('27'!$AP$70)</f>
        <v>3</v>
      </c>
      <c r="AB33" s="98">
        <f>SUM('27'!$AQ$70)</f>
        <v>280500</v>
      </c>
      <c r="AC33" s="108">
        <v>27</v>
      </c>
      <c r="AD33" s="109">
        <f>SUM('27'!$AP$62)</f>
        <v>5</v>
      </c>
      <c r="AE33" s="110">
        <f>SUM('27'!$AQ$62)</f>
        <v>615000</v>
      </c>
      <c r="AF33" s="94">
        <f>SUM('27'!$AP$66)</f>
        <v>8</v>
      </c>
      <c r="AG33" s="98">
        <f>SUM('27'!$AQ$66)</f>
        <v>528000</v>
      </c>
      <c r="AH33" s="94">
        <f>SUM('27'!$AP$65)</f>
        <v>1</v>
      </c>
      <c r="AI33" s="98">
        <f>SUM('27'!$AQ$65)</f>
        <v>0</v>
      </c>
      <c r="AJ33" s="94">
        <f>SUM('27'!$AP$63)</f>
        <v>0</v>
      </c>
      <c r="AK33" s="98">
        <f>SUM('27'!$AQ$63)</f>
        <v>0</v>
      </c>
      <c r="AL33" s="94">
        <f>SUM('27'!$AP$64)</f>
        <v>0</v>
      </c>
      <c r="AM33" s="98">
        <f>SUM('27'!$AQ$64)</f>
        <v>0</v>
      </c>
      <c r="AN33" s="94">
        <f>SUM('27'!$AP$67)</f>
        <v>4</v>
      </c>
      <c r="AO33" s="98">
        <f>SUM('27'!$AQ$67)</f>
        <v>241027</v>
      </c>
      <c r="AP33" s="94">
        <f>SUM('27'!$AP$68)</f>
        <v>3</v>
      </c>
      <c r="AQ33" s="98">
        <f>SUM('27'!$AQ$68)</f>
        <v>475575</v>
      </c>
      <c r="AR33" s="108">
        <v>27</v>
      </c>
      <c r="AS33" s="94"/>
      <c r="AT33" s="94"/>
      <c r="AU33" s="94"/>
      <c r="AV33" s="94"/>
      <c r="AW33" s="94"/>
      <c r="AX33" s="350"/>
      <c r="AY33" s="211"/>
      <c r="AZ33" s="209"/>
      <c r="BA33" s="108">
        <v>27</v>
      </c>
      <c r="BB33" s="111">
        <f>SUM('27'!$AN$14:$AO$15)</f>
        <v>0</v>
      </c>
      <c r="BC33" s="112">
        <f>SUM('27'!$AR$14:$AS$15)</f>
        <v>8000</v>
      </c>
      <c r="BD33" s="112">
        <f>SUM('27'!$AZ$14:$BA$15)</f>
        <v>0</v>
      </c>
      <c r="BE33" s="112">
        <f>SUM('27'!$AS$60)</f>
        <v>1390000</v>
      </c>
      <c r="BF33" s="112">
        <f>SUM('27'!$AS$61)</f>
        <v>395000</v>
      </c>
      <c r="BG33" s="112">
        <f>SUM('27'!$AS$69)</f>
        <v>308000</v>
      </c>
      <c r="BH33" s="112">
        <f>SUM('27'!$AS$70)</f>
        <v>280500</v>
      </c>
      <c r="BI33" s="113">
        <f>SUM('27'!$AS$62)</f>
        <v>615000</v>
      </c>
      <c r="BJ33" s="113">
        <f>SUM('27'!$AS$66)</f>
        <v>528000</v>
      </c>
      <c r="BK33" s="113">
        <f>SUM('27'!$AS$67)</f>
        <v>241027</v>
      </c>
      <c r="BL33" s="113">
        <f>SUM('27'!$AS$63)</f>
        <v>0</v>
      </c>
      <c r="BM33" s="113">
        <f>SUM('27'!$AS$65)</f>
        <v>0</v>
      </c>
      <c r="BN33" s="358">
        <f>SUM('27'!$AS$68)</f>
        <v>475575</v>
      </c>
      <c r="BO33" s="114">
        <f>SUM('27'!$AS$64)</f>
        <v>0</v>
      </c>
      <c r="BP33" s="115">
        <f>SUM('27'!$AM$73)</f>
        <v>0</v>
      </c>
      <c r="BQ33" s="307">
        <f>SUM('27'!$AN$73)</f>
        <v>0</v>
      </c>
      <c r="BR33" s="308">
        <f>SUM('27'!$AP$73)</f>
        <v>40</v>
      </c>
      <c r="BS33" s="96">
        <f>SUM('27'!$AS$73)</f>
        <v>4233102</v>
      </c>
      <c r="BT33" s="309">
        <f t="shared" si="13"/>
        <v>4241102</v>
      </c>
      <c r="BU33" s="115"/>
      <c r="BV33" s="109"/>
      <c r="BW33" s="110"/>
      <c r="BX33" s="262"/>
      <c r="BY33" s="290">
        <f>BX33/27</f>
        <v>0</v>
      </c>
      <c r="BZ33" s="291">
        <f t="shared" si="14"/>
        <v>0</v>
      </c>
      <c r="CB33" s="136">
        <v>27</v>
      </c>
      <c r="CC33" s="120">
        <f t="shared" si="0"/>
        <v>1390000</v>
      </c>
      <c r="CD33" s="121"/>
      <c r="CE33" s="122"/>
      <c r="CF33" s="123"/>
      <c r="CG33" s="120">
        <f t="shared" si="1"/>
        <v>395000</v>
      </c>
      <c r="CH33" s="121"/>
      <c r="CI33" s="122"/>
      <c r="CJ33" s="123"/>
      <c r="CK33" s="120">
        <f t="shared" si="2"/>
        <v>615000</v>
      </c>
      <c r="CL33" s="121"/>
      <c r="CM33" s="122"/>
      <c r="CN33" s="123"/>
      <c r="CO33" s="120">
        <f t="shared" si="3"/>
        <v>528000</v>
      </c>
      <c r="CP33" s="121"/>
      <c r="CQ33" s="122"/>
      <c r="CR33" s="123"/>
      <c r="CS33" s="120">
        <f t="shared" si="4"/>
        <v>241027</v>
      </c>
      <c r="CT33" s="121"/>
      <c r="CU33" s="122"/>
      <c r="CV33" s="123"/>
      <c r="CW33" s="120">
        <f t="shared" si="5"/>
        <v>0</v>
      </c>
      <c r="CX33" s="121"/>
      <c r="CY33" s="122"/>
      <c r="CZ33" s="123"/>
      <c r="DA33" s="120">
        <f t="shared" si="6"/>
        <v>0</v>
      </c>
      <c r="DB33" s="121"/>
      <c r="DC33" s="122"/>
      <c r="DD33" s="123"/>
      <c r="DE33" s="120">
        <f t="shared" si="7"/>
        <v>0</v>
      </c>
      <c r="DF33" s="121"/>
      <c r="DG33" s="122"/>
      <c r="DH33" s="123"/>
      <c r="DI33" s="120">
        <f t="shared" si="8"/>
        <v>8000</v>
      </c>
      <c r="DJ33" s="121"/>
      <c r="DK33" s="122"/>
      <c r="DL33" s="123"/>
      <c r="DM33" s="120">
        <f t="shared" si="9"/>
        <v>0</v>
      </c>
      <c r="DN33" s="121">
        <f t="shared" si="10"/>
        <v>0</v>
      </c>
      <c r="DO33" s="122"/>
      <c r="DP33" s="123"/>
      <c r="DQ33" s="124">
        <f t="shared" si="15"/>
        <v>3177027</v>
      </c>
      <c r="DR33" s="125">
        <f t="shared" si="11"/>
        <v>0</v>
      </c>
      <c r="DS33" s="125">
        <f t="shared" si="16"/>
        <v>3177027</v>
      </c>
      <c r="DT33" s="137">
        <v>27</v>
      </c>
      <c r="DU33" s="131"/>
      <c r="DV33" s="132"/>
      <c r="DW33" s="132"/>
      <c r="DX33" s="132"/>
      <c r="DY33" s="132"/>
      <c r="DZ33" s="132"/>
      <c r="EA33" s="132"/>
      <c r="EB33" s="133"/>
      <c r="EC33" s="133"/>
      <c r="ED33" s="129">
        <f t="shared" si="12"/>
        <v>0</v>
      </c>
      <c r="EE33" s="913"/>
      <c r="EF33" s="914"/>
      <c r="EG33" s="914"/>
    </row>
    <row r="34" spans="1:137" ht="40.5" customHeight="1" thickBot="1" x14ac:dyDescent="0.35">
      <c r="A34" s="108">
        <v>28</v>
      </c>
      <c r="B34" s="205">
        <f>SUM('28'!$AL$10:$AM$10)</f>
        <v>0</v>
      </c>
      <c r="C34" s="203">
        <f>SUM('28'!$AN$10:$AO$10)</f>
        <v>0</v>
      </c>
      <c r="D34" s="204">
        <f>SUM('28'!$AL$12:$AM$12)</f>
        <v>0</v>
      </c>
      <c r="E34" s="206">
        <f>SUM('28'!$AN$12:$AO$12)</f>
        <v>0</v>
      </c>
      <c r="F34" s="108">
        <v>28</v>
      </c>
      <c r="G34" s="208">
        <f>SUM('28'!$AP$10:$AQ$10)</f>
        <v>0</v>
      </c>
      <c r="H34" s="96">
        <f>SUM('28'!$AR$10:$AS$10)</f>
        <v>0</v>
      </c>
      <c r="I34" s="207">
        <f>SUM('28'!$AP$12:$AQ$12)</f>
        <v>4</v>
      </c>
      <c r="J34" s="98">
        <f>SUM('28'!$AR$12:$AS$12)</f>
        <v>80000</v>
      </c>
      <c r="K34" s="108">
        <v>28</v>
      </c>
      <c r="L34" s="202">
        <f>SUM('28'!$AX$11:$AY$11)</f>
        <v>0</v>
      </c>
      <c r="M34" s="96">
        <f>SUM('28'!$AZ$11:$BA$11)</f>
        <v>0</v>
      </c>
      <c r="N34" s="207">
        <f>SUM('28'!$AX$13:$AY$13)</f>
        <v>0</v>
      </c>
      <c r="O34" s="97">
        <f>SUM('28'!$AZ$13:$BA$13)</f>
        <v>0</v>
      </c>
      <c r="P34" s="208">
        <f>SUM('28'!$AX$10:$AY$10)</f>
        <v>0</v>
      </c>
      <c r="Q34" s="96">
        <f>SUM('28'!$AZ$10:$BA$10)</f>
        <v>0</v>
      </c>
      <c r="R34" s="207">
        <f>SUM('28'!$AX$12:$AY$12)</f>
        <v>0</v>
      </c>
      <c r="S34" s="98">
        <f>SUM('28'!$AZ$12:$BA$12)</f>
        <v>0</v>
      </c>
      <c r="T34" s="108">
        <v>28</v>
      </c>
      <c r="U34" s="94">
        <f>SUM('28'!$AP$60)</f>
        <v>3</v>
      </c>
      <c r="V34" s="97">
        <f>SUM('28'!$AQ$60)</f>
        <v>185000</v>
      </c>
      <c r="W34" s="94">
        <f>SUM('28'!$AP$61)</f>
        <v>5</v>
      </c>
      <c r="X34" s="98">
        <f>SUM('28'!$AS$61)</f>
        <v>425000</v>
      </c>
      <c r="Y34" s="94">
        <f>SUM('28'!$AP$69)</f>
        <v>0</v>
      </c>
      <c r="Z34" s="97">
        <f>SUM('28'!$AQ$69)</f>
        <v>0</v>
      </c>
      <c r="AA34" s="94">
        <f>SUM('28'!$AP$70)</f>
        <v>0</v>
      </c>
      <c r="AB34" s="98">
        <f>SUM('28'!$AQ$70)</f>
        <v>0</v>
      </c>
      <c r="AC34" s="108">
        <v>28</v>
      </c>
      <c r="AD34" s="109">
        <f>SUM('28'!$AP$62)</f>
        <v>6</v>
      </c>
      <c r="AE34" s="110">
        <f>SUM('28'!$AQ$62)</f>
        <v>126700</v>
      </c>
      <c r="AF34" s="94">
        <f>SUM('28'!$AP$66)</f>
        <v>3</v>
      </c>
      <c r="AG34" s="98">
        <f>SUM('28'!$AQ$66)</f>
        <v>220500</v>
      </c>
      <c r="AH34" s="94">
        <f>SUM('28'!$AP$65)</f>
        <v>1</v>
      </c>
      <c r="AI34" s="98">
        <f>SUM('28'!$AQ$65)</f>
        <v>0</v>
      </c>
      <c r="AJ34" s="94">
        <f>SUM('28'!$AP$63)</f>
        <v>0</v>
      </c>
      <c r="AK34" s="98">
        <f>SUM('28'!$AQ$63)</f>
        <v>0</v>
      </c>
      <c r="AL34" s="94">
        <f>SUM('28'!$AP$64)</f>
        <v>0</v>
      </c>
      <c r="AM34" s="98">
        <f>SUM('28'!$AQ$64)</f>
        <v>0</v>
      </c>
      <c r="AN34" s="94">
        <f>SUM('28'!$AP$67)</f>
        <v>1</v>
      </c>
      <c r="AO34" s="98">
        <f>SUM('28'!$AQ$67)</f>
        <v>145572</v>
      </c>
      <c r="AP34" s="94">
        <f>SUM('28'!$AP$68)</f>
        <v>0</v>
      </c>
      <c r="AQ34" s="98">
        <f>SUM('28'!$AQ$68)</f>
        <v>0</v>
      </c>
      <c r="AR34" s="108">
        <v>28</v>
      </c>
      <c r="AS34" s="94"/>
      <c r="AT34" s="94"/>
      <c r="AU34" s="94"/>
      <c r="AV34" s="94"/>
      <c r="AW34" s="94"/>
      <c r="AX34" s="350"/>
      <c r="AY34" s="211"/>
      <c r="AZ34" s="209"/>
      <c r="BA34" s="108">
        <v>28</v>
      </c>
      <c r="BB34" s="111">
        <f>SUM('28'!$AN$14:$AO$15)</f>
        <v>0</v>
      </c>
      <c r="BC34" s="112">
        <f>SUM('28'!$AR$14:$AS$15)</f>
        <v>82000</v>
      </c>
      <c r="BD34" s="112">
        <f>SUM('28'!$AZ$14:$BA$15)</f>
        <v>0</v>
      </c>
      <c r="BE34" s="112">
        <f>SUM('28'!$AS$60)</f>
        <v>185000</v>
      </c>
      <c r="BF34" s="112">
        <f>SUM('28'!$AS$61)</f>
        <v>425000</v>
      </c>
      <c r="BG34" s="112">
        <f>SUM('28'!$AS$69)</f>
        <v>0</v>
      </c>
      <c r="BH34" s="112">
        <f>SUM('28'!$AS$70)</f>
        <v>0</v>
      </c>
      <c r="BI34" s="113">
        <f>SUM('28'!$AS$62)</f>
        <v>126700</v>
      </c>
      <c r="BJ34" s="113">
        <f>SUM('28'!$AS$66)</f>
        <v>220500</v>
      </c>
      <c r="BK34" s="113">
        <f>SUM('28'!$AS$67)</f>
        <v>145572</v>
      </c>
      <c r="BL34" s="113">
        <f>SUM('28'!$AS$63)</f>
        <v>0</v>
      </c>
      <c r="BM34" s="113">
        <f>SUM('28'!$AS$65)</f>
        <v>0</v>
      </c>
      <c r="BN34" s="358">
        <f>SUM('28'!$AS$68)</f>
        <v>0</v>
      </c>
      <c r="BO34" s="114">
        <f>SUM('28'!$AS$64)</f>
        <v>0</v>
      </c>
      <c r="BP34" s="115">
        <f>SUM('28'!$AM$73)</f>
        <v>0</v>
      </c>
      <c r="BQ34" s="307">
        <f>SUM('28'!$AN$73)</f>
        <v>0</v>
      </c>
      <c r="BR34" s="308">
        <f>SUM('28'!$AP$73)</f>
        <v>19</v>
      </c>
      <c r="BS34" s="96">
        <f>SUM('28'!$AS$73)</f>
        <v>1102772</v>
      </c>
      <c r="BT34" s="309">
        <f t="shared" si="13"/>
        <v>1184772</v>
      </c>
      <c r="BU34" s="115"/>
      <c r="BV34" s="116"/>
      <c r="BW34" s="110"/>
      <c r="BX34" s="262"/>
      <c r="BY34" s="290">
        <f>BX34/28</f>
        <v>0</v>
      </c>
      <c r="BZ34" s="291">
        <f t="shared" si="14"/>
        <v>0</v>
      </c>
      <c r="CB34" s="130">
        <v>28</v>
      </c>
      <c r="CC34" s="120">
        <f t="shared" si="0"/>
        <v>185000</v>
      </c>
      <c r="CD34" s="121"/>
      <c r="CE34" s="122"/>
      <c r="CF34" s="123"/>
      <c r="CG34" s="120">
        <f t="shared" si="1"/>
        <v>425000</v>
      </c>
      <c r="CH34" s="121"/>
      <c r="CI34" s="122"/>
      <c r="CJ34" s="123"/>
      <c r="CK34" s="120">
        <f t="shared" si="2"/>
        <v>126700</v>
      </c>
      <c r="CL34" s="121"/>
      <c r="CM34" s="122"/>
      <c r="CN34" s="123"/>
      <c r="CO34" s="120">
        <f t="shared" si="3"/>
        <v>220500</v>
      </c>
      <c r="CP34" s="121"/>
      <c r="CQ34" s="122"/>
      <c r="CR34" s="123"/>
      <c r="CS34" s="120">
        <f t="shared" si="4"/>
        <v>145572</v>
      </c>
      <c r="CT34" s="121"/>
      <c r="CU34" s="122"/>
      <c r="CV34" s="123"/>
      <c r="CW34" s="120">
        <f t="shared" si="5"/>
        <v>0</v>
      </c>
      <c r="CX34" s="121"/>
      <c r="CY34" s="122"/>
      <c r="CZ34" s="123"/>
      <c r="DA34" s="120">
        <f t="shared" si="6"/>
        <v>0</v>
      </c>
      <c r="DB34" s="121"/>
      <c r="DC34" s="122"/>
      <c r="DD34" s="123"/>
      <c r="DE34" s="120">
        <f t="shared" si="7"/>
        <v>0</v>
      </c>
      <c r="DF34" s="121"/>
      <c r="DG34" s="122"/>
      <c r="DH34" s="123"/>
      <c r="DI34" s="120">
        <f t="shared" si="8"/>
        <v>82000</v>
      </c>
      <c r="DJ34" s="121"/>
      <c r="DK34" s="122"/>
      <c r="DL34" s="123"/>
      <c r="DM34" s="120">
        <f t="shared" si="9"/>
        <v>0</v>
      </c>
      <c r="DN34" s="121">
        <f t="shared" si="10"/>
        <v>0</v>
      </c>
      <c r="DO34" s="122"/>
      <c r="DP34" s="123"/>
      <c r="DQ34" s="124">
        <f t="shared" si="15"/>
        <v>1184772</v>
      </c>
      <c r="DR34" s="125">
        <f t="shared" si="11"/>
        <v>0</v>
      </c>
      <c r="DS34" s="125">
        <f t="shared" si="16"/>
        <v>1184772</v>
      </c>
      <c r="DT34" s="352">
        <v>28</v>
      </c>
      <c r="DU34" s="131"/>
      <c r="DV34" s="132"/>
      <c r="DW34" s="132"/>
      <c r="DX34" s="132"/>
      <c r="DY34" s="132"/>
      <c r="DZ34" s="132"/>
      <c r="EA34" s="132"/>
      <c r="EB34" s="133"/>
      <c r="EC34" s="133"/>
      <c r="ED34" s="129">
        <f t="shared" si="12"/>
        <v>0</v>
      </c>
    </row>
    <row r="35" spans="1:137" ht="40.5" customHeight="1" thickBot="1" x14ac:dyDescent="0.35">
      <c r="A35" s="108">
        <v>29</v>
      </c>
      <c r="B35" s="205">
        <f>SUM('29'!$AL$10:$AM$10)</f>
        <v>0</v>
      </c>
      <c r="C35" s="203">
        <f>SUM('29'!$AN$10:$AO$10)</f>
        <v>0</v>
      </c>
      <c r="D35" s="204">
        <f>SUM('29'!$AL$12:$AM$12)</f>
        <v>0</v>
      </c>
      <c r="E35" s="206">
        <f>SUM('29'!$AN$12:$AO$12)</f>
        <v>0</v>
      </c>
      <c r="F35" s="108">
        <v>29</v>
      </c>
      <c r="G35" s="208">
        <f>SUM('29'!$AP$10:$AQ$10)</f>
        <v>0</v>
      </c>
      <c r="H35" s="96">
        <f>SUM('29'!$AR$10:$AS$10)</f>
        <v>0</v>
      </c>
      <c r="I35" s="207">
        <f>SUM('29'!$AP$12:$AQ$12)</f>
        <v>0</v>
      </c>
      <c r="J35" s="98">
        <f>SUM('29'!$AR$12:$AS$12)</f>
        <v>0</v>
      </c>
      <c r="K35" s="108">
        <v>29</v>
      </c>
      <c r="L35" s="202">
        <f>SUM('29'!$AX$11:$AY$11)</f>
        <v>0</v>
      </c>
      <c r="M35" s="96">
        <f>SUM('29'!$AZ$11:$BA$11)</f>
        <v>0</v>
      </c>
      <c r="N35" s="207">
        <f>SUM('29'!$AX$13:$AY$13)</f>
        <v>0</v>
      </c>
      <c r="O35" s="97">
        <f>SUM('29'!$AZ$13:$BA$13)</f>
        <v>0</v>
      </c>
      <c r="P35" s="208">
        <f>SUM('29'!$AX$10:$AY$10)</f>
        <v>0</v>
      </c>
      <c r="Q35" s="96">
        <f>SUM('29'!$AZ$10:$BA$10)</f>
        <v>0</v>
      </c>
      <c r="R35" s="207">
        <f>SUM('29'!$AX$12:$AY$12)</f>
        <v>0</v>
      </c>
      <c r="S35" s="98">
        <f>SUM('29'!$AZ$12:$BA$12)</f>
        <v>0</v>
      </c>
      <c r="T35" s="108">
        <v>29</v>
      </c>
      <c r="U35" s="94">
        <f>SUM('29'!$AP$60)</f>
        <v>10</v>
      </c>
      <c r="V35" s="97">
        <f>SUM('29'!$AQ$60)</f>
        <v>725000</v>
      </c>
      <c r="W35" s="94">
        <f>SUM('29'!$AP$61)</f>
        <v>9</v>
      </c>
      <c r="X35" s="98">
        <f>SUM('29'!$AS$61)</f>
        <v>500000</v>
      </c>
      <c r="Y35" s="94">
        <f>SUM('29'!$AP$69)</f>
        <v>1</v>
      </c>
      <c r="Z35" s="97">
        <f>SUM('29'!$AQ$69)</f>
        <v>71500</v>
      </c>
      <c r="AA35" s="94">
        <f>SUM('29'!$AP$70)</f>
        <v>0</v>
      </c>
      <c r="AB35" s="98">
        <f>SUM('29'!$AQ$70)</f>
        <v>0</v>
      </c>
      <c r="AC35" s="108">
        <v>29</v>
      </c>
      <c r="AD35" s="109">
        <f>SUM('29'!$AP$62)</f>
        <v>5</v>
      </c>
      <c r="AE35" s="110">
        <f>SUM('29'!$AQ$62)</f>
        <v>0</v>
      </c>
      <c r="AF35" s="94">
        <f>SUM('29'!$AP$66)</f>
        <v>3</v>
      </c>
      <c r="AG35" s="98">
        <f>SUM('29'!$AQ$66)</f>
        <v>0</v>
      </c>
      <c r="AH35" s="94">
        <f>SUM('29'!$AP$65)</f>
        <v>0</v>
      </c>
      <c r="AI35" s="98">
        <f>SUM('29'!$AQ$65)</f>
        <v>0</v>
      </c>
      <c r="AJ35" s="94">
        <f>SUM('29'!$AP$63)</f>
        <v>0</v>
      </c>
      <c r="AK35" s="98">
        <f>SUM('29'!$AQ$63)</f>
        <v>0</v>
      </c>
      <c r="AL35" s="94">
        <f>SUM('29'!$AP$64)</f>
        <v>0</v>
      </c>
      <c r="AM35" s="98">
        <f>SUM('29'!$AQ$64)</f>
        <v>0</v>
      </c>
      <c r="AN35" s="94">
        <f>SUM('29'!$AP$67)</f>
        <v>1</v>
      </c>
      <c r="AO35" s="98">
        <f>SUM('29'!$AQ$67)</f>
        <v>0</v>
      </c>
      <c r="AP35" s="94">
        <f>SUM('29'!$AP$68)</f>
        <v>0</v>
      </c>
      <c r="AQ35" s="98">
        <f>SUM('29'!$AQ$68)</f>
        <v>0</v>
      </c>
      <c r="AR35" s="108">
        <v>29</v>
      </c>
      <c r="AS35" s="94"/>
      <c r="AT35" s="94"/>
      <c r="AU35" s="94"/>
      <c r="AV35" s="94"/>
      <c r="AW35" s="94"/>
      <c r="AX35" s="350"/>
      <c r="AY35" s="211"/>
      <c r="AZ35" s="209"/>
      <c r="BA35" s="108">
        <v>29</v>
      </c>
      <c r="BB35" s="111">
        <f>SUM('29'!$AN$14:$AO$15)</f>
        <v>0</v>
      </c>
      <c r="BC35" s="112">
        <f>SUM('29'!$AR$14:$AS$15)</f>
        <v>10000</v>
      </c>
      <c r="BD35" s="112">
        <f>SUM('29'!$AZ$14:$BA$15)</f>
        <v>0</v>
      </c>
      <c r="BE35" s="112">
        <f>SUM('29'!$AS$60)</f>
        <v>725000</v>
      </c>
      <c r="BF35" s="112">
        <f>SUM('29'!$AS$61)</f>
        <v>500000</v>
      </c>
      <c r="BG35" s="112">
        <f>SUM('29'!$AS$69)</f>
        <v>71500</v>
      </c>
      <c r="BH35" s="112">
        <f>SUM('29'!$AS$70)</f>
        <v>0</v>
      </c>
      <c r="BI35" s="113">
        <f>SUM('29'!$AS$62)</f>
        <v>0</v>
      </c>
      <c r="BJ35" s="113">
        <f>SUM('29'!$AS$66)</f>
        <v>0</v>
      </c>
      <c r="BK35" s="113">
        <f>SUM('29'!$AS$67)</f>
        <v>0</v>
      </c>
      <c r="BL35" s="113">
        <f>SUM('29'!$AS$63)</f>
        <v>0</v>
      </c>
      <c r="BM35" s="113">
        <f>SUM('29'!$AS$65)</f>
        <v>0</v>
      </c>
      <c r="BN35" s="358">
        <f>SUM('29'!$AS$68)</f>
        <v>0</v>
      </c>
      <c r="BO35" s="114">
        <f>SUM('29'!$AS$64)</f>
        <v>0</v>
      </c>
      <c r="BP35" s="115">
        <f>SUM('29'!$AM$73)</f>
        <v>0</v>
      </c>
      <c r="BQ35" s="307">
        <f>SUM('29'!$AN$73)</f>
        <v>0</v>
      </c>
      <c r="BR35" s="308">
        <f>SUM('29'!$AP$73)</f>
        <v>29</v>
      </c>
      <c r="BS35" s="96">
        <f>SUM('29'!$AS$73)</f>
        <v>1296500</v>
      </c>
      <c r="BT35" s="309">
        <f t="shared" si="13"/>
        <v>1306500</v>
      </c>
      <c r="BU35" s="115"/>
      <c r="BV35" s="142"/>
      <c r="BW35" s="110"/>
      <c r="BX35" s="262"/>
      <c r="BY35" s="290">
        <f>BX35/29</f>
        <v>0</v>
      </c>
      <c r="BZ35" s="291">
        <f t="shared" si="14"/>
        <v>0</v>
      </c>
      <c r="CB35" s="130">
        <v>29</v>
      </c>
      <c r="CC35" s="120">
        <f t="shared" si="0"/>
        <v>725000</v>
      </c>
      <c r="CD35" s="121"/>
      <c r="CE35" s="122"/>
      <c r="CF35" s="123"/>
      <c r="CG35" s="120">
        <f t="shared" si="1"/>
        <v>500000</v>
      </c>
      <c r="CH35" s="121"/>
      <c r="CI35" s="122"/>
      <c r="CJ35" s="123"/>
      <c r="CK35" s="120">
        <f t="shared" si="2"/>
        <v>0</v>
      </c>
      <c r="CL35" s="121"/>
      <c r="CM35" s="122"/>
      <c r="CN35" s="123"/>
      <c r="CO35" s="120">
        <f t="shared" si="3"/>
        <v>0</v>
      </c>
      <c r="CP35" s="121"/>
      <c r="CQ35" s="122"/>
      <c r="CR35" s="123"/>
      <c r="CS35" s="120">
        <f t="shared" si="4"/>
        <v>0</v>
      </c>
      <c r="CT35" s="121"/>
      <c r="CU35" s="122"/>
      <c r="CV35" s="123"/>
      <c r="CW35" s="120">
        <f t="shared" si="5"/>
        <v>0</v>
      </c>
      <c r="CX35" s="121"/>
      <c r="CY35" s="122"/>
      <c r="CZ35" s="123"/>
      <c r="DA35" s="120">
        <f t="shared" si="6"/>
        <v>0</v>
      </c>
      <c r="DB35" s="121"/>
      <c r="DC35" s="122"/>
      <c r="DD35" s="123"/>
      <c r="DE35" s="120">
        <f t="shared" si="7"/>
        <v>0</v>
      </c>
      <c r="DF35" s="121"/>
      <c r="DG35" s="122"/>
      <c r="DH35" s="123"/>
      <c r="DI35" s="120">
        <f t="shared" si="8"/>
        <v>10000</v>
      </c>
      <c r="DJ35" s="121"/>
      <c r="DK35" s="122"/>
      <c r="DL35" s="123"/>
      <c r="DM35" s="120">
        <f t="shared" si="9"/>
        <v>0</v>
      </c>
      <c r="DN35" s="121">
        <f t="shared" si="10"/>
        <v>0</v>
      </c>
      <c r="DO35" s="122"/>
      <c r="DP35" s="123"/>
      <c r="DQ35" s="124">
        <f t="shared" si="15"/>
        <v>1235000</v>
      </c>
      <c r="DR35" s="125">
        <f t="shared" si="11"/>
        <v>0</v>
      </c>
      <c r="DS35" s="125">
        <f t="shared" si="16"/>
        <v>1235000</v>
      </c>
      <c r="DT35" s="352">
        <v>29</v>
      </c>
      <c r="DU35" s="131"/>
      <c r="DV35" s="132"/>
      <c r="DW35" s="132"/>
      <c r="DX35" s="132"/>
      <c r="DY35" s="132"/>
      <c r="DZ35" s="132"/>
      <c r="EA35" s="132"/>
      <c r="EB35" s="133"/>
      <c r="EC35" s="133"/>
      <c r="ED35" s="129">
        <f t="shared" si="12"/>
        <v>0</v>
      </c>
    </row>
    <row r="36" spans="1:137" ht="40.5" customHeight="1" thickBot="1" x14ac:dyDescent="0.35">
      <c r="A36" s="108">
        <v>30</v>
      </c>
      <c r="B36" s="205">
        <f>SUM('30'!$AL$10:$AM$10)</f>
        <v>1</v>
      </c>
      <c r="C36" s="203">
        <f>SUM('30'!$AN$10:$AO$10)</f>
        <v>0</v>
      </c>
      <c r="D36" s="204">
        <f>SUM('30'!$AL$12:$AM$12)</f>
        <v>0</v>
      </c>
      <c r="E36" s="206">
        <f>SUM('30'!$AN$12:$AO$12)</f>
        <v>0</v>
      </c>
      <c r="F36" s="108">
        <v>30</v>
      </c>
      <c r="G36" s="208">
        <f>SUM('30'!$AP$10:$AQ$10)</f>
        <v>0</v>
      </c>
      <c r="H36" s="96">
        <f>SUM('30'!$AR$10:$AS$10)</f>
        <v>0</v>
      </c>
      <c r="I36" s="207">
        <f>SUM('30'!$AP$12:$AQ$12)</f>
        <v>0</v>
      </c>
      <c r="J36" s="98">
        <f>SUM('30'!$AR$12:$AS$12)</f>
        <v>0</v>
      </c>
      <c r="K36" s="108">
        <v>30</v>
      </c>
      <c r="L36" s="202">
        <f>SUM('30'!$AX$11:$AY$11)</f>
        <v>0</v>
      </c>
      <c r="M36" s="96">
        <f>SUM('30'!$AZ$11:$BA$11)</f>
        <v>0</v>
      </c>
      <c r="N36" s="207">
        <f>SUM('30'!$AX$13:$AY$13)</f>
        <v>0</v>
      </c>
      <c r="O36" s="97">
        <f>SUM('30'!$AZ$13:$BA$13)</f>
        <v>0</v>
      </c>
      <c r="P36" s="208">
        <f>SUM('30'!$AX$10:$AY$10)</f>
        <v>0</v>
      </c>
      <c r="Q36" s="96">
        <f>SUM('30'!$AZ$10:$BA$10)</f>
        <v>0</v>
      </c>
      <c r="R36" s="207">
        <f>SUM('30'!$AX$12:$AY$12)</f>
        <v>0</v>
      </c>
      <c r="S36" s="98">
        <f>SUM('30'!$AZ$12:$BA$12)</f>
        <v>0</v>
      </c>
      <c r="T36" s="108">
        <v>30</v>
      </c>
      <c r="U36" s="94">
        <f>SUM('30'!$AP$60)</f>
        <v>11</v>
      </c>
      <c r="V36" s="97">
        <f>SUM('30'!$AQ$60)</f>
        <v>605000</v>
      </c>
      <c r="W36" s="94">
        <f>SUM('30'!$AP$61)</f>
        <v>9</v>
      </c>
      <c r="X36" s="98">
        <f>SUM('30'!$AS$61)</f>
        <v>580000</v>
      </c>
      <c r="Y36" s="94">
        <f>SUM('30'!$AP$69)</f>
        <v>1</v>
      </c>
      <c r="Z36" s="97">
        <f>SUM('30'!$AQ$69)</f>
        <v>71500</v>
      </c>
      <c r="AA36" s="94">
        <f>SUM('30'!$AP$70)</f>
        <v>1</v>
      </c>
      <c r="AB36" s="98">
        <f>SUM('30'!$AQ$70)</f>
        <v>143000</v>
      </c>
      <c r="AC36" s="108">
        <v>30</v>
      </c>
      <c r="AD36" s="109">
        <f>SUM('30'!$AP$62)</f>
        <v>4</v>
      </c>
      <c r="AE36" s="110">
        <f>SUM('30'!$AQ$62)</f>
        <v>0</v>
      </c>
      <c r="AF36" s="94">
        <f>SUM('30'!$AP$66)</f>
        <v>5</v>
      </c>
      <c r="AG36" s="98">
        <f>SUM('30'!$AQ$66)</f>
        <v>420000</v>
      </c>
      <c r="AH36" s="94">
        <f>SUM('30'!$AP$65)</f>
        <v>0</v>
      </c>
      <c r="AI36" s="98">
        <f>SUM('30'!$AQ$65)</f>
        <v>0</v>
      </c>
      <c r="AJ36" s="94">
        <f>SUM('30'!$AP$63)</f>
        <v>0</v>
      </c>
      <c r="AK36" s="98">
        <f>SUM('30'!$AQ$63)</f>
        <v>0</v>
      </c>
      <c r="AL36" s="94">
        <f>SUM('30'!$AP$64)</f>
        <v>0</v>
      </c>
      <c r="AM36" s="98">
        <f>SUM('30'!$AQ$64)</f>
        <v>0</v>
      </c>
      <c r="AN36" s="94">
        <f>SUM('30'!$AP$67)</f>
        <v>0</v>
      </c>
      <c r="AO36" s="98">
        <f>SUM('30'!$AQ$67)</f>
        <v>0</v>
      </c>
      <c r="AP36" s="94">
        <f>SUM('30'!$AP$68)</f>
        <v>1</v>
      </c>
      <c r="AQ36" s="98">
        <f>SUM('30'!$AQ$68)</f>
        <v>193376</v>
      </c>
      <c r="AR36" s="108">
        <v>30</v>
      </c>
      <c r="AS36" s="94"/>
      <c r="AT36" s="94"/>
      <c r="AU36" s="94"/>
      <c r="AV36" s="94"/>
      <c r="AW36" s="94"/>
      <c r="AX36" s="350"/>
      <c r="AY36" s="211"/>
      <c r="AZ36" s="209"/>
      <c r="BA36" s="108">
        <v>30</v>
      </c>
      <c r="BB36" s="111">
        <f>SUM('30'!$AN$14:$AO$15)</f>
        <v>0</v>
      </c>
      <c r="BC36" s="112">
        <f>SUM('30'!$AR$14:$AS$15)</f>
        <v>8000</v>
      </c>
      <c r="BD36" s="112">
        <f>SUM('30'!$AZ$14:$BA$15)</f>
        <v>0</v>
      </c>
      <c r="BE36" s="112">
        <f>SUM('30'!$AS$60)</f>
        <v>605000</v>
      </c>
      <c r="BF36" s="112">
        <f>SUM('30'!$AS$61)</f>
        <v>580000</v>
      </c>
      <c r="BG36" s="112">
        <f>SUM('30'!$AS$69)</f>
        <v>71500</v>
      </c>
      <c r="BH36" s="112">
        <f>SUM('30'!$AS$70)</f>
        <v>143000</v>
      </c>
      <c r="BI36" s="113">
        <f>SUM('30'!$AS$62)</f>
        <v>0</v>
      </c>
      <c r="BJ36" s="113">
        <f>SUM('30'!$AS$66)</f>
        <v>420000</v>
      </c>
      <c r="BK36" s="113">
        <f>SUM('30'!$AS$67)</f>
        <v>0</v>
      </c>
      <c r="BL36" s="113">
        <f>SUM('30'!$AS$63)</f>
        <v>0</v>
      </c>
      <c r="BM36" s="113">
        <f>SUM('30'!$AS$65)</f>
        <v>0</v>
      </c>
      <c r="BN36" s="358">
        <f>SUM('30'!$AS$68)</f>
        <v>193376</v>
      </c>
      <c r="BO36" s="114">
        <f>SUM('30'!$AS$64)</f>
        <v>0</v>
      </c>
      <c r="BP36" s="115">
        <f>SUM('30'!$AM$73)</f>
        <v>0</v>
      </c>
      <c r="BQ36" s="307">
        <f>SUM('30'!$AN$73)</f>
        <v>0</v>
      </c>
      <c r="BR36" s="308">
        <f>SUM('30'!$AP$73)</f>
        <v>32</v>
      </c>
      <c r="BS36" s="96">
        <f>SUM('30'!$AS$73)</f>
        <v>2012876</v>
      </c>
      <c r="BT36" s="309">
        <f t="shared" si="13"/>
        <v>2020876</v>
      </c>
      <c r="BU36" s="115"/>
      <c r="BV36" s="109"/>
      <c r="BW36" s="110"/>
      <c r="BX36" s="262"/>
      <c r="BY36" s="290">
        <f>BX36/30</f>
        <v>0</v>
      </c>
      <c r="BZ36" s="291">
        <f t="shared" si="14"/>
        <v>0</v>
      </c>
      <c r="CB36" s="130">
        <v>30</v>
      </c>
      <c r="CC36" s="120">
        <f t="shared" si="0"/>
        <v>605000</v>
      </c>
      <c r="CD36" s="121"/>
      <c r="CE36" s="122"/>
      <c r="CF36" s="123"/>
      <c r="CG36" s="120">
        <f t="shared" si="1"/>
        <v>580000</v>
      </c>
      <c r="CH36" s="121"/>
      <c r="CI36" s="122"/>
      <c r="CJ36" s="123"/>
      <c r="CK36" s="120">
        <f t="shared" si="2"/>
        <v>0</v>
      </c>
      <c r="CL36" s="121"/>
      <c r="CM36" s="122"/>
      <c r="CN36" s="123"/>
      <c r="CO36" s="120">
        <f t="shared" si="3"/>
        <v>420000</v>
      </c>
      <c r="CP36" s="121"/>
      <c r="CQ36" s="122"/>
      <c r="CR36" s="123"/>
      <c r="CS36" s="120">
        <f t="shared" si="4"/>
        <v>0</v>
      </c>
      <c r="CT36" s="121"/>
      <c r="CU36" s="122"/>
      <c r="CV36" s="123"/>
      <c r="CW36" s="120">
        <f t="shared" si="5"/>
        <v>0</v>
      </c>
      <c r="CX36" s="121"/>
      <c r="CY36" s="122"/>
      <c r="CZ36" s="123"/>
      <c r="DA36" s="120">
        <f t="shared" si="6"/>
        <v>0</v>
      </c>
      <c r="DB36" s="121"/>
      <c r="DC36" s="122"/>
      <c r="DD36" s="123"/>
      <c r="DE36" s="120">
        <f t="shared" si="7"/>
        <v>0</v>
      </c>
      <c r="DF36" s="121"/>
      <c r="DG36" s="122"/>
      <c r="DH36" s="123"/>
      <c r="DI36" s="120">
        <f t="shared" si="8"/>
        <v>8000</v>
      </c>
      <c r="DJ36" s="121"/>
      <c r="DK36" s="122"/>
      <c r="DL36" s="123"/>
      <c r="DM36" s="120">
        <f t="shared" si="9"/>
        <v>0</v>
      </c>
      <c r="DN36" s="121">
        <f t="shared" si="10"/>
        <v>0</v>
      </c>
      <c r="DO36" s="122"/>
      <c r="DP36" s="123"/>
      <c r="DQ36" s="124">
        <f t="shared" si="15"/>
        <v>1613000</v>
      </c>
      <c r="DR36" s="125">
        <f t="shared" si="11"/>
        <v>0</v>
      </c>
      <c r="DS36" s="125">
        <f t="shared" si="16"/>
        <v>1613000</v>
      </c>
      <c r="DT36" s="352">
        <v>30</v>
      </c>
      <c r="DU36" s="131"/>
      <c r="DV36" s="132"/>
      <c r="DW36" s="132"/>
      <c r="DX36" s="132"/>
      <c r="DY36" s="132"/>
      <c r="DZ36" s="132"/>
      <c r="EA36" s="132"/>
      <c r="EB36" s="133"/>
      <c r="EC36" s="133"/>
      <c r="ED36" s="129">
        <f t="shared" si="12"/>
        <v>0</v>
      </c>
    </row>
    <row r="37" spans="1:137" ht="40.5" customHeight="1" thickBot="1" x14ac:dyDescent="0.35">
      <c r="A37" s="143" t="s">
        <v>123</v>
      </c>
      <c r="B37" s="148">
        <f>SUM(B7:B36)</f>
        <v>2</v>
      </c>
      <c r="C37" s="145">
        <f>SUM(C7:C36)</f>
        <v>70000</v>
      </c>
      <c r="D37" s="146">
        <f>SUM(D7:D36)</f>
        <v>1</v>
      </c>
      <c r="E37" s="149">
        <f>SUM(E7:E36)</f>
        <v>10000</v>
      </c>
      <c r="F37" s="143" t="s">
        <v>123</v>
      </c>
      <c r="G37" s="148">
        <f>SUM(G7:G36)</f>
        <v>33</v>
      </c>
      <c r="H37" s="145">
        <f>SUM(H7:H36)</f>
        <v>2910000</v>
      </c>
      <c r="I37" s="146">
        <f>SUM(I7:I36)</f>
        <v>23</v>
      </c>
      <c r="J37" s="149">
        <f>SUM(J7:J36)</f>
        <v>2615000</v>
      </c>
      <c r="K37" s="143" t="s">
        <v>123</v>
      </c>
      <c r="L37" s="144">
        <f t="shared" ref="L37:S37" si="17">SUM(L7:L36)</f>
        <v>0</v>
      </c>
      <c r="M37" s="145">
        <f t="shared" si="17"/>
        <v>0</v>
      </c>
      <c r="N37" s="146">
        <f t="shared" si="17"/>
        <v>7</v>
      </c>
      <c r="O37" s="147">
        <f t="shared" si="17"/>
        <v>0</v>
      </c>
      <c r="P37" s="148">
        <f t="shared" si="17"/>
        <v>0</v>
      </c>
      <c r="Q37" s="145">
        <f t="shared" si="17"/>
        <v>0</v>
      </c>
      <c r="R37" s="146">
        <f t="shared" si="17"/>
        <v>2</v>
      </c>
      <c r="S37" s="149">
        <f t="shared" si="17"/>
        <v>2770000</v>
      </c>
      <c r="T37" s="143" t="s">
        <v>123</v>
      </c>
      <c r="U37" s="150">
        <f t="shared" ref="U37:AB37" si="18">SUM(U7:U36)</f>
        <v>226</v>
      </c>
      <c r="V37" s="147">
        <f t="shared" si="18"/>
        <v>18885000</v>
      </c>
      <c r="W37" s="150">
        <f t="shared" si="18"/>
        <v>203</v>
      </c>
      <c r="X37" s="149">
        <f t="shared" si="18"/>
        <v>15380000</v>
      </c>
      <c r="Y37" s="150">
        <f t="shared" si="18"/>
        <v>40</v>
      </c>
      <c r="Z37" s="147">
        <f t="shared" si="18"/>
        <v>3509000</v>
      </c>
      <c r="AA37" s="150">
        <f t="shared" si="18"/>
        <v>16</v>
      </c>
      <c r="AB37" s="149">
        <f t="shared" si="18"/>
        <v>1771000</v>
      </c>
      <c r="AC37" s="143" t="s">
        <v>123</v>
      </c>
      <c r="AD37" s="150">
        <f t="shared" ref="AD37:AQ37" si="19">SUM(AD7:AD36)</f>
        <v>43</v>
      </c>
      <c r="AE37" s="147">
        <f t="shared" si="19"/>
        <v>4552900</v>
      </c>
      <c r="AF37" s="150">
        <f t="shared" si="19"/>
        <v>121</v>
      </c>
      <c r="AG37" s="149">
        <f t="shared" si="19"/>
        <v>10090200</v>
      </c>
      <c r="AH37" s="150">
        <f t="shared" si="19"/>
        <v>23</v>
      </c>
      <c r="AI37" s="149">
        <f t="shared" si="19"/>
        <v>2097205</v>
      </c>
      <c r="AJ37" s="150">
        <f t="shared" si="19"/>
        <v>0</v>
      </c>
      <c r="AK37" s="149">
        <f t="shared" si="19"/>
        <v>0</v>
      </c>
      <c r="AL37" s="150">
        <f t="shared" si="19"/>
        <v>0</v>
      </c>
      <c r="AM37" s="149">
        <f t="shared" si="19"/>
        <v>0</v>
      </c>
      <c r="AN37" s="150">
        <f t="shared" si="19"/>
        <v>67</v>
      </c>
      <c r="AO37" s="149">
        <f t="shared" si="19"/>
        <v>5640300</v>
      </c>
      <c r="AP37" s="150">
        <f t="shared" si="19"/>
        <v>23</v>
      </c>
      <c r="AQ37" s="149">
        <f t="shared" si="19"/>
        <v>2963316</v>
      </c>
      <c r="AR37" s="143" t="s">
        <v>123</v>
      </c>
      <c r="AS37" s="94">
        <f t="shared" ref="AS37:AZ37" si="20">SUM(AS7:AS36)</f>
        <v>0</v>
      </c>
      <c r="AT37" s="94">
        <f t="shared" si="20"/>
        <v>0</v>
      </c>
      <c r="AU37" s="150">
        <f t="shared" si="20"/>
        <v>0</v>
      </c>
      <c r="AV37" s="150">
        <f t="shared" si="20"/>
        <v>0</v>
      </c>
      <c r="AW37" s="150">
        <f t="shared" si="20"/>
        <v>0</v>
      </c>
      <c r="AX37" s="146">
        <f t="shared" si="20"/>
        <v>0</v>
      </c>
      <c r="AY37" s="212">
        <f t="shared" si="20"/>
        <v>0</v>
      </c>
      <c r="AZ37" s="210" t="e">
        <f t="shared" si="20"/>
        <v>#REF!</v>
      </c>
      <c r="BA37" s="143" t="s">
        <v>123</v>
      </c>
      <c r="BB37" s="151">
        <f t="shared" ref="BB37:BG37" si="21">SUM(BB7:BB36)</f>
        <v>120000</v>
      </c>
      <c r="BC37" s="152">
        <f t="shared" si="21"/>
        <v>5666000</v>
      </c>
      <c r="BD37" s="152">
        <f t="shared" si="21"/>
        <v>2770000</v>
      </c>
      <c r="BE37" s="152">
        <f t="shared" si="21"/>
        <v>18885000</v>
      </c>
      <c r="BF37" s="152">
        <f t="shared" si="21"/>
        <v>15380000</v>
      </c>
      <c r="BG37" s="152">
        <f t="shared" si="21"/>
        <v>3509000</v>
      </c>
      <c r="BH37" s="152">
        <f>SUM(BH9:BH36)</f>
        <v>1771000</v>
      </c>
      <c r="BI37" s="152">
        <f t="shared" ref="BI37:BS37" si="22">SUM(BI7:BI36)</f>
        <v>4552900</v>
      </c>
      <c r="BJ37" s="152">
        <f t="shared" si="22"/>
        <v>10090200</v>
      </c>
      <c r="BK37" s="152">
        <f t="shared" si="22"/>
        <v>5640300</v>
      </c>
      <c r="BL37" s="152">
        <f t="shared" si="22"/>
        <v>0</v>
      </c>
      <c r="BM37" s="152">
        <f t="shared" si="22"/>
        <v>2097205</v>
      </c>
      <c r="BN37" s="359">
        <f t="shared" si="22"/>
        <v>2963316</v>
      </c>
      <c r="BO37" s="153">
        <f t="shared" si="22"/>
        <v>0</v>
      </c>
      <c r="BP37" s="154">
        <f t="shared" si="22"/>
        <v>0</v>
      </c>
      <c r="BQ37" s="155">
        <f t="shared" si="22"/>
        <v>0</v>
      </c>
      <c r="BR37" s="156">
        <f t="shared" si="22"/>
        <v>762</v>
      </c>
      <c r="BS37" s="155">
        <f t="shared" si="22"/>
        <v>64888921</v>
      </c>
      <c r="BT37" s="157">
        <f>SUM(BT7:BT36)</f>
        <v>73444921</v>
      </c>
      <c r="BU37" s="158">
        <f>SUM(BU7:BU36)</f>
        <v>0</v>
      </c>
      <c r="BV37" s="159"/>
      <c r="BW37" s="160">
        <f>SUM(BW7:BW36)</f>
        <v>0</v>
      </c>
      <c r="BX37" s="261" t="e">
        <f>#REF!</f>
        <v>#REF!</v>
      </c>
      <c r="BY37" s="292"/>
      <c r="BZ37" s="292"/>
      <c r="CA37" s="161"/>
      <c r="CB37" s="162" t="s">
        <v>124</v>
      </c>
      <c r="CC37" s="163">
        <f>SUM(CC7:CC36)</f>
        <v>18885000</v>
      </c>
      <c r="CD37" s="164">
        <f>SUM(CD7:CD36)</f>
        <v>0</v>
      </c>
      <c r="CE37" s="165"/>
      <c r="CF37" s="166"/>
      <c r="CG37" s="163">
        <f>SUM(CG7:CG36)</f>
        <v>15380000</v>
      </c>
      <c r="CH37" s="164">
        <f>SUM(CH7:CH36)</f>
        <v>0</v>
      </c>
      <c r="CI37" s="165"/>
      <c r="CJ37" s="166"/>
      <c r="CK37" s="163">
        <f>SUM(CK7:CK36)</f>
        <v>4552900</v>
      </c>
      <c r="CL37" s="164">
        <f>SUM(CL7:CL36)</f>
        <v>0</v>
      </c>
      <c r="CM37" s="165"/>
      <c r="CN37" s="166"/>
      <c r="CO37" s="163">
        <f>SUM(CO7:CO36)</f>
        <v>10090200</v>
      </c>
      <c r="CP37" s="164">
        <f>SUM(CP7:CP36)</f>
        <v>0</v>
      </c>
      <c r="CQ37" s="165"/>
      <c r="CR37" s="166"/>
      <c r="CS37" s="163">
        <f>SUM(CS7:CS36)</f>
        <v>5640300</v>
      </c>
      <c r="CT37" s="164">
        <f>SUM(CT7:CT36)</f>
        <v>0</v>
      </c>
      <c r="CU37" s="165"/>
      <c r="CV37" s="166"/>
      <c r="CW37" s="163">
        <f>SUM(CW7:CW36)</f>
        <v>0</v>
      </c>
      <c r="CX37" s="164">
        <f>SUM(CX7:CX36)</f>
        <v>0</v>
      </c>
      <c r="CY37" s="165"/>
      <c r="CZ37" s="166"/>
      <c r="DA37" s="163">
        <f>SUM(DA7:DA36)</f>
        <v>2097205</v>
      </c>
      <c r="DB37" s="164">
        <f>SUM(DB7:DB36)</f>
        <v>0</v>
      </c>
      <c r="DC37" s="165"/>
      <c r="DD37" s="166"/>
      <c r="DE37" s="163">
        <f>SUM(DE7:DE36)</f>
        <v>0</v>
      </c>
      <c r="DF37" s="164">
        <f>SUM(DF7:DF36)</f>
        <v>0</v>
      </c>
      <c r="DG37" s="165"/>
      <c r="DH37" s="166"/>
      <c r="DI37" s="163">
        <f>SUM(DI7:DI36)</f>
        <v>5666000</v>
      </c>
      <c r="DJ37" s="164">
        <f>SUM(DJ7:DJ36)</f>
        <v>0</v>
      </c>
      <c r="DK37" s="165"/>
      <c r="DL37" s="166"/>
      <c r="DM37" s="163">
        <f t="shared" si="9"/>
        <v>2890000</v>
      </c>
      <c r="DN37" s="164">
        <f>SUM(DN7:DN36)</f>
        <v>2890000</v>
      </c>
      <c r="DO37" s="165"/>
      <c r="DP37" s="166"/>
      <c r="DQ37" s="167">
        <f>SUM(DQ7:DQ36)</f>
        <v>65201605</v>
      </c>
      <c r="DR37" s="168">
        <f>SUM(DR7:DR36)</f>
        <v>2890000</v>
      </c>
      <c r="DS37" s="168">
        <f>SUM(DS7:DS36)</f>
        <v>62311605</v>
      </c>
      <c r="DU37" s="132">
        <f t="shared" ref="DU37:EB37" si="23">SUM(DU7:DU36)</f>
        <v>0</v>
      </c>
      <c r="DV37" s="132">
        <f t="shared" si="23"/>
        <v>0</v>
      </c>
      <c r="DW37" s="132">
        <f t="shared" si="23"/>
        <v>0</v>
      </c>
      <c r="DX37" s="132">
        <f t="shared" si="23"/>
        <v>0</v>
      </c>
      <c r="DY37" s="132">
        <f t="shared" si="23"/>
        <v>0</v>
      </c>
      <c r="DZ37" s="132">
        <f t="shared" si="23"/>
        <v>0</v>
      </c>
      <c r="EA37" s="132">
        <f t="shared" si="23"/>
        <v>0</v>
      </c>
      <c r="EB37" s="132">
        <f t="shared" si="23"/>
        <v>0</v>
      </c>
      <c r="EC37" s="132">
        <f>SUM(EC16:EC36)</f>
        <v>0</v>
      </c>
      <c r="ED37" s="169">
        <f>SUM(DU37:EC37)</f>
        <v>0</v>
      </c>
    </row>
    <row r="38" spans="1:137" ht="26.1" customHeight="1" thickTop="1" x14ac:dyDescent="0.3">
      <c r="BF38" s="118"/>
      <c r="BG38" s="118"/>
      <c r="BH38" s="118"/>
      <c r="CA38" s="140"/>
    </row>
    <row r="39" spans="1:137" s="586" customFormat="1" x14ac:dyDescent="0.3">
      <c r="D39" s="586">
        <f>SUM(D37,B37)</f>
        <v>3</v>
      </c>
      <c r="E39" s="586">
        <f>SUM(E37,C37)</f>
        <v>80000</v>
      </c>
      <c r="I39" s="586">
        <f>SUM(I37,G37)</f>
        <v>56</v>
      </c>
      <c r="J39" s="586">
        <f>SUM(J37,H37)</f>
        <v>5525000</v>
      </c>
      <c r="N39" s="586">
        <f>SUM(N37,L37)</f>
        <v>7</v>
      </c>
      <c r="O39" s="586">
        <f>SUM(M37,O37)</f>
        <v>0</v>
      </c>
      <c r="R39" s="586">
        <f>SUM(R37,P37)</f>
        <v>2</v>
      </c>
      <c r="S39" s="586">
        <f>SUM(S37,Q37)</f>
        <v>2770000</v>
      </c>
      <c r="U39" s="586">
        <f t="shared" ref="U39:AA39" si="24">SUM(U37)</f>
        <v>226</v>
      </c>
      <c r="V39" s="586">
        <f t="shared" si="24"/>
        <v>18885000</v>
      </c>
      <c r="W39" s="586">
        <f t="shared" si="24"/>
        <v>203</v>
      </c>
      <c r="X39" s="586">
        <f t="shared" si="24"/>
        <v>15380000</v>
      </c>
      <c r="Y39" s="586">
        <f t="shared" si="24"/>
        <v>40</v>
      </c>
      <c r="Z39" s="586">
        <f t="shared" si="24"/>
        <v>3509000</v>
      </c>
      <c r="AA39" s="586">
        <f t="shared" si="24"/>
        <v>16</v>
      </c>
      <c r="AB39" s="586">
        <f t="shared" ref="AB39:CM39" si="25">SUM(AB37)</f>
        <v>1771000</v>
      </c>
      <c r="AC39" s="586">
        <f t="shared" si="25"/>
        <v>0</v>
      </c>
      <c r="AD39" s="586">
        <f t="shared" si="25"/>
        <v>43</v>
      </c>
      <c r="AE39" s="586">
        <f t="shared" si="25"/>
        <v>4552900</v>
      </c>
      <c r="AF39" s="586">
        <f t="shared" si="25"/>
        <v>121</v>
      </c>
      <c r="AG39" s="586">
        <f t="shared" si="25"/>
        <v>10090200</v>
      </c>
      <c r="AH39" s="586">
        <f t="shared" si="25"/>
        <v>23</v>
      </c>
      <c r="AI39" s="586">
        <f t="shared" si="25"/>
        <v>2097205</v>
      </c>
      <c r="AJ39" s="586">
        <f t="shared" si="25"/>
        <v>0</v>
      </c>
      <c r="AK39" s="586">
        <f t="shared" si="25"/>
        <v>0</v>
      </c>
      <c r="AL39" s="586">
        <f t="shared" si="25"/>
        <v>0</v>
      </c>
      <c r="AM39" s="586">
        <f t="shared" si="25"/>
        <v>0</v>
      </c>
      <c r="AN39" s="586">
        <f t="shared" si="25"/>
        <v>67</v>
      </c>
      <c r="AO39" s="586">
        <f t="shared" si="25"/>
        <v>5640300</v>
      </c>
      <c r="AP39" s="586">
        <f t="shared" si="25"/>
        <v>23</v>
      </c>
      <c r="AQ39" s="586">
        <f t="shared" si="25"/>
        <v>2963316</v>
      </c>
      <c r="AR39" s="586">
        <f t="shared" si="25"/>
        <v>0</v>
      </c>
      <c r="AS39" s="586">
        <f t="shared" si="25"/>
        <v>0</v>
      </c>
      <c r="AT39" s="586">
        <f t="shared" si="25"/>
        <v>0</v>
      </c>
      <c r="AU39" s="586">
        <f t="shared" si="25"/>
        <v>0</v>
      </c>
      <c r="AV39" s="586">
        <f t="shared" si="25"/>
        <v>0</v>
      </c>
      <c r="AW39" s="586">
        <f t="shared" si="25"/>
        <v>0</v>
      </c>
      <c r="AX39" s="586">
        <f t="shared" si="25"/>
        <v>0</v>
      </c>
      <c r="AY39" s="586">
        <f t="shared" si="25"/>
        <v>0</v>
      </c>
      <c r="AZ39" s="586" t="e">
        <f t="shared" si="25"/>
        <v>#REF!</v>
      </c>
      <c r="BA39" s="586">
        <f t="shared" si="25"/>
        <v>0</v>
      </c>
      <c r="BB39" s="591">
        <f t="shared" si="25"/>
        <v>120000</v>
      </c>
      <c r="BC39" s="591">
        <f t="shared" si="25"/>
        <v>5666000</v>
      </c>
      <c r="BD39" s="591">
        <f t="shared" si="25"/>
        <v>2770000</v>
      </c>
      <c r="BE39" s="586">
        <f t="shared" si="25"/>
        <v>18885000</v>
      </c>
      <c r="BF39" s="586">
        <f t="shared" si="25"/>
        <v>15380000</v>
      </c>
      <c r="BG39" s="586">
        <f t="shared" si="25"/>
        <v>3509000</v>
      </c>
      <c r="BH39" s="586">
        <f t="shared" si="25"/>
        <v>1771000</v>
      </c>
      <c r="BI39" s="586">
        <f t="shared" si="25"/>
        <v>4552900</v>
      </c>
      <c r="BJ39" s="586">
        <f t="shared" si="25"/>
        <v>10090200</v>
      </c>
      <c r="BK39" s="586">
        <f t="shared" si="25"/>
        <v>5640300</v>
      </c>
      <c r="BL39" s="586">
        <f t="shared" si="25"/>
        <v>0</v>
      </c>
      <c r="BM39" s="586">
        <f t="shared" si="25"/>
        <v>2097205</v>
      </c>
      <c r="BN39" s="586">
        <f t="shared" si="25"/>
        <v>2963316</v>
      </c>
      <c r="BO39" s="586">
        <f t="shared" si="25"/>
        <v>0</v>
      </c>
      <c r="BP39" s="586">
        <f t="shared" si="25"/>
        <v>0</v>
      </c>
      <c r="BQ39" s="586">
        <f t="shared" si="25"/>
        <v>0</v>
      </c>
      <c r="BR39" s="586">
        <f t="shared" si="25"/>
        <v>762</v>
      </c>
      <c r="BS39" s="586">
        <f t="shared" si="25"/>
        <v>64888921</v>
      </c>
      <c r="BT39" s="586">
        <f t="shared" si="25"/>
        <v>73444921</v>
      </c>
      <c r="BU39" s="586">
        <f t="shared" si="25"/>
        <v>0</v>
      </c>
      <c r="BV39" s="586">
        <f t="shared" si="25"/>
        <v>0</v>
      </c>
      <c r="BW39" s="586">
        <f t="shared" si="25"/>
        <v>0</v>
      </c>
      <c r="BX39" s="586" t="e">
        <f t="shared" si="25"/>
        <v>#REF!</v>
      </c>
      <c r="BY39" s="586">
        <f t="shared" si="25"/>
        <v>0</v>
      </c>
      <c r="BZ39" s="586">
        <f t="shared" si="25"/>
        <v>0</v>
      </c>
      <c r="CA39" s="586">
        <f t="shared" si="25"/>
        <v>0</v>
      </c>
      <c r="CB39" s="586">
        <f t="shared" si="25"/>
        <v>0</v>
      </c>
      <c r="CC39" s="586">
        <f t="shared" si="25"/>
        <v>18885000</v>
      </c>
      <c r="CD39" s="586">
        <f t="shared" si="25"/>
        <v>0</v>
      </c>
      <c r="CE39" s="586">
        <f t="shared" si="25"/>
        <v>0</v>
      </c>
      <c r="CF39" s="586">
        <f t="shared" si="25"/>
        <v>0</v>
      </c>
      <c r="CG39" s="586">
        <f t="shared" si="25"/>
        <v>15380000</v>
      </c>
      <c r="CH39" s="586">
        <f t="shared" si="25"/>
        <v>0</v>
      </c>
      <c r="CI39" s="586">
        <f t="shared" si="25"/>
        <v>0</v>
      </c>
      <c r="CJ39" s="586">
        <f t="shared" si="25"/>
        <v>0</v>
      </c>
      <c r="CK39" s="586">
        <f t="shared" si="25"/>
        <v>4552900</v>
      </c>
      <c r="CL39" s="586">
        <f t="shared" si="25"/>
        <v>0</v>
      </c>
      <c r="CM39" s="586">
        <f t="shared" si="25"/>
        <v>0</v>
      </c>
      <c r="CN39" s="586">
        <f t="shared" ref="CN39:DR39" si="26">SUM(CN37)</f>
        <v>0</v>
      </c>
      <c r="CO39" s="586">
        <f t="shared" si="26"/>
        <v>10090200</v>
      </c>
      <c r="CP39" s="586">
        <f t="shared" si="26"/>
        <v>0</v>
      </c>
      <c r="CQ39" s="586">
        <f t="shared" si="26"/>
        <v>0</v>
      </c>
      <c r="CR39" s="586">
        <f t="shared" si="26"/>
        <v>0</v>
      </c>
      <c r="CS39" s="586">
        <f t="shared" si="26"/>
        <v>5640300</v>
      </c>
      <c r="CT39" s="586">
        <f t="shared" si="26"/>
        <v>0</v>
      </c>
      <c r="CU39" s="586">
        <f t="shared" si="26"/>
        <v>0</v>
      </c>
      <c r="CV39" s="586">
        <f t="shared" si="26"/>
        <v>0</v>
      </c>
      <c r="CW39" s="586">
        <f t="shared" si="26"/>
        <v>0</v>
      </c>
      <c r="CX39" s="586">
        <f t="shared" si="26"/>
        <v>0</v>
      </c>
      <c r="CY39" s="586">
        <f t="shared" si="26"/>
        <v>0</v>
      </c>
      <c r="CZ39" s="586">
        <f t="shared" si="26"/>
        <v>0</v>
      </c>
      <c r="DA39" s="586">
        <f t="shared" si="26"/>
        <v>2097205</v>
      </c>
      <c r="DB39" s="586">
        <f t="shared" si="26"/>
        <v>0</v>
      </c>
      <c r="DC39" s="586">
        <f t="shared" si="26"/>
        <v>0</v>
      </c>
      <c r="DD39" s="586">
        <f t="shared" si="26"/>
        <v>0</v>
      </c>
      <c r="DE39" s="586">
        <f t="shared" si="26"/>
        <v>0</v>
      </c>
      <c r="DF39" s="586">
        <f t="shared" si="26"/>
        <v>0</v>
      </c>
      <c r="DG39" s="586">
        <f t="shared" si="26"/>
        <v>0</v>
      </c>
      <c r="DH39" s="586">
        <f t="shared" si="26"/>
        <v>0</v>
      </c>
      <c r="DI39" s="586">
        <f t="shared" si="26"/>
        <v>5666000</v>
      </c>
      <c r="DJ39" s="586">
        <f t="shared" si="26"/>
        <v>0</v>
      </c>
      <c r="DK39" s="586">
        <f t="shared" si="26"/>
        <v>0</v>
      </c>
      <c r="DL39" s="586">
        <f t="shared" si="26"/>
        <v>0</v>
      </c>
      <c r="DM39" s="586">
        <f t="shared" si="26"/>
        <v>2890000</v>
      </c>
      <c r="DN39" s="586">
        <f t="shared" si="26"/>
        <v>2890000</v>
      </c>
      <c r="DO39" s="586">
        <f t="shared" si="26"/>
        <v>0</v>
      </c>
      <c r="DP39" s="586">
        <f t="shared" si="26"/>
        <v>0</v>
      </c>
      <c r="DQ39" s="586">
        <f t="shared" si="26"/>
        <v>65201605</v>
      </c>
      <c r="DR39" s="586">
        <f t="shared" si="26"/>
        <v>2890000</v>
      </c>
      <c r="DS39" s="587"/>
      <c r="DU39" s="588"/>
      <c r="DV39" s="588"/>
      <c r="DW39" s="588"/>
      <c r="DX39" s="588"/>
      <c r="DY39" s="588"/>
      <c r="DZ39" s="588"/>
      <c r="EA39" s="588"/>
      <c r="EB39" s="588"/>
      <c r="EC39" s="588"/>
    </row>
    <row r="40" spans="1:137" s="137" customFormat="1" x14ac:dyDescent="0.3">
      <c r="C40" s="91"/>
      <c r="E40" s="91"/>
      <c r="F40" s="91"/>
      <c r="H40" s="91"/>
      <c r="J40" s="91"/>
      <c r="K40" s="91"/>
      <c r="M40" s="91"/>
      <c r="O40" s="91"/>
      <c r="Q40" s="91"/>
      <c r="S40" s="91"/>
      <c r="T40" s="91"/>
      <c r="V40" s="590">
        <v>18985000</v>
      </c>
      <c r="X40" s="590">
        <v>15275000</v>
      </c>
      <c r="Z40" s="590">
        <v>3509000</v>
      </c>
      <c r="AB40" s="590">
        <v>1771000</v>
      </c>
      <c r="AC40" s="91"/>
      <c r="AE40" s="590">
        <v>4497845</v>
      </c>
      <c r="AF40" s="91"/>
      <c r="AG40" s="590">
        <v>10162500</v>
      </c>
      <c r="AH40" s="91"/>
      <c r="AI40" s="590">
        <v>2027769</v>
      </c>
      <c r="AJ40" s="91"/>
      <c r="AK40" s="91"/>
      <c r="AL40" s="91"/>
      <c r="AM40" s="91"/>
      <c r="AO40" s="590">
        <v>4963462</v>
      </c>
      <c r="AQ40" s="590">
        <v>1847552</v>
      </c>
      <c r="AR40" s="91"/>
      <c r="AS40" s="91"/>
      <c r="BF40" s="91"/>
      <c r="BG40" s="91"/>
      <c r="BH40" s="91"/>
      <c r="BQ40" s="91"/>
      <c r="BS40" s="91"/>
      <c r="BT40" s="91"/>
      <c r="BX40" s="91"/>
      <c r="CC40" s="88"/>
      <c r="CD40" s="91"/>
      <c r="CE40" s="585"/>
      <c r="CG40" s="88"/>
      <c r="CH40" s="91"/>
      <c r="CI40" s="585"/>
      <c r="CK40" s="88"/>
      <c r="CL40" s="91"/>
      <c r="CM40" s="585"/>
      <c r="CO40" s="88"/>
      <c r="CP40" s="91"/>
      <c r="CQ40" s="585"/>
      <c r="CS40" s="88"/>
      <c r="CT40" s="91"/>
      <c r="CU40" s="585"/>
      <c r="CW40" s="88"/>
      <c r="CX40" s="91"/>
      <c r="CY40" s="585"/>
      <c r="DA40" s="88"/>
      <c r="DB40" s="91"/>
      <c r="DC40" s="585"/>
      <c r="DE40" s="88"/>
      <c r="DF40" s="91"/>
      <c r="DG40" s="585"/>
      <c r="DI40" s="88"/>
      <c r="DJ40" s="91"/>
      <c r="DK40" s="585"/>
      <c r="DM40" s="88"/>
      <c r="DN40" s="91"/>
      <c r="DO40" s="585"/>
      <c r="DQ40" s="91"/>
      <c r="DR40" s="91"/>
      <c r="DS40" s="91"/>
      <c r="DU40" s="584"/>
      <c r="DV40" s="584"/>
      <c r="DW40" s="584"/>
      <c r="DX40" s="584"/>
      <c r="DY40" s="584"/>
      <c r="DZ40" s="584"/>
      <c r="EA40" s="584"/>
      <c r="EB40" s="584"/>
      <c r="EC40" s="584"/>
    </row>
    <row r="41" spans="1:137" s="137" customFormat="1" x14ac:dyDescent="0.3">
      <c r="C41" s="91"/>
      <c r="E41" s="91"/>
      <c r="F41" s="91"/>
      <c r="H41" s="91"/>
      <c r="J41" s="91"/>
      <c r="K41" s="91"/>
      <c r="M41" s="91"/>
      <c r="O41" s="91"/>
      <c r="Q41" s="91"/>
      <c r="S41" s="91"/>
      <c r="T41" s="91"/>
      <c r="V41" s="91">
        <v>18035750</v>
      </c>
      <c r="X41" s="589">
        <v>1527500</v>
      </c>
      <c r="Z41" s="91">
        <v>0</v>
      </c>
      <c r="AB41" s="589">
        <v>1505350</v>
      </c>
      <c r="AC41" s="91"/>
      <c r="AE41" s="91">
        <f>AE40*3.3%</f>
        <v>148428.88500000001</v>
      </c>
      <c r="AF41" s="91"/>
      <c r="AG41" s="91">
        <v>1524376</v>
      </c>
      <c r="AH41" s="91"/>
      <c r="AI41" s="91"/>
      <c r="AJ41" s="91"/>
      <c r="AK41" s="91"/>
      <c r="AL41" s="91"/>
      <c r="AM41" s="91"/>
      <c r="AO41" s="91">
        <v>744519</v>
      </c>
      <c r="AQ41" s="91"/>
      <c r="AR41" s="91"/>
      <c r="AS41" s="91"/>
      <c r="BQ41" s="91"/>
      <c r="BS41" s="91"/>
      <c r="BT41" s="91"/>
      <c r="BX41" s="91"/>
      <c r="CC41" s="88"/>
      <c r="CD41" s="91"/>
      <c r="CE41" s="585"/>
      <c r="CG41" s="88"/>
      <c r="CH41" s="91"/>
      <c r="CI41" s="585"/>
      <c r="CK41" s="88"/>
      <c r="CL41" s="91"/>
      <c r="CM41" s="585"/>
      <c r="CO41" s="88"/>
      <c r="CP41" s="91"/>
      <c r="CQ41" s="585"/>
      <c r="CS41" s="88"/>
      <c r="CT41" s="91"/>
      <c r="CU41" s="585"/>
      <c r="CW41" s="88"/>
      <c r="CX41" s="91"/>
      <c r="CY41" s="585"/>
      <c r="DA41" s="88"/>
      <c r="DB41" s="91"/>
      <c r="DC41" s="585"/>
      <c r="DE41" s="88"/>
      <c r="DF41" s="91"/>
      <c r="DG41" s="585"/>
      <c r="DI41" s="88"/>
      <c r="DJ41" s="91"/>
      <c r="DK41" s="585"/>
      <c r="DM41" s="88"/>
      <c r="DN41" s="91"/>
      <c r="DO41" s="585"/>
      <c r="DQ41" s="91"/>
      <c r="DR41" s="91"/>
      <c r="DS41" s="91"/>
      <c r="DU41" s="584"/>
      <c r="DV41" s="584"/>
      <c r="DW41" s="584"/>
      <c r="DX41" s="584"/>
      <c r="DY41" s="584"/>
      <c r="DZ41" s="584"/>
      <c r="EA41" s="584"/>
      <c r="EB41" s="584"/>
      <c r="EC41" s="584"/>
    </row>
    <row r="42" spans="1:137" s="137" customFormat="1" x14ac:dyDescent="0.3">
      <c r="C42" s="91"/>
      <c r="E42" s="91"/>
      <c r="F42" s="91"/>
      <c r="H42" s="91"/>
      <c r="J42" s="91"/>
      <c r="K42" s="91"/>
      <c r="M42" s="91"/>
      <c r="O42" s="91"/>
      <c r="Q42" s="91"/>
      <c r="S42" s="91"/>
      <c r="T42" s="91"/>
      <c r="V42" s="589">
        <f>V40-V41</f>
        <v>949250</v>
      </c>
      <c r="X42" s="91"/>
      <c r="Z42" s="91"/>
      <c r="AB42" s="91"/>
      <c r="AC42" s="91"/>
      <c r="AE42" s="91"/>
      <c r="AF42" s="91"/>
      <c r="AG42" s="91"/>
      <c r="AH42" s="91"/>
      <c r="AI42" s="91"/>
      <c r="AJ42" s="91"/>
      <c r="AK42" s="91"/>
      <c r="AL42" s="91"/>
      <c r="AM42" s="91"/>
      <c r="AO42" s="91"/>
      <c r="AQ42" s="91"/>
      <c r="AR42" s="91"/>
      <c r="AS42" s="91"/>
      <c r="BQ42" s="91"/>
      <c r="BS42" s="91"/>
      <c r="BT42" s="91"/>
      <c r="BX42" s="91"/>
      <c r="CC42" s="88"/>
      <c r="CD42" s="91"/>
      <c r="CE42" s="585"/>
      <c r="CG42" s="88"/>
      <c r="CH42" s="91"/>
      <c r="CI42" s="585"/>
      <c r="CK42" s="88"/>
      <c r="CL42" s="91"/>
      <c r="CM42" s="585"/>
      <c r="CO42" s="88"/>
      <c r="CP42" s="91"/>
      <c r="CQ42" s="585"/>
      <c r="CS42" s="88"/>
      <c r="CT42" s="91"/>
      <c r="CU42" s="585"/>
      <c r="CW42" s="88"/>
      <c r="CX42" s="91"/>
      <c r="CY42" s="585"/>
      <c r="DA42" s="88"/>
      <c r="DB42" s="91"/>
      <c r="DC42" s="585"/>
      <c r="DE42" s="88"/>
      <c r="DF42" s="91"/>
      <c r="DG42" s="585"/>
      <c r="DI42" s="88"/>
      <c r="DJ42" s="91"/>
      <c r="DK42" s="585"/>
      <c r="DM42" s="88"/>
      <c r="DN42" s="91"/>
      <c r="DO42" s="585"/>
      <c r="DQ42" s="91"/>
      <c r="DR42" s="91"/>
      <c r="DS42" s="91"/>
      <c r="DU42" s="584"/>
      <c r="DV42" s="584"/>
      <c r="DW42" s="584"/>
      <c r="DX42" s="584"/>
      <c r="DY42" s="584"/>
      <c r="DZ42" s="584"/>
      <c r="EA42" s="584"/>
      <c r="EB42" s="584"/>
      <c r="EC42" s="584"/>
    </row>
    <row r="43" spans="1:137" x14ac:dyDescent="0.3">
      <c r="V43" s="118" t="s">
        <v>1269</v>
      </c>
      <c r="X43" s="118">
        <f>V42+X41+Z41+AB41+AE41+AG41+AI41+AK41+AM41++AO41+AQ41</f>
        <v>6399423.8849999998</v>
      </c>
      <c r="AE43" s="118">
        <f>AE41+AG41+AO41</f>
        <v>2417323.8849999998</v>
      </c>
    </row>
    <row r="44" spans="1:137" x14ac:dyDescent="0.3">
      <c r="C44" s="118" t="s">
        <v>125</v>
      </c>
    </row>
  </sheetData>
  <mergeCells count="112">
    <mergeCell ref="EE8:EG8"/>
    <mergeCell ref="EE9:EG9"/>
    <mergeCell ref="EE10:EG10"/>
    <mergeCell ref="EB4:EB6"/>
    <mergeCell ref="EC4:EC6"/>
    <mergeCell ref="EA4:EA6"/>
    <mergeCell ref="AY4:AY5"/>
    <mergeCell ref="AZ4:AZ5"/>
    <mergeCell ref="AL4:AM4"/>
    <mergeCell ref="ED4:ED6"/>
    <mergeCell ref="DY4:DY6"/>
    <mergeCell ref="DZ4:DZ6"/>
    <mergeCell ref="BX4:BX6"/>
    <mergeCell ref="CB4:DS4"/>
    <mergeCell ref="DU4:DU6"/>
    <mergeCell ref="DV4:DV6"/>
    <mergeCell ref="DW4:DW6"/>
    <mergeCell ref="DX4:DX6"/>
    <mergeCell ref="BW5:BW6"/>
    <mergeCell ref="CC5:CF5"/>
    <mergeCell ref="CG5:CJ5"/>
    <mergeCell ref="CK5:CN5"/>
    <mergeCell ref="CO5:CR5"/>
    <mergeCell ref="CS5:CV5"/>
    <mergeCell ref="AR1:AZ3"/>
    <mergeCell ref="A4:A6"/>
    <mergeCell ref="G5:H5"/>
    <mergeCell ref="I5:J5"/>
    <mergeCell ref="L5:M5"/>
    <mergeCell ref="N5:O5"/>
    <mergeCell ref="P5:Q5"/>
    <mergeCell ref="R5:S5"/>
    <mergeCell ref="U5:V5"/>
    <mergeCell ref="W5:X5"/>
    <mergeCell ref="Y5:Z5"/>
    <mergeCell ref="AA5:AB5"/>
    <mergeCell ref="B5:C5"/>
    <mergeCell ref="D5:E5"/>
    <mergeCell ref="AN5:AO5"/>
    <mergeCell ref="AP5:AQ5"/>
    <mergeCell ref="AN4:AO4"/>
    <mergeCell ref="AP4:AQ4"/>
    <mergeCell ref="AL5:AM5"/>
    <mergeCell ref="A1:E3"/>
    <mergeCell ref="F1:J3"/>
    <mergeCell ref="K1:S3"/>
    <mergeCell ref="T1:AB3"/>
    <mergeCell ref="AC1:AO3"/>
    <mergeCell ref="BA1:BO3"/>
    <mergeCell ref="BQ1:BW3"/>
    <mergeCell ref="ED1:ED3"/>
    <mergeCell ref="B4:E4"/>
    <mergeCell ref="F4:F6"/>
    <mergeCell ref="G4:J4"/>
    <mergeCell ref="K4:K6"/>
    <mergeCell ref="L4:S4"/>
    <mergeCell ref="T4:T6"/>
    <mergeCell ref="U4:V4"/>
    <mergeCell ref="W4:X4"/>
    <mergeCell ref="Y4:Z4"/>
    <mergeCell ref="AA4:AB4"/>
    <mergeCell ref="AC4:AC6"/>
    <mergeCell ref="AD4:AE4"/>
    <mergeCell ref="AF4:AG4"/>
    <mergeCell ref="AH4:AI4"/>
    <mergeCell ref="AJ4:AK4"/>
    <mergeCell ref="AR4:AR6"/>
    <mergeCell ref="AS4:AS5"/>
    <mergeCell ref="AT4:AT5"/>
    <mergeCell ref="AU4:AV4"/>
    <mergeCell ref="AW4:AX4"/>
    <mergeCell ref="BA4:BA6"/>
    <mergeCell ref="CW5:CZ5"/>
    <mergeCell ref="DA5:DD5"/>
    <mergeCell ref="DE5:DH5"/>
    <mergeCell ref="DI5:DL5"/>
    <mergeCell ref="DM5:DP5"/>
    <mergeCell ref="DQ5:DQ6"/>
    <mergeCell ref="DR5:DR6"/>
    <mergeCell ref="DS5:DS6"/>
    <mergeCell ref="AD5:AE5"/>
    <mergeCell ref="AF5:AG5"/>
    <mergeCell ref="AH5:AI5"/>
    <mergeCell ref="AJ5:AK5"/>
    <mergeCell ref="BP5:BQ5"/>
    <mergeCell ref="BR5:BS5"/>
    <mergeCell ref="BT5:BT6"/>
    <mergeCell ref="BU5:BU6"/>
    <mergeCell ref="BV5:BV6"/>
    <mergeCell ref="BB4:BO5"/>
    <mergeCell ref="BP4:BT4"/>
    <mergeCell ref="BU4:BW4"/>
    <mergeCell ref="EE11:EG11"/>
    <mergeCell ref="EE12:EG12"/>
    <mergeCell ref="EE13:EG13"/>
    <mergeCell ref="EE14:EG14"/>
    <mergeCell ref="EE15:EG15"/>
    <mergeCell ref="EE16:EG16"/>
    <mergeCell ref="EE17:EG17"/>
    <mergeCell ref="EE18:EG18"/>
    <mergeCell ref="EE19:EG19"/>
    <mergeCell ref="EE32:EG32"/>
    <mergeCell ref="EE33:EG33"/>
    <mergeCell ref="EE20:EG20"/>
    <mergeCell ref="EE21:EG21"/>
    <mergeCell ref="EE22:EG22"/>
    <mergeCell ref="EE23:EG23"/>
    <mergeCell ref="EE25:EG25"/>
    <mergeCell ref="EE26:EG26"/>
    <mergeCell ref="EE29:EG29"/>
    <mergeCell ref="EE30:EG30"/>
    <mergeCell ref="EE31:EG31"/>
  </mergeCells>
  <phoneticPr fontId="2" type="noConversion"/>
  <pageMargins left="0.25" right="0.25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32</vt:i4>
      </vt:variant>
      <vt:variant>
        <vt:lpstr>이름 지정된 범위</vt:lpstr>
      </vt:variant>
      <vt:variant>
        <vt:i4>23</vt:i4>
      </vt:variant>
    </vt:vector>
  </HeadingPairs>
  <TitlesOfParts>
    <vt:vector size="5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예약현황</vt:lpstr>
      <vt:lpstr>2025년  매출</vt:lpstr>
      <vt:lpstr>'1'!Print_Area</vt:lpstr>
      <vt:lpstr>'12'!Print_Area</vt:lpstr>
      <vt:lpstr>'14'!Print_Area</vt:lpstr>
      <vt:lpstr>'15'!Print_Area</vt:lpstr>
      <vt:lpstr>'16'!Print_Area</vt:lpstr>
      <vt:lpstr>'17'!Print_Area</vt:lpstr>
      <vt:lpstr>'19'!Print_Area</vt:lpstr>
      <vt:lpstr>'2'!Print_Area</vt:lpstr>
      <vt:lpstr>'2025년  매출'!Print_Area</vt:lpstr>
      <vt:lpstr>'21'!Print_Area</vt:lpstr>
      <vt:lpstr>'22'!Print_Area</vt:lpstr>
      <vt:lpstr>'23'!Print_Area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'5'!Print_Area</vt:lpstr>
      <vt:lpstr>'6'!Print_Area</vt:lpstr>
      <vt:lpstr>'8'!Print_Area</vt:lpstr>
      <vt:lpstr>'9'!Print_Area</vt:lpstr>
      <vt:lpstr>예약현황!Print_Area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sookb</cp:lastModifiedBy>
  <cp:lastPrinted>2025-09-30T20:44:48Z</cp:lastPrinted>
  <dcterms:created xsi:type="dcterms:W3CDTF">2023-11-17T19:45:48Z</dcterms:created>
  <dcterms:modified xsi:type="dcterms:W3CDTF">2025-10-10T08:23:12Z</dcterms:modified>
</cp:coreProperties>
</file>