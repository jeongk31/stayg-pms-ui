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W:\공용 드라이브\스테이지_Work\🏨 프로젝트\ㄱ 프로젝트_공통\매장관리\9월 결산\부산 그라체\CM_작업중\V1\"/>
    </mc:Choice>
  </mc:AlternateContent>
  <xr:revisionPtr revIDLastSave="0" documentId="13_ncr:1_{E83B725A-731E-4DF9-B4E7-1BF67BE7A96B}" xr6:coauthVersionLast="47" xr6:coauthVersionMax="47" xr10:uidLastSave="{00000000-0000-0000-0000-000000000000}"/>
  <bookViews>
    <workbookView xWindow="-120" yWindow="-120" windowWidth="29040" windowHeight="15720" tabRatio="806" activeTab="18" xr2:uid="{1C9DBB49-1B22-413B-8F28-35BE1968D6CF}"/>
  </bookViews>
  <sheets>
    <sheet name="수분양자 정산 " sheetId="21" r:id="rId1"/>
    <sheet name="월 통합" sheetId="14" r:id="rId2"/>
    <sheet name="303호" sheetId="23" r:id="rId3"/>
    <sheet name="305호" sheetId="24" r:id="rId4"/>
    <sheet name="307호" sheetId="22" r:id="rId5"/>
    <sheet name="308호" sheetId="25" r:id="rId6"/>
    <sheet name="309호" sheetId="26" r:id="rId7"/>
    <sheet name="401호" sheetId="27" r:id="rId8"/>
    <sheet name="404호" sheetId="62" r:id="rId9"/>
    <sheet name="406호" sheetId="28" r:id="rId10"/>
    <sheet name="409호" sheetId="29" r:id="rId11"/>
    <sheet name="501호" sheetId="30" r:id="rId12"/>
    <sheet name="506호" sheetId="31" r:id="rId13"/>
    <sheet name="609호" sheetId="32" r:id="rId14"/>
    <sheet name="615호" sheetId="33" r:id="rId15"/>
    <sheet name="701호" sheetId="34" r:id="rId16"/>
    <sheet name="702호" sheetId="35" r:id="rId17"/>
    <sheet name="705호" sheetId="36" r:id="rId18"/>
    <sheet name="709호" sheetId="37" r:id="rId19"/>
    <sheet name="713호" sheetId="38" r:id="rId20"/>
    <sheet name="715호" sheetId="39" r:id="rId21"/>
    <sheet name="805호" sheetId="40" r:id="rId22"/>
    <sheet name="809호" sheetId="41" r:id="rId23"/>
    <sheet name="811호" sheetId="42" r:id="rId24"/>
    <sheet name="902호" sheetId="61" r:id="rId25"/>
    <sheet name="906호" sheetId="43" r:id="rId26"/>
    <sheet name="907호" sheetId="44" r:id="rId27"/>
    <sheet name="911호" sheetId="45" r:id="rId28"/>
    <sheet name="1004호" sheetId="46" r:id="rId29"/>
    <sheet name="1006호" sheetId="63" r:id="rId30"/>
    <sheet name="1011호" sheetId="47" r:id="rId31"/>
    <sheet name="1105호" sheetId="48" r:id="rId32"/>
    <sheet name="1107호" sheetId="49" r:id="rId33"/>
    <sheet name="1110호" sheetId="50" r:id="rId34"/>
    <sheet name="1111호" sheetId="51" r:id="rId35"/>
    <sheet name="1112호" sheetId="52" r:id="rId36"/>
    <sheet name="1114호" sheetId="53" r:id="rId37"/>
    <sheet name="1115호" sheetId="54" r:id="rId38"/>
    <sheet name="1116호" sheetId="55" r:id="rId39"/>
    <sheet name="1206호" sheetId="56" r:id="rId40"/>
    <sheet name="1208호" sheetId="64" r:id="rId41"/>
    <sheet name="1210호" sheetId="57" r:id="rId42"/>
    <sheet name="1214호" sheetId="58" r:id="rId43"/>
    <sheet name="1215호" sheetId="59" r:id="rId44"/>
    <sheet name="1216호" sheetId="60" r:id="rId45"/>
  </sheets>
  <definedNames>
    <definedName name="_xlnm.Print_Area" localSheetId="28">'1004호'!$A$1:$J$71</definedName>
    <definedName name="_xlnm.Print_Area" localSheetId="29">'1006호'!$A$1:$J$71</definedName>
    <definedName name="_xlnm.Print_Area" localSheetId="30">'1011호'!$A$1:$J$71</definedName>
    <definedName name="_xlnm.Print_Area" localSheetId="31">'1105호'!$A$1:$J$71</definedName>
    <definedName name="_xlnm.Print_Area" localSheetId="32">'1107호'!$A$1:$J$71</definedName>
    <definedName name="_xlnm.Print_Area" localSheetId="33">'1110호'!$A$1:$J$71</definedName>
    <definedName name="_xlnm.Print_Area" localSheetId="34">'1111호'!$A$1:$J$71</definedName>
    <definedName name="_xlnm.Print_Area" localSheetId="35">'1112호'!$A$1:$J$71</definedName>
    <definedName name="_xlnm.Print_Area" localSheetId="36">'1114호'!$A$1:$J$71</definedName>
    <definedName name="_xlnm.Print_Area" localSheetId="37">'1115호'!$A$1:$J$71</definedName>
    <definedName name="_xlnm.Print_Area" localSheetId="38">'1116호'!$A$1:$J$71</definedName>
    <definedName name="_xlnm.Print_Area" localSheetId="39">'1206호'!$A$1:$J$71</definedName>
    <definedName name="_xlnm.Print_Area" localSheetId="40">'1208호'!$A$1:$J$71</definedName>
    <definedName name="_xlnm.Print_Area" localSheetId="41">'1210호'!$A$1:$J$71</definedName>
    <definedName name="_xlnm.Print_Area" localSheetId="42">'1214호'!$A$1:$J$71</definedName>
    <definedName name="_xlnm.Print_Area" localSheetId="43">'1215호'!$A$1:$J$71</definedName>
    <definedName name="_xlnm.Print_Area" localSheetId="44">'1216호'!$A$1:$J$71</definedName>
    <definedName name="_xlnm.Print_Area" localSheetId="2">'303호'!$A$1:$J$71</definedName>
    <definedName name="_xlnm.Print_Area" localSheetId="3">'305호'!$A$1:$J$71</definedName>
    <definedName name="_xlnm.Print_Area" localSheetId="4">'307호'!$A$1:$J$71</definedName>
    <definedName name="_xlnm.Print_Area" localSheetId="5">'308호'!$A$1:$J$71</definedName>
    <definedName name="_xlnm.Print_Area" localSheetId="6">'309호'!$A$1:$J$71</definedName>
    <definedName name="_xlnm.Print_Area" localSheetId="7">'401호'!$A$1:$J$71</definedName>
    <definedName name="_xlnm.Print_Area" localSheetId="8">'404호'!$A$1:$J$71</definedName>
    <definedName name="_xlnm.Print_Area" localSheetId="9">'406호'!$A$1:$J$71</definedName>
    <definedName name="_xlnm.Print_Area" localSheetId="10">'409호'!$A$1:$J$71</definedName>
    <definedName name="_xlnm.Print_Area" localSheetId="11">'501호'!$A$1:$J$71</definedName>
    <definedName name="_xlnm.Print_Area" localSheetId="12">'506호'!$A$1:$J$71</definedName>
    <definedName name="_xlnm.Print_Area" localSheetId="13">'609호'!$A$1:$J$71</definedName>
    <definedName name="_xlnm.Print_Area" localSheetId="14">'615호'!$A$1:$J$71</definedName>
    <definedName name="_xlnm.Print_Area" localSheetId="15">'701호'!$A$1:$J$71</definedName>
    <definedName name="_xlnm.Print_Area" localSheetId="16">'702호'!$A$1:$J$71</definedName>
    <definedName name="_xlnm.Print_Area" localSheetId="17">'705호'!$A$1:$J$71</definedName>
    <definedName name="_xlnm.Print_Area" localSheetId="18">'709호'!$A$1:$J$71</definedName>
    <definedName name="_xlnm.Print_Area" localSheetId="19">'713호'!$A$1:$J$71</definedName>
    <definedName name="_xlnm.Print_Area" localSheetId="20">'715호'!$A$1:$J$71</definedName>
    <definedName name="_xlnm.Print_Area" localSheetId="21">'805호'!$A$1:$J$71</definedName>
    <definedName name="_xlnm.Print_Area" localSheetId="22">'809호'!$A$1:$J$71</definedName>
    <definedName name="_xlnm.Print_Area" localSheetId="23">'811호'!$A$1:$J$71</definedName>
    <definedName name="_xlnm.Print_Area" localSheetId="24">'902호'!$A$1:$J$71</definedName>
    <definedName name="_xlnm.Print_Area" localSheetId="25">'906호'!$A$1:$J$71</definedName>
    <definedName name="_xlnm.Print_Area" localSheetId="26">'907호'!$A$1:$J$71</definedName>
    <definedName name="_xlnm.Print_Area" localSheetId="27">'911호'!$A$1:$J$71</definedName>
    <definedName name="_xlnm.Print_Area" localSheetId="1">'월 통합'!$A$1:$J$94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21" l="1"/>
  <c r="L4" i="21"/>
  <c r="G22" i="21" l="1"/>
  <c r="G15" i="21"/>
  <c r="AI3" i="21"/>
  <c r="AD6" i="21"/>
  <c r="AD7" i="21"/>
  <c r="AD8" i="21"/>
  <c r="AD9" i="21"/>
  <c r="AD10" i="21"/>
  <c r="AD12" i="21"/>
  <c r="AD13" i="21"/>
  <c r="AD14" i="21"/>
  <c r="AD15" i="21"/>
  <c r="AD16" i="21"/>
  <c r="AD17" i="21"/>
  <c r="AD18" i="21"/>
  <c r="AD19" i="21"/>
  <c r="AD20" i="21"/>
  <c r="AD21" i="21"/>
  <c r="AD22" i="21"/>
  <c r="AD23" i="21"/>
  <c r="AD24" i="21"/>
  <c r="AD25" i="21"/>
  <c r="AD26" i="21"/>
  <c r="AD27" i="21"/>
  <c r="AD28" i="21"/>
  <c r="AD29" i="21"/>
  <c r="AD30" i="21"/>
  <c r="AD31" i="21"/>
  <c r="AD33" i="21"/>
  <c r="AD34" i="21"/>
  <c r="AD35" i="21"/>
  <c r="AD36" i="21"/>
  <c r="AD37" i="21"/>
  <c r="AD38" i="21"/>
  <c r="AD39" i="21"/>
  <c r="AD40" i="21"/>
  <c r="AD41" i="21"/>
  <c r="AD42" i="21"/>
  <c r="AD44" i="21"/>
  <c r="AD45" i="21"/>
  <c r="AD46" i="21"/>
  <c r="AD47" i="21"/>
  <c r="AD5" i="21"/>
  <c r="G61" i="62"/>
  <c r="G62" i="62" s="1"/>
  <c r="G61" i="64"/>
  <c r="G62" i="64" s="1"/>
  <c r="G61" i="63"/>
  <c r="G62" i="63" s="1"/>
  <c r="G52" i="23" l="1"/>
  <c r="G52" i="24"/>
  <c r="G52" i="22"/>
  <c r="G52" i="26"/>
  <c r="G52" i="27"/>
  <c r="G52" i="62"/>
  <c r="G52" i="28"/>
  <c r="G52" i="29"/>
  <c r="G52" i="30"/>
  <c r="G52" i="31"/>
  <c r="G52" i="32"/>
  <c r="G52" i="33"/>
  <c r="G52" i="34"/>
  <c r="G52" i="35"/>
  <c r="G52" i="36"/>
  <c r="G52" i="37"/>
  <c r="G52" i="38"/>
  <c r="G52" i="39"/>
  <c r="G52" i="40"/>
  <c r="G52" i="41"/>
  <c r="G52" i="42"/>
  <c r="G52" i="61"/>
  <c r="G52" i="43"/>
  <c r="G52" i="44"/>
  <c r="G52" i="45"/>
  <c r="G52" i="46"/>
  <c r="G52" i="63"/>
  <c r="G52" i="47"/>
  <c r="G52" i="48"/>
  <c r="G52" i="49"/>
  <c r="G52" i="50"/>
  <c r="G52" i="51"/>
  <c r="G52" i="52"/>
  <c r="G52" i="53"/>
  <c r="G52" i="54"/>
  <c r="G52" i="55"/>
  <c r="G52" i="56"/>
  <c r="G52" i="64"/>
  <c r="G52" i="57"/>
  <c r="G52" i="58"/>
  <c r="G52" i="59"/>
  <c r="G52" i="60"/>
  <c r="G52" i="25"/>
  <c r="G5" i="21" l="1"/>
  <c r="H5" i="21"/>
  <c r="G6" i="21"/>
  <c r="H6" i="21"/>
  <c r="G7" i="21"/>
  <c r="H7" i="21"/>
  <c r="G8" i="21"/>
  <c r="H8" i="21"/>
  <c r="G9" i="21"/>
  <c r="H9" i="21"/>
  <c r="G10" i="21"/>
  <c r="H10" i="21"/>
  <c r="G12" i="21"/>
  <c r="H12" i="21"/>
  <c r="G13" i="21"/>
  <c r="H13" i="21"/>
  <c r="G14" i="21"/>
  <c r="H14" i="21"/>
  <c r="H15" i="21"/>
  <c r="G16" i="21"/>
  <c r="H16" i="21"/>
  <c r="G17" i="21"/>
  <c r="H17" i="21"/>
  <c r="G18" i="21"/>
  <c r="H18" i="21"/>
  <c r="G19" i="21"/>
  <c r="H19" i="21"/>
  <c r="G21" i="21"/>
  <c r="H21" i="21"/>
  <c r="H22" i="21"/>
  <c r="G23" i="21"/>
  <c r="H23" i="21"/>
  <c r="G24" i="21"/>
  <c r="H24" i="21"/>
  <c r="G25" i="21"/>
  <c r="H25" i="21"/>
  <c r="G26" i="21"/>
  <c r="H26" i="21"/>
  <c r="G28" i="21"/>
  <c r="H28" i="21"/>
  <c r="G29" i="21"/>
  <c r="H29" i="21"/>
  <c r="G30" i="21"/>
  <c r="H30" i="21"/>
  <c r="G31" i="21"/>
  <c r="H31" i="21"/>
  <c r="G33" i="21"/>
  <c r="H33" i="21"/>
  <c r="G35" i="21"/>
  <c r="H35" i="21"/>
  <c r="G36" i="21"/>
  <c r="H36" i="21"/>
  <c r="G37" i="21"/>
  <c r="H37" i="21"/>
  <c r="G38" i="21"/>
  <c r="H38" i="21"/>
  <c r="G39" i="21"/>
  <c r="H39" i="21"/>
  <c r="G40" i="21"/>
  <c r="H40" i="21"/>
  <c r="G41" i="21"/>
  <c r="H41" i="21"/>
  <c r="G42" i="21"/>
  <c r="H42" i="21"/>
  <c r="G44" i="21"/>
  <c r="H44" i="21"/>
  <c r="G45" i="21"/>
  <c r="H45" i="21"/>
  <c r="G46" i="21"/>
  <c r="H46" i="21"/>
  <c r="G47" i="21"/>
  <c r="H47" i="21"/>
  <c r="G20" i="21"/>
  <c r="H20" i="21"/>
  <c r="G27" i="21"/>
  <c r="H27" i="21"/>
  <c r="G34" i="21"/>
  <c r="H34" i="21"/>
  <c r="G11" i="21"/>
  <c r="H11" i="21"/>
  <c r="G32" i="21"/>
  <c r="H32" i="21"/>
  <c r="G43" i="21"/>
  <c r="H43" i="21"/>
  <c r="F4" i="21"/>
  <c r="Z4" i="21"/>
  <c r="T4" i="21"/>
  <c r="S4" i="21"/>
  <c r="R4" i="21"/>
  <c r="Q4" i="21"/>
  <c r="P4" i="21"/>
  <c r="N4" i="21"/>
  <c r="K4" i="21"/>
  <c r="H4" i="21" l="1"/>
  <c r="B5" i="21"/>
  <c r="B6" i="21"/>
  <c r="B7" i="21"/>
  <c r="B8" i="21"/>
  <c r="B9" i="21"/>
  <c r="B10" i="21"/>
  <c r="B12" i="21"/>
  <c r="B13" i="21"/>
  <c r="B14" i="21"/>
  <c r="B15" i="21"/>
  <c r="B16" i="21"/>
  <c r="B17" i="21"/>
  <c r="B18" i="21"/>
  <c r="B19" i="21"/>
  <c r="B21" i="21"/>
  <c r="B22" i="21"/>
  <c r="B23" i="21"/>
  <c r="B24" i="21"/>
  <c r="B25" i="21"/>
  <c r="B26" i="21"/>
  <c r="B28" i="21"/>
  <c r="B29" i="21"/>
  <c r="B30" i="21"/>
  <c r="B31" i="21"/>
  <c r="B33" i="21"/>
  <c r="B35" i="21"/>
  <c r="B36" i="21"/>
  <c r="B37" i="21"/>
  <c r="B38" i="21"/>
  <c r="B39" i="21"/>
  <c r="B40" i="21"/>
  <c r="B41" i="21"/>
  <c r="B42" i="21"/>
  <c r="B44" i="21"/>
  <c r="B45" i="21"/>
  <c r="B46" i="21"/>
  <c r="B47" i="21"/>
  <c r="B20" i="21"/>
  <c r="B27" i="21"/>
  <c r="B34" i="21"/>
  <c r="B11" i="21"/>
  <c r="B32" i="21"/>
  <c r="B43" i="21"/>
  <c r="G54" i="24" l="1"/>
  <c r="G54" i="22"/>
  <c r="G54" i="25"/>
  <c r="G54" i="26"/>
  <c r="G54" i="27"/>
  <c r="G54" i="62"/>
  <c r="G54" i="28"/>
  <c r="G54" i="29"/>
  <c r="G54" i="30"/>
  <c r="G54" i="31"/>
  <c r="G54" i="32"/>
  <c r="G54" i="33"/>
  <c r="G54" i="34"/>
  <c r="G54" i="35"/>
  <c r="G54" i="36"/>
  <c r="G54" i="37"/>
  <c r="G54" i="38"/>
  <c r="G54" i="39"/>
  <c r="G54" i="40"/>
  <c r="G54" i="41"/>
  <c r="G54" i="42"/>
  <c r="G54" i="61"/>
  <c r="G54" i="43"/>
  <c r="G54" i="44"/>
  <c r="G54" i="45"/>
  <c r="G54" i="46"/>
  <c r="G54" i="63"/>
  <c r="G54" i="47"/>
  <c r="G54" i="48"/>
  <c r="G54" i="49"/>
  <c r="G54" i="50"/>
  <c r="G54" i="51"/>
  <c r="G54" i="52"/>
  <c r="G54" i="53"/>
  <c r="G54" i="54"/>
  <c r="G54" i="55"/>
  <c r="G54" i="56"/>
  <c r="G54" i="64"/>
  <c r="G54" i="57"/>
  <c r="G54" i="58"/>
  <c r="G54" i="59"/>
  <c r="G54" i="60"/>
  <c r="G54" i="23"/>
  <c r="I43" i="21" l="1"/>
  <c r="J43" i="21" l="1"/>
  <c r="L43" i="21" s="1"/>
  <c r="Y43" i="21"/>
  <c r="I32" i="21"/>
  <c r="I12" i="21"/>
  <c r="O12" i="21" s="1"/>
  <c r="G50" i="64"/>
  <c r="G51" i="64" s="1"/>
  <c r="G55" i="64" s="1"/>
  <c r="G50" i="63"/>
  <c r="G51" i="63" s="1"/>
  <c r="G55" i="63" s="1"/>
  <c r="G50" i="62"/>
  <c r="G51" i="62" s="1"/>
  <c r="G55" i="62" s="1"/>
  <c r="AA43" i="21" l="1"/>
  <c r="AC43" i="21" s="1"/>
  <c r="AF43" i="21" s="1"/>
  <c r="G64" i="63"/>
  <c r="G65" i="63" s="1"/>
  <c r="G64" i="64"/>
  <c r="G65" i="64" s="1"/>
  <c r="G66" i="64" s="1"/>
  <c r="G67" i="64" s="1"/>
  <c r="G64" i="62"/>
  <c r="G65" i="62" s="1"/>
  <c r="G66" i="62" s="1"/>
  <c r="G67" i="62" s="1"/>
  <c r="Y32" i="21"/>
  <c r="J32" i="21"/>
  <c r="Y12" i="21"/>
  <c r="J12" i="21"/>
  <c r="L12" i="21" s="1"/>
  <c r="G66" i="63" l="1"/>
  <c r="G67" i="63" s="1"/>
  <c r="L32" i="21"/>
  <c r="AA12" i="21"/>
  <c r="AA32" i="21" l="1"/>
  <c r="AC32" i="21" s="1"/>
  <c r="AF32" i="21" s="1"/>
  <c r="AC12" i="21"/>
  <c r="I27" i="21"/>
  <c r="O27" i="21" s="1"/>
  <c r="Y27" i="21" l="1"/>
  <c r="J27" i="21"/>
  <c r="L27" i="21" s="1"/>
  <c r="G61" i="61"/>
  <c r="G62" i="61" s="1"/>
  <c r="G50" i="61"/>
  <c r="G51" i="61" s="1"/>
  <c r="G55" i="61" s="1"/>
  <c r="AA27" i="21" l="1"/>
  <c r="AC27" i="21" s="1"/>
  <c r="G64" i="61"/>
  <c r="G65" i="61" s="1"/>
  <c r="H92" i="14"/>
  <c r="D92" i="14"/>
  <c r="G50" i="60"/>
  <c r="G61" i="60" s="1"/>
  <c r="G62" i="60" s="1"/>
  <c r="G50" i="59"/>
  <c r="G61" i="59" s="1"/>
  <c r="G62" i="59" s="1"/>
  <c r="G50" i="58"/>
  <c r="G61" i="58" s="1"/>
  <c r="G62" i="58" s="1"/>
  <c r="G50" i="57"/>
  <c r="G61" i="57" s="1"/>
  <c r="G62" i="57" s="1"/>
  <c r="G50" i="56"/>
  <c r="G51" i="56" s="1"/>
  <c r="G55" i="56" s="1"/>
  <c r="G50" i="55"/>
  <c r="G61" i="55" s="1"/>
  <c r="G62" i="55" s="1"/>
  <c r="G50" i="54"/>
  <c r="G61" i="54" s="1"/>
  <c r="G62" i="54" s="1"/>
  <c r="G50" i="53"/>
  <c r="G51" i="53" s="1"/>
  <c r="G55" i="53" s="1"/>
  <c r="G50" i="52"/>
  <c r="G61" i="52" s="1"/>
  <c r="G62" i="52" s="1"/>
  <c r="G50" i="51"/>
  <c r="G61" i="51" s="1"/>
  <c r="G62" i="51" s="1"/>
  <c r="G50" i="50"/>
  <c r="G61" i="50" s="1"/>
  <c r="G62" i="50" s="1"/>
  <c r="G50" i="49"/>
  <c r="G61" i="49" s="1"/>
  <c r="G62" i="49" s="1"/>
  <c r="G50" i="48"/>
  <c r="G61" i="48" s="1"/>
  <c r="G62" i="48" s="1"/>
  <c r="G50" i="47"/>
  <c r="G61" i="47" s="1"/>
  <c r="G62" i="47" s="1"/>
  <c r="G50" i="46"/>
  <c r="G61" i="46" s="1"/>
  <c r="G62" i="46" s="1"/>
  <c r="G61" i="45"/>
  <c r="G62" i="45" s="1"/>
  <c r="G50" i="45"/>
  <c r="G51" i="45" s="1"/>
  <c r="G55" i="45" s="1"/>
  <c r="G50" i="44"/>
  <c r="G61" i="44" s="1"/>
  <c r="G62" i="44" s="1"/>
  <c r="G50" i="43"/>
  <c r="G61" i="43" s="1"/>
  <c r="G62" i="43" s="1"/>
  <c r="G50" i="42"/>
  <c r="G61" i="42" s="1"/>
  <c r="G62" i="42" s="1"/>
  <c r="G50" i="41"/>
  <c r="G61" i="41" s="1"/>
  <c r="G62" i="41" s="1"/>
  <c r="G50" i="40"/>
  <c r="G61" i="40" s="1"/>
  <c r="G62" i="40" s="1"/>
  <c r="G50" i="39"/>
  <c r="G51" i="39" s="1"/>
  <c r="G55" i="39" s="1"/>
  <c r="G50" i="38"/>
  <c r="G61" i="38" s="1"/>
  <c r="G62" i="38" s="1"/>
  <c r="G50" i="37"/>
  <c r="G61" i="37" s="1"/>
  <c r="G62" i="37" s="1"/>
  <c r="G50" i="36"/>
  <c r="G61" i="36" s="1"/>
  <c r="G62" i="36" s="1"/>
  <c r="G50" i="35"/>
  <c r="G61" i="35" s="1"/>
  <c r="G62" i="35" s="1"/>
  <c r="G61" i="34"/>
  <c r="G62" i="34" s="1"/>
  <c r="G50" i="34"/>
  <c r="G51" i="34" s="1"/>
  <c r="G55" i="34" s="1"/>
  <c r="G50" i="33"/>
  <c r="G61" i="33" s="1"/>
  <c r="G62" i="33" s="1"/>
  <c r="G50" i="32"/>
  <c r="G61" i="32" s="1"/>
  <c r="G62" i="32" s="1"/>
  <c r="G61" i="31"/>
  <c r="G62" i="31" s="1"/>
  <c r="G50" i="31"/>
  <c r="G51" i="31" s="1"/>
  <c r="G55" i="31" s="1"/>
  <c r="G50" i="30"/>
  <c r="G61" i="30" s="1"/>
  <c r="G62" i="30" s="1"/>
  <c r="G50" i="29"/>
  <c r="G61" i="29" s="1"/>
  <c r="G62" i="29" s="1"/>
  <c r="G50" i="28"/>
  <c r="G61" i="28" s="1"/>
  <c r="G62" i="28" s="1"/>
  <c r="G50" i="27"/>
  <c r="G51" i="27" s="1"/>
  <c r="G50" i="26"/>
  <c r="G61" i="26" s="1"/>
  <c r="G62" i="26" s="1"/>
  <c r="G50" i="25"/>
  <c r="G61" i="25" s="1"/>
  <c r="G62" i="25" s="1"/>
  <c r="G50" i="24"/>
  <c r="G61" i="24" s="1"/>
  <c r="G62" i="24" s="1"/>
  <c r="G50" i="23"/>
  <c r="G61" i="23" s="1"/>
  <c r="G62" i="23" s="1"/>
  <c r="G50" i="22"/>
  <c r="G61" i="22" s="1"/>
  <c r="G62" i="22" s="1"/>
  <c r="I47" i="21"/>
  <c r="O47" i="21" s="1"/>
  <c r="I46" i="21"/>
  <c r="O46" i="21" s="1"/>
  <c r="I45" i="21"/>
  <c r="I44" i="21"/>
  <c r="I42" i="21"/>
  <c r="O42" i="21" s="1"/>
  <c r="I41" i="21"/>
  <c r="O41" i="21" s="1"/>
  <c r="I40" i="21"/>
  <c r="O40" i="21" s="1"/>
  <c r="I39" i="21"/>
  <c r="O39" i="21" s="1"/>
  <c r="I38" i="21"/>
  <c r="I37" i="21"/>
  <c r="O37" i="21" s="1"/>
  <c r="I36" i="21"/>
  <c r="O36" i="21" s="1"/>
  <c r="I35" i="21"/>
  <c r="O35" i="21" s="1"/>
  <c r="I34" i="21"/>
  <c r="O34" i="21" s="1"/>
  <c r="I33" i="21"/>
  <c r="O33" i="21" s="1"/>
  <c r="I31" i="21"/>
  <c r="O31" i="21" s="1"/>
  <c r="I30" i="21"/>
  <c r="O30" i="21" s="1"/>
  <c r="I29" i="21"/>
  <c r="O29" i="21" s="1"/>
  <c r="I28" i="21"/>
  <c r="O28" i="21" s="1"/>
  <c r="I26" i="21"/>
  <c r="O26" i="21" s="1"/>
  <c r="I25" i="21"/>
  <c r="O25" i="21" s="1"/>
  <c r="I24" i="21"/>
  <c r="O24" i="21" s="1"/>
  <c r="I23" i="21"/>
  <c r="O23" i="21" s="1"/>
  <c r="I22" i="21"/>
  <c r="O22" i="21" s="1"/>
  <c r="I21" i="21"/>
  <c r="O21" i="21" s="1"/>
  <c r="I20" i="21"/>
  <c r="O20" i="21" s="1"/>
  <c r="I19" i="21"/>
  <c r="O19" i="21" s="1"/>
  <c r="I18" i="21"/>
  <c r="O18" i="21" s="1"/>
  <c r="I17" i="21"/>
  <c r="O17" i="21" s="1"/>
  <c r="I16" i="21"/>
  <c r="O16" i="21" s="1"/>
  <c r="I15" i="21"/>
  <c r="O15" i="21" s="1"/>
  <c r="I14" i="21"/>
  <c r="O14" i="21" s="1"/>
  <c r="I13" i="21"/>
  <c r="O13" i="21" s="1"/>
  <c r="I11" i="21"/>
  <c r="I10" i="21"/>
  <c r="O10" i="21" s="1"/>
  <c r="I9" i="21"/>
  <c r="O9" i="21" s="1"/>
  <c r="I8" i="21"/>
  <c r="O8" i="21" s="1"/>
  <c r="I7" i="21"/>
  <c r="O7" i="21" s="1"/>
  <c r="I6" i="21"/>
  <c r="O6" i="21" s="1"/>
  <c r="X4" i="21"/>
  <c r="W4" i="21"/>
  <c r="V4" i="21"/>
  <c r="U4" i="21"/>
  <c r="G4" i="21" l="1"/>
  <c r="G55" i="27"/>
  <c r="G66" i="61"/>
  <c r="G67" i="61" s="1"/>
  <c r="O45" i="21"/>
  <c r="Y45" i="21" s="1"/>
  <c r="J45" i="21"/>
  <c r="L45" i="21" s="1"/>
  <c r="J44" i="21"/>
  <c r="L44" i="21" s="1"/>
  <c r="O44" i="21"/>
  <c r="Y44" i="21" s="1"/>
  <c r="O38" i="21"/>
  <c r="Y38" i="21" s="1"/>
  <c r="J37" i="21"/>
  <c r="L37" i="21" s="1"/>
  <c r="J38" i="21"/>
  <c r="L38" i="21" s="1"/>
  <c r="G51" i="48"/>
  <c r="G55" i="48" s="1"/>
  <c r="G64" i="48" s="1"/>
  <c r="G65" i="48" s="1"/>
  <c r="G51" i="33"/>
  <c r="G55" i="33" s="1"/>
  <c r="G64" i="31"/>
  <c r="G65" i="31" s="1"/>
  <c r="G66" i="31" s="1"/>
  <c r="G67" i="31" s="1"/>
  <c r="G64" i="34"/>
  <c r="G65" i="34" s="1"/>
  <c r="G51" i="26"/>
  <c r="G55" i="26" s="1"/>
  <c r="G64" i="26" s="1"/>
  <c r="G65" i="26" s="1"/>
  <c r="G51" i="29"/>
  <c r="G55" i="29" s="1"/>
  <c r="G64" i="29" s="1"/>
  <c r="G65" i="29" s="1"/>
  <c r="G51" i="37"/>
  <c r="G55" i="37" s="1"/>
  <c r="G64" i="37" s="1"/>
  <c r="G65" i="37" s="1"/>
  <c r="G66" i="37" s="1"/>
  <c r="G67" i="37" s="1"/>
  <c r="G51" i="49"/>
  <c r="G55" i="49" s="1"/>
  <c r="G64" i="49" s="1"/>
  <c r="G65" i="49" s="1"/>
  <c r="G51" i="59"/>
  <c r="G55" i="59" s="1"/>
  <c r="G64" i="59" s="1"/>
  <c r="G65" i="59" s="1"/>
  <c r="G66" i="59" s="1"/>
  <c r="G67" i="59" s="1"/>
  <c r="G51" i="32"/>
  <c r="G55" i="32" s="1"/>
  <c r="G64" i="32" s="1"/>
  <c r="G65" i="32" s="1"/>
  <c r="G61" i="56"/>
  <c r="G62" i="56" s="1"/>
  <c r="G64" i="56" s="1"/>
  <c r="G65" i="56" s="1"/>
  <c r="G51" i="35"/>
  <c r="G55" i="35" s="1"/>
  <c r="G64" i="35" s="1"/>
  <c r="G65" i="35" s="1"/>
  <c r="G55" i="46"/>
  <c r="G64" i="46" s="1"/>
  <c r="G65" i="46" s="1"/>
  <c r="G51" i="51"/>
  <c r="G55" i="51" s="1"/>
  <c r="G64" i="51" s="1"/>
  <c r="G65" i="51" s="1"/>
  <c r="G51" i="30"/>
  <c r="G55" i="30" s="1"/>
  <c r="G64" i="30" s="1"/>
  <c r="G65" i="30" s="1"/>
  <c r="G61" i="39"/>
  <c r="G62" i="39" s="1"/>
  <c r="G64" i="39" s="1"/>
  <c r="G65" i="39" s="1"/>
  <c r="G51" i="43"/>
  <c r="G55" i="43" s="1"/>
  <c r="G64" i="43" s="1"/>
  <c r="G65" i="43" s="1"/>
  <c r="G66" i="43" s="1"/>
  <c r="G67" i="43" s="1"/>
  <c r="G51" i="54"/>
  <c r="G55" i="54" s="1"/>
  <c r="G64" i="54" s="1"/>
  <c r="G65" i="54" s="1"/>
  <c r="G51" i="57"/>
  <c r="G55" i="57" s="1"/>
  <c r="G64" i="57" s="1"/>
  <c r="G65" i="57" s="1"/>
  <c r="G66" i="57" s="1"/>
  <c r="G67" i="57" s="1"/>
  <c r="G51" i="60"/>
  <c r="G55" i="60" s="1"/>
  <c r="G64" i="60" s="1"/>
  <c r="G65" i="60" s="1"/>
  <c r="G66" i="60" s="1"/>
  <c r="G67" i="60" s="1"/>
  <c r="G51" i="42"/>
  <c r="G55" i="42" s="1"/>
  <c r="G64" i="42" s="1"/>
  <c r="G65" i="42" s="1"/>
  <c r="G66" i="42" s="1"/>
  <c r="G67" i="42" s="1"/>
  <c r="G61" i="53"/>
  <c r="G62" i="53" s="1"/>
  <c r="G64" i="53" s="1"/>
  <c r="G65" i="53" s="1"/>
  <c r="G51" i="23"/>
  <c r="G55" i="23" s="1"/>
  <c r="G64" i="23" s="1"/>
  <c r="G65" i="23" s="1"/>
  <c r="G61" i="27"/>
  <c r="G62" i="27" s="1"/>
  <c r="G51" i="25"/>
  <c r="G55" i="25" s="1"/>
  <c r="G64" i="25" s="1"/>
  <c r="G65" i="25" s="1"/>
  <c r="G51" i="28"/>
  <c r="G55" i="28" s="1"/>
  <c r="G64" i="28" s="1"/>
  <c r="G65" i="28" s="1"/>
  <c r="G51" i="36"/>
  <c r="G55" i="36" s="1"/>
  <c r="G64" i="36" s="1"/>
  <c r="G65" i="36" s="1"/>
  <c r="G66" i="36" s="1"/>
  <c r="G67" i="36" s="1"/>
  <c r="G51" i="40"/>
  <c r="G55" i="40" s="1"/>
  <c r="G64" i="40" s="1"/>
  <c r="G65" i="40" s="1"/>
  <c r="G66" i="40" s="1"/>
  <c r="G67" i="40" s="1"/>
  <c r="G51" i="52"/>
  <c r="G55" i="52" s="1"/>
  <c r="G64" i="52" s="1"/>
  <c r="G65" i="52" s="1"/>
  <c r="G66" i="52" s="1"/>
  <c r="G67" i="52" s="1"/>
  <c r="G51" i="55"/>
  <c r="G55" i="55" s="1"/>
  <c r="G64" i="55" s="1"/>
  <c r="G65" i="55" s="1"/>
  <c r="G51" i="58"/>
  <c r="G55" i="58" s="1"/>
  <c r="G64" i="58" s="1"/>
  <c r="G65" i="58" s="1"/>
  <c r="G64" i="45"/>
  <c r="G65" i="45" s="1"/>
  <c r="G51" i="38"/>
  <c r="G55" i="38" s="1"/>
  <c r="G64" i="38" s="1"/>
  <c r="G65" i="38" s="1"/>
  <c r="G66" i="38" s="1"/>
  <c r="G67" i="38" s="1"/>
  <c r="G51" i="41"/>
  <c r="G55" i="41" s="1"/>
  <c r="G64" i="41" s="1"/>
  <c r="G65" i="41" s="1"/>
  <c r="G51" i="44"/>
  <c r="G55" i="44" s="1"/>
  <c r="G64" i="44" s="1"/>
  <c r="G65" i="44" s="1"/>
  <c r="G66" i="44" s="1"/>
  <c r="G67" i="44" s="1"/>
  <c r="G51" i="47"/>
  <c r="G55" i="47" s="1"/>
  <c r="G64" i="47" s="1"/>
  <c r="G65" i="47" s="1"/>
  <c r="G66" i="47" s="1"/>
  <c r="G67" i="47" s="1"/>
  <c r="G51" i="50"/>
  <c r="G55" i="50" s="1"/>
  <c r="G64" i="50" s="1"/>
  <c r="G65" i="50" s="1"/>
  <c r="G66" i="50" s="1"/>
  <c r="G67" i="50" s="1"/>
  <c r="G64" i="33"/>
  <c r="G65" i="33" s="1"/>
  <c r="G66" i="33" s="1"/>
  <c r="G67" i="33" s="1"/>
  <c r="G51" i="24"/>
  <c r="G55" i="24" s="1"/>
  <c r="G64" i="24" s="1"/>
  <c r="G65" i="24" s="1"/>
  <c r="G66" i="24" s="1"/>
  <c r="G67" i="24" s="1"/>
  <c r="G51" i="22"/>
  <c r="G55" i="22" s="1"/>
  <c r="G64" i="22" s="1"/>
  <c r="G65" i="22" s="1"/>
  <c r="Y6" i="21"/>
  <c r="J6" i="21"/>
  <c r="Y9" i="21"/>
  <c r="J9" i="21"/>
  <c r="Y16" i="21"/>
  <c r="J16" i="21"/>
  <c r="Y29" i="21"/>
  <c r="J29" i="21"/>
  <c r="Y33" i="21"/>
  <c r="J33" i="21"/>
  <c r="Y36" i="21"/>
  <c r="J36" i="21"/>
  <c r="L36" i="21" s="1"/>
  <c r="Y13" i="21"/>
  <c r="J13" i="21"/>
  <c r="Y39" i="21"/>
  <c r="J39" i="21"/>
  <c r="L39" i="21" s="1"/>
  <c r="Y42" i="21"/>
  <c r="J42" i="21"/>
  <c r="L42" i="21" s="1"/>
  <c r="Y46" i="21"/>
  <c r="J46" i="21"/>
  <c r="L46" i="21" s="1"/>
  <c r="Y19" i="21"/>
  <c r="J19" i="21"/>
  <c r="Y10" i="21"/>
  <c r="J10" i="21"/>
  <c r="L10" i="21" s="1"/>
  <c r="Y20" i="21"/>
  <c r="J20" i="21"/>
  <c r="Y34" i="21"/>
  <c r="J34" i="21"/>
  <c r="J41" i="21"/>
  <c r="L41" i="21" s="1"/>
  <c r="Y41" i="21"/>
  <c r="Y23" i="21"/>
  <c r="J23" i="21"/>
  <c r="Y22" i="21"/>
  <c r="J22" i="21"/>
  <c r="Y7" i="21"/>
  <c r="J7" i="21"/>
  <c r="Y14" i="21"/>
  <c r="J14" i="21"/>
  <c r="Y30" i="21"/>
  <c r="J30" i="21"/>
  <c r="J40" i="21"/>
  <c r="L40" i="21" s="1"/>
  <c r="Y40" i="21"/>
  <c r="Y47" i="21"/>
  <c r="J47" i="21"/>
  <c r="L47" i="21" s="1"/>
  <c r="Y25" i="21"/>
  <c r="J25" i="21"/>
  <c r="Y17" i="21"/>
  <c r="J17" i="21"/>
  <c r="Y26" i="21"/>
  <c r="J26" i="21"/>
  <c r="Y8" i="21"/>
  <c r="J8" i="21"/>
  <c r="Y11" i="21"/>
  <c r="J11" i="21"/>
  <c r="Y15" i="21"/>
  <c r="J15" i="21"/>
  <c r="Y18" i="21"/>
  <c r="J18" i="21"/>
  <c r="Y21" i="21"/>
  <c r="J21" i="21"/>
  <c r="Y24" i="21"/>
  <c r="J24" i="21"/>
  <c r="Y28" i="21"/>
  <c r="J28" i="21"/>
  <c r="Y31" i="21"/>
  <c r="J31" i="21"/>
  <c r="Y35" i="21"/>
  <c r="J35" i="21"/>
  <c r="L35" i="21" s="1"/>
  <c r="I5" i="21"/>
  <c r="I4" i="21" s="1"/>
  <c r="Y37" i="21"/>
  <c r="G64" i="27" l="1"/>
  <c r="G65" i="27" s="1"/>
  <c r="G66" i="27" s="1"/>
  <c r="G67" i="27" s="1"/>
  <c r="AA44" i="21"/>
  <c r="AC44" i="21" s="1"/>
  <c r="AA37" i="21"/>
  <c r="AC37" i="21" s="1"/>
  <c r="G66" i="56"/>
  <c r="G67" i="56" s="1"/>
  <c r="G66" i="35"/>
  <c r="G67" i="35" s="1"/>
  <c r="G66" i="32"/>
  <c r="G67" i="32" s="1"/>
  <c r="G66" i="49"/>
  <c r="G67" i="49" s="1"/>
  <c r="G66" i="58"/>
  <c r="G67" i="58" s="1"/>
  <c r="G66" i="29"/>
  <c r="G67" i="29" s="1"/>
  <c r="G66" i="41"/>
  <c r="G67" i="41" s="1"/>
  <c r="G66" i="45"/>
  <c r="G67" i="45" s="1"/>
  <c r="G66" i="26"/>
  <c r="G67" i="26" s="1"/>
  <c r="G66" i="53"/>
  <c r="G67" i="53" s="1"/>
  <c r="G66" i="39"/>
  <c r="G67" i="39" s="1"/>
  <c r="G66" i="34"/>
  <c r="G67" i="34" s="1"/>
  <c r="G66" i="54"/>
  <c r="G67" i="54" s="1"/>
  <c r="G66" i="22"/>
  <c r="G67" i="22" s="1"/>
  <c r="G66" i="30"/>
  <c r="G67" i="30" s="1"/>
  <c r="G66" i="28"/>
  <c r="G67" i="28" s="1"/>
  <c r="G66" i="51"/>
  <c r="G67" i="51" s="1"/>
  <c r="G66" i="55"/>
  <c r="G67" i="55" s="1"/>
  <c r="G66" i="25"/>
  <c r="G67" i="25" s="1"/>
  <c r="G66" i="46"/>
  <c r="G67" i="46" s="1"/>
  <c r="G66" i="48"/>
  <c r="G67" i="48" s="1"/>
  <c r="AA46" i="21"/>
  <c r="AC46" i="21" s="1"/>
  <c r="AA38" i="21"/>
  <c r="AC38" i="21" s="1"/>
  <c r="G66" i="23"/>
  <c r="G67" i="23" s="1"/>
  <c r="AA42" i="21"/>
  <c r="AC42" i="21" s="1"/>
  <c r="AA45" i="21"/>
  <c r="AC45" i="21" s="1"/>
  <c r="AA35" i="21"/>
  <c r="AC35" i="21" s="1"/>
  <c r="AA47" i="21"/>
  <c r="AC47" i="21" s="1"/>
  <c r="AA36" i="21"/>
  <c r="AC36" i="21" s="1"/>
  <c r="AA39" i="21"/>
  <c r="AC39" i="21" s="1"/>
  <c r="L31" i="21"/>
  <c r="AA31" i="21" s="1"/>
  <c r="AC31" i="21" s="1"/>
  <c r="L11" i="21"/>
  <c r="L23" i="21"/>
  <c r="AA23" i="21" s="1"/>
  <c r="AC23" i="21" s="1"/>
  <c r="L33" i="21"/>
  <c r="AA33" i="21" s="1"/>
  <c r="AC33" i="21" s="1"/>
  <c r="L16" i="21"/>
  <c r="AA16" i="21" s="1"/>
  <c r="AC16" i="21" s="1"/>
  <c r="AA40" i="21"/>
  <c r="AC40" i="21" s="1"/>
  <c r="L34" i="21"/>
  <c r="AA34" i="21" s="1"/>
  <c r="AC34" i="21" s="1"/>
  <c r="L24" i="21"/>
  <c r="AA24" i="21" s="1"/>
  <c r="AC24" i="21" s="1"/>
  <c r="L9" i="21"/>
  <c r="AA9" i="21" s="1"/>
  <c r="AC9" i="21" s="1"/>
  <c r="L30" i="21"/>
  <c r="AA30" i="21" s="1"/>
  <c r="AC30" i="21" s="1"/>
  <c r="L8" i="21"/>
  <c r="AA8" i="21" s="1"/>
  <c r="AC8" i="21" s="1"/>
  <c r="L17" i="21"/>
  <c r="AA17" i="21" s="1"/>
  <c r="AC17" i="21" s="1"/>
  <c r="L13" i="21"/>
  <c r="AA13" i="21" s="1"/>
  <c r="AC13" i="21" s="1"/>
  <c r="L18" i="21"/>
  <c r="AA18" i="21" s="1"/>
  <c r="AC18" i="21" s="1"/>
  <c r="L7" i="21"/>
  <c r="AA7" i="21" s="1"/>
  <c r="AC7" i="21" s="1"/>
  <c r="L6" i="21"/>
  <c r="AA6" i="21" s="1"/>
  <c r="AC6" i="21" s="1"/>
  <c r="L28" i="21"/>
  <c r="AA28" i="21" s="1"/>
  <c r="AC28" i="21" s="1"/>
  <c r="L29" i="21"/>
  <c r="AA29" i="21" s="1"/>
  <c r="AC29" i="21" s="1"/>
  <c r="L14" i="21"/>
  <c r="AA14" i="21" s="1"/>
  <c r="AC14" i="21" s="1"/>
  <c r="AA10" i="21"/>
  <c r="AA41" i="21"/>
  <c r="AC41" i="21" s="1"/>
  <c r="L26" i="21"/>
  <c r="AA26" i="21" s="1"/>
  <c r="AC26" i="21" s="1"/>
  <c r="L21" i="21"/>
  <c r="AA21" i="21" s="1"/>
  <c r="AC21" i="21" s="1"/>
  <c r="L25" i="21"/>
  <c r="AA25" i="21" s="1"/>
  <c r="AC25" i="21" s="1"/>
  <c r="L15" i="21"/>
  <c r="AA15" i="21" s="1"/>
  <c r="AC15" i="21" s="1"/>
  <c r="L22" i="21"/>
  <c r="AA22" i="21" s="1"/>
  <c r="AC22" i="21" s="1"/>
  <c r="L20" i="21"/>
  <c r="AA20" i="21" s="1"/>
  <c r="AC20" i="21" s="1"/>
  <c r="O5" i="21"/>
  <c r="O4" i="21" s="1"/>
  <c r="J5" i="21"/>
  <c r="J4" i="21" s="1"/>
  <c r="L19" i="21"/>
  <c r="AA19" i="21" s="1"/>
  <c r="AC19" i="21" s="1"/>
  <c r="AA11" i="21" l="1"/>
  <c r="AC11" i="21" s="1"/>
  <c r="AF11" i="21" s="1"/>
  <c r="AD4" i="21"/>
  <c r="AC10" i="21"/>
  <c r="Y5" i="21"/>
  <c r="AI4" i="21" s="1"/>
  <c r="AI5" i="21" s="1"/>
  <c r="L5" i="21"/>
  <c r="AA5" i="21" l="1"/>
  <c r="AC5" i="21" l="1"/>
  <c r="AC4" i="21" s="1"/>
  <c r="AA4" i="21"/>
  <c r="H94" i="14"/>
</calcChain>
</file>

<file path=xl/sharedStrings.xml><?xml version="1.0" encoding="utf-8"?>
<sst xmlns="http://schemas.openxmlformats.org/spreadsheetml/2006/main" count="2474" uniqueCount="166">
  <si>
    <t>운영 일수 / 금액</t>
    <phoneticPr fontId="2" type="noConversion"/>
  </si>
  <si>
    <t>월간 보장 금액</t>
    <phoneticPr fontId="2" type="noConversion"/>
  </si>
  <si>
    <t>일일 보장 금액</t>
    <phoneticPr fontId="2" type="noConversion"/>
  </si>
  <si>
    <t xml:space="preserve">공급가격 </t>
    <phoneticPr fontId="2" type="noConversion"/>
  </si>
  <si>
    <t>관리비</t>
    <phoneticPr fontId="2" type="noConversion"/>
  </si>
  <si>
    <t>아고다</t>
    <phoneticPr fontId="2" type="noConversion"/>
  </si>
  <si>
    <t>부킹닷컴</t>
    <phoneticPr fontId="2" type="noConversion"/>
  </si>
  <si>
    <t>현장</t>
    <phoneticPr fontId="2" type="noConversion"/>
  </si>
  <si>
    <t>소계</t>
    <phoneticPr fontId="2" type="noConversion"/>
  </si>
  <si>
    <t>개월</t>
    <phoneticPr fontId="2" type="noConversion"/>
  </si>
  <si>
    <t>일수</t>
    <phoneticPr fontId="2" type="noConversion"/>
  </si>
  <si>
    <t>원</t>
    <phoneticPr fontId="2" type="noConversion"/>
  </si>
  <si>
    <t>일</t>
    <phoneticPr fontId="2" type="noConversion"/>
  </si>
  <si>
    <t>린넨</t>
    <phoneticPr fontId="2" type="noConversion"/>
  </si>
  <si>
    <t>에어비앤비</t>
    <phoneticPr fontId="2" type="noConversion"/>
  </si>
  <si>
    <t>월정산금</t>
    <phoneticPr fontId="2" type="noConversion"/>
  </si>
  <si>
    <t>합계</t>
    <phoneticPr fontId="2" type="noConversion"/>
  </si>
  <si>
    <t>추가 지급</t>
    <phoneticPr fontId="2" type="noConversion"/>
  </si>
  <si>
    <t>2.차감 금액</t>
    <phoneticPr fontId="2" type="noConversion"/>
  </si>
  <si>
    <t>3.집행 금액</t>
    <phoneticPr fontId="2" type="noConversion"/>
  </si>
  <si>
    <t>호실</t>
    <phoneticPr fontId="2" type="noConversion"/>
  </si>
  <si>
    <t>1.호실별 내역</t>
    <phoneticPr fontId="2" type="noConversion"/>
  </si>
  <si>
    <t>주식회사 스테이지</t>
    <phoneticPr fontId="2" type="noConversion"/>
  </si>
  <si>
    <t>2. 월보장금액</t>
    <phoneticPr fontId="2" type="noConversion"/>
  </si>
  <si>
    <t>NO</t>
    <phoneticPr fontId="2" type="noConversion"/>
  </si>
  <si>
    <t>계약일</t>
    <phoneticPr fontId="2" type="noConversion"/>
  </si>
  <si>
    <t>월(일)</t>
    <phoneticPr fontId="2" type="noConversion"/>
  </si>
  <si>
    <t>사용료(VAT포함)</t>
    <phoneticPr fontId="2" type="noConversion"/>
  </si>
  <si>
    <t>차감액</t>
    <phoneticPr fontId="2" type="noConversion"/>
  </si>
  <si>
    <t>금액</t>
    <phoneticPr fontId="2" type="noConversion"/>
  </si>
  <si>
    <t>비고</t>
    <phoneticPr fontId="2" type="noConversion"/>
  </si>
  <si>
    <t>공급가격</t>
    <phoneticPr fontId="2" type="noConversion"/>
  </si>
  <si>
    <t>월</t>
    <phoneticPr fontId="2" type="noConversion"/>
  </si>
  <si>
    <t>운영일수</t>
    <phoneticPr fontId="2" type="noConversion"/>
  </si>
  <si>
    <t>추가지급</t>
    <phoneticPr fontId="2" type="noConversion"/>
  </si>
  <si>
    <t>랜트프리</t>
    <phoneticPr fontId="2" type="noConversion"/>
  </si>
  <si>
    <t>비품</t>
    <phoneticPr fontId="2" type="noConversion"/>
  </si>
  <si>
    <t>OTA 예약매출</t>
    <phoneticPr fontId="2" type="noConversion"/>
  </si>
  <si>
    <t>지급금액</t>
    <phoneticPr fontId="2" type="noConversion"/>
  </si>
  <si>
    <t>오차금액</t>
    <phoneticPr fontId="2" type="noConversion"/>
  </si>
  <si>
    <t xml:space="preserve">전월 </t>
    <phoneticPr fontId="2" type="noConversion"/>
  </si>
  <si>
    <t>통신비</t>
    <phoneticPr fontId="2" type="noConversion"/>
  </si>
  <si>
    <t>차감일</t>
    <phoneticPr fontId="2" type="noConversion"/>
  </si>
  <si>
    <t>사유</t>
    <phoneticPr fontId="2" type="noConversion"/>
  </si>
  <si>
    <t>구간</t>
    <phoneticPr fontId="2" type="noConversion"/>
  </si>
  <si>
    <t>분양가 구간</t>
    <phoneticPr fontId="2" type="noConversion"/>
  </si>
  <si>
    <t>분양가</t>
    <phoneticPr fontId="2" type="noConversion"/>
  </si>
  <si>
    <t>건물분 부가세제외</t>
    <phoneticPr fontId="2" type="noConversion"/>
  </si>
  <si>
    <t>보장액</t>
    <phoneticPr fontId="2" type="noConversion"/>
  </si>
  <si>
    <t>set up</t>
    <phoneticPr fontId="2" type="noConversion"/>
  </si>
  <si>
    <t>1.지급 내역</t>
    <phoneticPr fontId="2" type="noConversion"/>
  </si>
  <si>
    <t>"마이너스 월정산금은 익월 월정산금에서 차감 진행"</t>
    <phoneticPr fontId="2" type="noConversion"/>
  </si>
  <si>
    <t>BUSAN GRAZIE HOTEL</t>
    <phoneticPr fontId="2" type="noConversion"/>
  </si>
  <si>
    <t>주식회사 STAY-G</t>
    <phoneticPr fontId="2" type="noConversion"/>
  </si>
  <si>
    <t>소유주</t>
    <phoneticPr fontId="2" type="noConversion"/>
  </si>
  <si>
    <t>월분 정산 내역</t>
    <phoneticPr fontId="2" type="noConversion"/>
  </si>
  <si>
    <t>303호</t>
    <phoneticPr fontId="2" type="noConversion"/>
  </si>
  <si>
    <t>147,000,000~151,000,000</t>
  </si>
  <si>
    <t>305호</t>
    <phoneticPr fontId="2" type="noConversion"/>
  </si>
  <si>
    <t>307호</t>
    <phoneticPr fontId="2" type="noConversion"/>
  </si>
  <si>
    <t>308호</t>
    <phoneticPr fontId="2" type="noConversion"/>
  </si>
  <si>
    <t>309호</t>
    <phoneticPr fontId="2" type="noConversion"/>
  </si>
  <si>
    <t>401호</t>
    <phoneticPr fontId="2" type="noConversion"/>
  </si>
  <si>
    <t>406호</t>
    <phoneticPr fontId="2" type="noConversion"/>
  </si>
  <si>
    <t>409호</t>
    <phoneticPr fontId="2" type="noConversion"/>
  </si>
  <si>
    <t>501호</t>
    <phoneticPr fontId="2" type="noConversion"/>
  </si>
  <si>
    <t>506호</t>
    <phoneticPr fontId="2" type="noConversion"/>
  </si>
  <si>
    <t>609호</t>
    <phoneticPr fontId="2" type="noConversion"/>
  </si>
  <si>
    <t>615호</t>
    <phoneticPr fontId="2" type="noConversion"/>
  </si>
  <si>
    <t>701호</t>
    <phoneticPr fontId="2" type="noConversion"/>
  </si>
  <si>
    <t>702호</t>
    <phoneticPr fontId="2" type="noConversion"/>
  </si>
  <si>
    <t>705호</t>
    <phoneticPr fontId="2" type="noConversion"/>
  </si>
  <si>
    <t>709호</t>
    <phoneticPr fontId="2" type="noConversion"/>
  </si>
  <si>
    <t>713호</t>
    <phoneticPr fontId="2" type="noConversion"/>
  </si>
  <si>
    <t>805호</t>
    <phoneticPr fontId="2" type="noConversion"/>
  </si>
  <si>
    <t>809호</t>
    <phoneticPr fontId="2" type="noConversion"/>
  </si>
  <si>
    <t>811호</t>
    <phoneticPr fontId="2" type="noConversion"/>
  </si>
  <si>
    <t>906호</t>
    <phoneticPr fontId="2" type="noConversion"/>
  </si>
  <si>
    <t>907호</t>
    <phoneticPr fontId="2" type="noConversion"/>
  </si>
  <si>
    <t>911호</t>
    <phoneticPr fontId="2" type="noConversion"/>
  </si>
  <si>
    <t>1004호</t>
    <phoneticPr fontId="2" type="noConversion"/>
  </si>
  <si>
    <t>1011호</t>
    <phoneticPr fontId="2" type="noConversion"/>
  </si>
  <si>
    <t>1105호</t>
    <phoneticPr fontId="2" type="noConversion"/>
  </si>
  <si>
    <t>1107호</t>
    <phoneticPr fontId="2" type="noConversion"/>
  </si>
  <si>
    <t>1110호</t>
    <phoneticPr fontId="2" type="noConversion"/>
  </si>
  <si>
    <t>1111호</t>
    <phoneticPr fontId="2" type="noConversion"/>
  </si>
  <si>
    <t>1112호</t>
    <phoneticPr fontId="2" type="noConversion"/>
  </si>
  <si>
    <t>1114호</t>
    <phoneticPr fontId="2" type="noConversion"/>
  </si>
  <si>
    <t>1115호</t>
    <phoneticPr fontId="2" type="noConversion"/>
  </si>
  <si>
    <t>1116호</t>
    <phoneticPr fontId="2" type="noConversion"/>
  </si>
  <si>
    <t>1206호</t>
    <phoneticPr fontId="2" type="noConversion"/>
  </si>
  <si>
    <t>1214호</t>
    <phoneticPr fontId="2" type="noConversion"/>
  </si>
  <si>
    <t>1215호</t>
    <phoneticPr fontId="2" type="noConversion"/>
  </si>
  <si>
    <t>1216호</t>
    <phoneticPr fontId="2" type="noConversion"/>
  </si>
  <si>
    <t>151,000,000~156,000,000</t>
  </si>
  <si>
    <t>151,000,000~156,000,000</t>
    <phoneticPr fontId="2" type="noConversion"/>
  </si>
  <si>
    <t>156,000,000~</t>
    <phoneticPr fontId="2" type="noConversion"/>
  </si>
  <si>
    <t>902호</t>
    <phoneticPr fontId="2" type="noConversion"/>
  </si>
  <si>
    <t>정영주</t>
    <phoneticPr fontId="2" type="noConversion"/>
  </si>
  <si>
    <t>장예린</t>
    <phoneticPr fontId="2" type="noConversion"/>
  </si>
  <si>
    <t>오기선</t>
    <phoneticPr fontId="2" type="noConversion"/>
  </si>
  <si>
    <t>이현숙</t>
    <phoneticPr fontId="2" type="noConversion"/>
  </si>
  <si>
    <t>임정환</t>
    <phoneticPr fontId="2" type="noConversion"/>
  </si>
  <si>
    <t>장인석</t>
    <phoneticPr fontId="2" type="noConversion"/>
  </si>
  <si>
    <t>김정일</t>
    <phoneticPr fontId="2" type="noConversion"/>
  </si>
  <si>
    <t>김민경</t>
    <phoneticPr fontId="2" type="noConversion"/>
  </si>
  <si>
    <t>이연순</t>
    <phoneticPr fontId="2" type="noConversion"/>
  </si>
  <si>
    <t>강경완</t>
    <phoneticPr fontId="2" type="noConversion"/>
  </si>
  <si>
    <t>노현찬</t>
    <phoneticPr fontId="2" type="noConversion"/>
  </si>
  <si>
    <t>윤정임</t>
    <phoneticPr fontId="2" type="noConversion"/>
  </si>
  <si>
    <t>유화영</t>
    <phoneticPr fontId="2" type="noConversion"/>
  </si>
  <si>
    <t>전재승</t>
    <phoneticPr fontId="2" type="noConversion"/>
  </si>
  <si>
    <t>오예담</t>
    <phoneticPr fontId="2" type="noConversion"/>
  </si>
  <si>
    <t>이병희</t>
    <phoneticPr fontId="2" type="noConversion"/>
  </si>
  <si>
    <t>김은학</t>
    <phoneticPr fontId="2" type="noConversion"/>
  </si>
  <si>
    <t>김순희</t>
    <phoneticPr fontId="2" type="noConversion"/>
  </si>
  <si>
    <t>김수아</t>
    <phoneticPr fontId="2" type="noConversion"/>
  </si>
  <si>
    <t>우지민</t>
    <phoneticPr fontId="2" type="noConversion"/>
  </si>
  <si>
    <t>김효림</t>
    <phoneticPr fontId="2" type="noConversion"/>
  </si>
  <si>
    <t>박경섭</t>
    <phoneticPr fontId="2" type="noConversion"/>
  </si>
  <si>
    <t>서계수</t>
    <phoneticPr fontId="2" type="noConversion"/>
  </si>
  <si>
    <t>김명섭</t>
    <phoneticPr fontId="2" type="noConversion"/>
  </si>
  <si>
    <t>권승국</t>
    <phoneticPr fontId="2" type="noConversion"/>
  </si>
  <si>
    <t>연정민</t>
    <phoneticPr fontId="2" type="noConversion"/>
  </si>
  <si>
    <t>이정희</t>
    <phoneticPr fontId="2" type="noConversion"/>
  </si>
  <si>
    <t>이현</t>
    <phoneticPr fontId="2" type="noConversion"/>
  </si>
  <si>
    <t>백상현</t>
    <phoneticPr fontId="2" type="noConversion"/>
  </si>
  <si>
    <t>이영희</t>
    <phoneticPr fontId="2" type="noConversion"/>
  </si>
  <si>
    <t>김준태</t>
    <phoneticPr fontId="2" type="noConversion"/>
  </si>
  <si>
    <t>박상준</t>
    <phoneticPr fontId="2" type="noConversion"/>
  </si>
  <si>
    <t>김윤경</t>
    <phoneticPr fontId="2" type="noConversion"/>
  </si>
  <si>
    <t>박태일</t>
    <phoneticPr fontId="2" type="noConversion"/>
  </si>
  <si>
    <t>최병현</t>
    <phoneticPr fontId="2" type="noConversion"/>
  </si>
  <si>
    <t>황산순</t>
    <phoneticPr fontId="2" type="noConversion"/>
  </si>
  <si>
    <t>김하석</t>
    <phoneticPr fontId="2" type="noConversion"/>
  </si>
  <si>
    <t>최희숙</t>
    <phoneticPr fontId="2" type="noConversion"/>
  </si>
  <si>
    <t>156,000,000~162,000,000</t>
    <phoneticPr fontId="2" type="noConversion"/>
  </si>
  <si>
    <t>세금계산서 발행금액</t>
    <phoneticPr fontId="2" type="noConversion"/>
  </si>
  <si>
    <t>404호</t>
    <phoneticPr fontId="2" type="noConversion"/>
  </si>
  <si>
    <t>1208호</t>
    <phoneticPr fontId="2" type="noConversion"/>
  </si>
  <si>
    <t>1006호</t>
    <phoneticPr fontId="2" type="noConversion"/>
  </si>
  <si>
    <t>전월
이월</t>
    <phoneticPr fontId="2" type="noConversion"/>
  </si>
  <si>
    <t>호실</t>
    <phoneticPr fontId="2" type="noConversion"/>
  </si>
  <si>
    <t>남종안</t>
    <phoneticPr fontId="2" type="noConversion"/>
  </si>
  <si>
    <t>전성숙</t>
    <phoneticPr fontId="2" type="noConversion"/>
  </si>
  <si>
    <t>원</t>
    <phoneticPr fontId="2" type="noConversion"/>
  </si>
  <si>
    <t>이상현</t>
    <phoneticPr fontId="2" type="noConversion"/>
  </si>
  <si>
    <t>부가가치세</t>
    <phoneticPr fontId="2" type="noConversion"/>
  </si>
  <si>
    <t>공용성</t>
    <phoneticPr fontId="2" type="noConversion"/>
  </si>
  <si>
    <t>비용 지급</t>
    <phoneticPr fontId="2" type="noConversion"/>
  </si>
  <si>
    <t>관리단 관리비</t>
    <phoneticPr fontId="2" type="noConversion"/>
  </si>
  <si>
    <t>715호</t>
    <phoneticPr fontId="2" type="noConversion"/>
  </si>
  <si>
    <t>156,000,000~162,000,000</t>
  </si>
  <si>
    <t>1210호</t>
    <phoneticPr fontId="2" type="noConversion"/>
  </si>
  <si>
    <t>소계 ( 페이지 3참고)</t>
    <phoneticPr fontId="2" type="noConversion"/>
  </si>
  <si>
    <t>9월1일 ~ 9월30일  정산서</t>
    <phoneticPr fontId="2" type="noConversion"/>
  </si>
  <si>
    <t>9월분 부산 그라체</t>
    <phoneticPr fontId="2" type="noConversion"/>
  </si>
  <si>
    <t>2025.09.30</t>
    <phoneticPr fontId="2" type="noConversion"/>
  </si>
  <si>
    <t>월 정산이월 (페이지 3참고)</t>
    <phoneticPr fontId="2" type="noConversion"/>
  </si>
  <si>
    <t>아웃소싱  9월 보장금액</t>
    <phoneticPr fontId="2" type="noConversion"/>
  </si>
  <si>
    <t>스테이지</t>
    <phoneticPr fontId="2" type="noConversion"/>
  </si>
  <si>
    <t>8월분 6세대</t>
    <phoneticPr fontId="2" type="noConversion"/>
  </si>
  <si>
    <t xml:space="preserve">RF도어락 설치 </t>
    <phoneticPr fontId="2" type="noConversion"/>
  </si>
  <si>
    <t xml:space="preserve">소계 </t>
    <phoneticPr fontId="2" type="noConversion"/>
  </si>
  <si>
    <t>월 정산이월</t>
    <phoneticPr fontId="2" type="noConversion"/>
  </si>
  <si>
    <t xml:space="preserve">월 정산이월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</si>
</sst>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_-* #,##0.00_-;\-* #,##0.00_-;_-* &quot;-&quot;_-;_-@_-"/>
    <numFmt numFmtId="178" formatCode="_-* #,##0_-;\-* #,##0_-;_-* &quot;-&quot;??_-;_-@_-"/>
    <numFmt numFmtId="179" formatCode="_-\ #,##0_-;\-\ #,##0_-;_-\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C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41" fontId="3" fillId="0" borderId="1" xfId="1" applyFont="1" applyBorder="1">
      <alignment vertical="center"/>
    </xf>
    <xf numFmtId="41" fontId="3" fillId="0" borderId="0" xfId="1" applyFont="1" applyBorder="1">
      <alignment vertical="center"/>
    </xf>
    <xf numFmtId="41" fontId="3" fillId="0" borderId="2" xfId="1" applyFont="1" applyBorder="1">
      <alignment vertical="center"/>
    </xf>
    <xf numFmtId="0" fontId="5" fillId="0" borderId="0" xfId="0" applyFont="1">
      <alignment vertical="center"/>
    </xf>
    <xf numFmtId="41" fontId="5" fillId="0" borderId="0" xfId="1" applyFont="1">
      <alignment vertical="center"/>
    </xf>
    <xf numFmtId="41" fontId="5" fillId="0" borderId="0" xfId="1" applyFont="1" applyBorder="1">
      <alignment vertical="center"/>
    </xf>
    <xf numFmtId="0" fontId="5" fillId="0" borderId="2" xfId="0" applyFont="1" applyBorder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41" fontId="6" fillId="0" borderId="1" xfId="1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41" fontId="6" fillId="0" borderId="0" xfId="1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Continuous" vertical="center"/>
    </xf>
    <xf numFmtId="41" fontId="6" fillId="0" borderId="0" xfId="1" applyFont="1" applyBorder="1" applyAlignment="1">
      <alignment horizontal="center" vertical="center"/>
    </xf>
    <xf numFmtId="41" fontId="6" fillId="0" borderId="2" xfId="1" applyFont="1" applyBorder="1">
      <alignment vertical="center"/>
    </xf>
    <xf numFmtId="0" fontId="6" fillId="0" borderId="2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2" fillId="0" borderId="0" xfId="0" applyFont="1">
      <alignment vertical="center"/>
    </xf>
    <xf numFmtId="41" fontId="14" fillId="0" borderId="0" xfId="1" applyFont="1">
      <alignment vertical="center"/>
    </xf>
    <xf numFmtId="41" fontId="15" fillId="0" borderId="0" xfId="1" applyFont="1">
      <alignment vertical="center"/>
    </xf>
    <xf numFmtId="0" fontId="16" fillId="0" borderId="0" xfId="0" applyFont="1">
      <alignment vertical="center"/>
    </xf>
    <xf numFmtId="41" fontId="16" fillId="0" borderId="0" xfId="1" applyFont="1">
      <alignment vertical="center"/>
    </xf>
    <xf numFmtId="0" fontId="16" fillId="0" borderId="2" xfId="0" applyFont="1" applyBorder="1">
      <alignment vertical="center"/>
    </xf>
    <xf numFmtId="41" fontId="16" fillId="0" borderId="2" xfId="1" applyFont="1" applyBorder="1">
      <alignment vertical="center"/>
    </xf>
    <xf numFmtId="179" fontId="14" fillId="0" borderId="0" xfId="1" applyNumberFormat="1" applyFont="1">
      <alignment vertical="center"/>
    </xf>
    <xf numFmtId="0" fontId="18" fillId="0" borderId="0" xfId="0" applyFont="1" applyAlignment="1">
      <alignment horizontal="center" vertical="center"/>
    </xf>
    <xf numFmtId="41" fontId="18" fillId="0" borderId="0" xfId="1" applyFont="1" applyAlignment="1">
      <alignment horizontal="center" vertical="center"/>
    </xf>
    <xf numFmtId="41" fontId="18" fillId="0" borderId="0" xfId="1" applyFont="1" applyBorder="1" applyAlignment="1">
      <alignment horizontal="center" vertical="center"/>
    </xf>
    <xf numFmtId="177" fontId="18" fillId="0" borderId="0" xfId="1" applyNumberFormat="1" applyFont="1" applyBorder="1" applyAlignment="1">
      <alignment horizontal="center" vertical="center"/>
    </xf>
    <xf numFmtId="177" fontId="18" fillId="0" borderId="0" xfId="1" applyNumberFormat="1" applyFont="1" applyAlignment="1">
      <alignment horizontal="center" vertical="center"/>
    </xf>
    <xf numFmtId="41" fontId="18" fillId="0" borderId="3" xfId="1" applyFont="1" applyFill="1" applyBorder="1" applyAlignment="1">
      <alignment vertical="center"/>
    </xf>
    <xf numFmtId="41" fontId="18" fillId="0" borderId="3" xfId="1" applyFont="1" applyFill="1" applyBorder="1" applyAlignment="1">
      <alignment horizontal="center" vertical="center"/>
    </xf>
    <xf numFmtId="0" fontId="18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41" fontId="19" fillId="0" borderId="3" xfId="1" applyFont="1" applyFill="1" applyBorder="1" applyAlignment="1">
      <alignment horizontal="center" vertical="center"/>
    </xf>
    <xf numFmtId="176" fontId="18" fillId="0" borderId="3" xfId="0" applyNumberFormat="1" applyFont="1" applyBorder="1" applyAlignment="1">
      <alignment horizontal="center" vertical="center"/>
    </xf>
    <xf numFmtId="41" fontId="18" fillId="0" borderId="3" xfId="1" applyFont="1" applyBorder="1" applyAlignment="1">
      <alignment horizontal="center" vertical="center"/>
    </xf>
    <xf numFmtId="178" fontId="18" fillId="0" borderId="3" xfId="0" applyNumberFormat="1" applyFont="1" applyBorder="1" applyAlignment="1">
      <alignment horizontal="center" vertical="center"/>
    </xf>
    <xf numFmtId="177" fontId="18" fillId="0" borderId="3" xfId="1" applyNumberFormat="1" applyFont="1" applyFill="1" applyBorder="1" applyAlignment="1">
      <alignment horizontal="center" vertical="center"/>
    </xf>
    <xf numFmtId="176" fontId="18" fillId="2" borderId="3" xfId="0" applyNumberFormat="1" applyFont="1" applyFill="1" applyBorder="1" applyAlignment="1">
      <alignment horizontal="center" vertical="center"/>
    </xf>
    <xf numFmtId="41" fontId="18" fillId="2" borderId="3" xfId="1" applyFont="1" applyFill="1" applyBorder="1" applyAlignment="1">
      <alignment horizontal="center" vertical="center"/>
    </xf>
    <xf numFmtId="178" fontId="18" fillId="2" borderId="3" xfId="0" applyNumberFormat="1" applyFont="1" applyFill="1" applyBorder="1" applyAlignment="1">
      <alignment horizontal="center" vertical="center"/>
    </xf>
    <xf numFmtId="177" fontId="18" fillId="0" borderId="3" xfId="1" applyNumberFormat="1" applyFont="1" applyBorder="1" applyAlignment="1">
      <alignment horizontal="center" vertical="center"/>
    </xf>
    <xf numFmtId="41" fontId="18" fillId="0" borderId="5" xfId="1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176" fontId="18" fillId="3" borderId="3" xfId="0" applyNumberFormat="1" applyFont="1" applyFill="1" applyBorder="1" applyAlignment="1">
      <alignment horizontal="center" vertical="center"/>
    </xf>
    <xf numFmtId="41" fontId="18" fillId="3" borderId="3" xfId="1" applyFont="1" applyFill="1" applyBorder="1" applyAlignment="1">
      <alignment horizontal="center" vertical="center"/>
    </xf>
    <xf numFmtId="41" fontId="19" fillId="3" borderId="3" xfId="1" applyFont="1" applyFill="1" applyBorder="1" applyAlignment="1">
      <alignment horizontal="center" vertical="center"/>
    </xf>
    <xf numFmtId="41" fontId="18" fillId="3" borderId="3" xfId="1" applyFont="1" applyFill="1" applyBorder="1" applyAlignment="1">
      <alignment vertical="center"/>
    </xf>
    <xf numFmtId="178" fontId="18" fillId="3" borderId="3" xfId="0" applyNumberFormat="1" applyFont="1" applyFill="1" applyBorder="1" applyAlignment="1">
      <alignment horizontal="center" vertical="center"/>
    </xf>
    <xf numFmtId="41" fontId="18" fillId="3" borderId="0" xfId="1" applyFont="1" applyFill="1" applyBorder="1" applyAlignment="1">
      <alignment horizontal="center" vertical="center"/>
    </xf>
    <xf numFmtId="41" fontId="18" fillId="0" borderId="3" xfId="0" applyNumberFormat="1" applyFont="1" applyBorder="1" applyAlignment="1">
      <alignment horizontal="center" vertical="center"/>
    </xf>
    <xf numFmtId="41" fontId="18" fillId="0" borderId="6" xfId="1" applyFont="1" applyFill="1" applyBorder="1" applyAlignment="1">
      <alignment vertical="center"/>
    </xf>
    <xf numFmtId="41" fontId="18" fillId="0" borderId="6" xfId="1" applyFont="1" applyBorder="1" applyAlignment="1">
      <alignment vertical="center"/>
    </xf>
    <xf numFmtId="41" fontId="18" fillId="3" borderId="6" xfId="1" applyFont="1" applyFill="1" applyBorder="1" applyAlignment="1">
      <alignment vertical="center"/>
    </xf>
    <xf numFmtId="41" fontId="17" fillId="0" borderId="3" xfId="1" applyFont="1" applyBorder="1">
      <alignment vertical="center"/>
    </xf>
    <xf numFmtId="41" fontId="17" fillId="0" borderId="3" xfId="1" applyFont="1" applyFill="1" applyBorder="1">
      <alignment vertical="center"/>
    </xf>
    <xf numFmtId="176" fontId="18" fillId="3" borderId="3" xfId="1" applyNumberFormat="1" applyFont="1" applyFill="1" applyBorder="1" applyAlignment="1">
      <alignment horizontal="center" vertical="center"/>
    </xf>
    <xf numFmtId="41" fontId="18" fillId="4" borderId="3" xfId="1" applyFont="1" applyFill="1" applyBorder="1" applyAlignment="1">
      <alignment horizontal="center" vertical="center"/>
    </xf>
    <xf numFmtId="41" fontId="18" fillId="5" borderId="3" xfId="1" applyFont="1" applyFill="1" applyBorder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6" fontId="18" fillId="4" borderId="3" xfId="1" applyNumberFormat="1" applyFont="1" applyFill="1" applyBorder="1" applyAlignment="1">
      <alignment horizontal="center" vertical="center"/>
    </xf>
    <xf numFmtId="176" fontId="18" fillId="5" borderId="3" xfId="1" applyNumberFormat="1" applyFont="1" applyFill="1" applyBorder="1" applyAlignment="1">
      <alignment horizontal="center" vertical="center"/>
    </xf>
    <xf numFmtId="176" fontId="20" fillId="5" borderId="3" xfId="1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41" fontId="17" fillId="6" borderId="3" xfId="1" applyFont="1" applyFill="1" applyBorder="1" applyAlignment="1">
      <alignment vertical="center"/>
    </xf>
    <xf numFmtId="41" fontId="17" fillId="6" borderId="6" xfId="1" applyFont="1" applyFill="1" applyBorder="1" applyAlignment="1">
      <alignment vertical="center"/>
    </xf>
    <xf numFmtId="41" fontId="17" fillId="6" borderId="3" xfId="1" applyFont="1" applyFill="1" applyBorder="1" applyAlignment="1">
      <alignment horizontal="center" vertical="center"/>
    </xf>
    <xf numFmtId="41" fontId="17" fillId="6" borderId="4" xfId="1" applyFont="1" applyFill="1" applyBorder="1" applyAlignment="1">
      <alignment vertical="center"/>
    </xf>
    <xf numFmtId="0" fontId="17" fillId="6" borderId="4" xfId="0" applyFont="1" applyFill="1" applyBorder="1">
      <alignment vertical="center"/>
    </xf>
    <xf numFmtId="0" fontId="17" fillId="6" borderId="3" xfId="0" applyFont="1" applyFill="1" applyBorder="1">
      <alignment vertical="center"/>
    </xf>
    <xf numFmtId="0" fontId="18" fillId="0" borderId="5" xfId="0" applyFont="1" applyBorder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176" fontId="18" fillId="3" borderId="5" xfId="1" applyNumberFormat="1" applyFont="1" applyFill="1" applyBorder="1" applyAlignment="1">
      <alignment horizontal="center" vertical="center"/>
    </xf>
    <xf numFmtId="41" fontId="18" fillId="0" borderId="5" xfId="1" applyFont="1" applyBorder="1" applyAlignment="1">
      <alignment horizontal="center" vertical="center"/>
    </xf>
    <xf numFmtId="41" fontId="18" fillId="3" borderId="5" xfId="1" applyFont="1" applyFill="1" applyBorder="1" applyAlignment="1">
      <alignment horizontal="center" vertical="center"/>
    </xf>
    <xf numFmtId="41" fontId="17" fillId="0" borderId="5" xfId="1" applyFont="1" applyBorder="1">
      <alignment vertical="center"/>
    </xf>
    <xf numFmtId="41" fontId="18" fillId="0" borderId="5" xfId="1" applyFont="1" applyFill="1" applyBorder="1" applyAlignment="1">
      <alignment vertical="center"/>
    </xf>
    <xf numFmtId="0" fontId="17" fillId="6" borderId="8" xfId="0" applyFont="1" applyFill="1" applyBorder="1" applyAlignment="1">
      <alignment horizontal="center" vertical="center"/>
    </xf>
    <xf numFmtId="41" fontId="17" fillId="6" borderId="8" xfId="1" applyFont="1" applyFill="1" applyBorder="1" applyAlignment="1">
      <alignment horizontal="center" vertical="center"/>
    </xf>
    <xf numFmtId="41" fontId="17" fillId="6" borderId="9" xfId="1" applyFont="1" applyFill="1" applyBorder="1" applyAlignment="1">
      <alignment vertical="center"/>
    </xf>
    <xf numFmtId="0" fontId="17" fillId="6" borderId="7" xfId="0" applyFont="1" applyFill="1" applyBorder="1">
      <alignment vertical="center"/>
    </xf>
    <xf numFmtId="41" fontId="19" fillId="0" borderId="5" xfId="1" applyFont="1" applyFill="1" applyBorder="1" applyAlignment="1">
      <alignment horizontal="center" vertical="center"/>
    </xf>
    <xf numFmtId="177" fontId="17" fillId="6" borderId="12" xfId="1" applyNumberFormat="1" applyFont="1" applyFill="1" applyBorder="1" applyAlignment="1">
      <alignment vertical="center"/>
    </xf>
    <xf numFmtId="177" fontId="17" fillId="6" borderId="13" xfId="1" applyNumberFormat="1" applyFont="1" applyFill="1" applyBorder="1" applyAlignment="1">
      <alignment vertical="center"/>
    </xf>
    <xf numFmtId="41" fontId="0" fillId="0" borderId="0" xfId="0" applyNumberFormat="1">
      <alignment vertical="center"/>
    </xf>
    <xf numFmtId="41" fontId="18" fillId="3" borderId="0" xfId="1" applyFont="1" applyFill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176" fontId="17" fillId="6" borderId="3" xfId="0" applyNumberFormat="1" applyFont="1" applyFill="1" applyBorder="1" applyAlignment="1">
      <alignment horizontal="center" vertical="center"/>
    </xf>
    <xf numFmtId="176" fontId="17" fillId="6" borderId="8" xfId="0" applyNumberFormat="1" applyFont="1" applyFill="1" applyBorder="1" applyAlignment="1">
      <alignment horizontal="center" vertical="center"/>
    </xf>
    <xf numFmtId="177" fontId="17" fillId="6" borderId="3" xfId="1" applyNumberFormat="1" applyFont="1" applyFill="1" applyBorder="1" applyAlignment="1">
      <alignment horizontal="center" vertical="center"/>
    </xf>
    <xf numFmtId="41" fontId="17" fillId="6" borderId="3" xfId="1" applyFont="1" applyFill="1" applyBorder="1" applyAlignment="1">
      <alignment horizontal="center" vertical="center" wrapText="1"/>
    </xf>
    <xf numFmtId="41" fontId="17" fillId="6" borderId="3" xfId="1" applyFont="1" applyFill="1" applyBorder="1" applyAlignment="1">
      <alignment horizontal="center" vertical="center"/>
    </xf>
    <xf numFmtId="177" fontId="17" fillId="6" borderId="10" xfId="1" applyNumberFormat="1" applyFont="1" applyFill="1" applyBorder="1" applyAlignment="1">
      <alignment horizontal="center" vertical="center"/>
    </xf>
    <xf numFmtId="177" fontId="17" fillId="6" borderId="1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E9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8215-D435-4298-953A-F734DADB8713}">
  <sheetPr>
    <pageSetUpPr fitToPage="1"/>
  </sheetPr>
  <dimension ref="A1:AI54"/>
  <sheetViews>
    <sheetView zoomScale="70" zoomScaleNormal="70" workbookViewId="0">
      <selection activeCell="AD43" sqref="AD43"/>
    </sheetView>
  </sheetViews>
  <sheetFormatPr defaultColWidth="8.75" defaultRowHeight="16.5" x14ac:dyDescent="0.3"/>
  <cols>
    <col min="1" max="1" width="4.5" style="40" bestFit="1" customWidth="1"/>
    <col min="2" max="2" width="5.375" style="40" bestFit="1" customWidth="1"/>
    <col min="3" max="3" width="7" style="75" bestFit="1" customWidth="1"/>
    <col min="4" max="4" width="7" style="40" bestFit="1" customWidth="1"/>
    <col min="5" max="5" width="6.25" style="40" bestFit="1" customWidth="1"/>
    <col min="6" max="6" width="16.5" style="41" bestFit="1" customWidth="1"/>
    <col min="7" max="7" width="18.25" style="41" bestFit="1" customWidth="1"/>
    <col min="8" max="8" width="13.25" style="41" bestFit="1" customWidth="1"/>
    <col min="9" max="9" width="9.5" style="41" bestFit="1" customWidth="1"/>
    <col min="10" max="10" width="12.125" style="41" bestFit="1" customWidth="1"/>
    <col min="11" max="11" width="9.875" style="41" bestFit="1" customWidth="1"/>
    <col min="12" max="12" width="12.125" style="41" bestFit="1" customWidth="1"/>
    <col min="13" max="13" width="2.125" style="42" customWidth="1"/>
    <col min="14" max="14" width="6.75" style="41" customWidth="1"/>
    <col min="15" max="16" width="6.75" style="41" bestFit="1" customWidth="1"/>
    <col min="17" max="17" width="7.875" style="41" bestFit="1" customWidth="1"/>
    <col min="18" max="19" width="8.25" style="41" bestFit="1" customWidth="1"/>
    <col min="20" max="20" width="9.5" style="41" bestFit="1" customWidth="1"/>
    <col min="21" max="21" width="8.25" style="41" bestFit="1" customWidth="1"/>
    <col min="22" max="22" width="9.875" style="41" bestFit="1" customWidth="1"/>
    <col min="23" max="23" width="11.75" style="41" bestFit="1" customWidth="1"/>
    <col min="24" max="24" width="6.75" style="41" bestFit="1" customWidth="1"/>
    <col min="25" max="25" width="9.5" style="41" bestFit="1" customWidth="1"/>
    <col min="26" max="26" width="11" style="42" bestFit="1" customWidth="1"/>
    <col min="27" max="27" width="12.125" style="42" bestFit="1" customWidth="1"/>
    <col min="28" max="28" width="2.125" style="42" customWidth="1"/>
    <col min="29" max="29" width="12.125" style="42" bestFit="1" customWidth="1"/>
    <col min="30" max="30" width="12.125" style="42" customWidth="1"/>
    <col min="31" max="31" width="9.875" style="42" bestFit="1" customWidth="1"/>
    <col min="32" max="32" width="9.5" style="43" bestFit="1" customWidth="1"/>
    <col min="33" max="33" width="6.75" style="42" bestFit="1" customWidth="1"/>
    <col min="34" max="34" width="6.75" style="44" bestFit="1" customWidth="1"/>
    <col min="35" max="35" width="13.75" bestFit="1" customWidth="1"/>
  </cols>
  <sheetData>
    <row r="1" spans="1:35" x14ac:dyDescent="0.3">
      <c r="A1" s="102" t="s">
        <v>24</v>
      </c>
      <c r="B1" s="102" t="s">
        <v>10</v>
      </c>
      <c r="C1" s="104" t="s">
        <v>20</v>
      </c>
      <c r="D1" s="102" t="s">
        <v>25</v>
      </c>
      <c r="E1" s="102" t="s">
        <v>26</v>
      </c>
      <c r="F1" s="80" t="s">
        <v>27</v>
      </c>
      <c r="G1" s="80"/>
      <c r="H1" s="80"/>
      <c r="I1" s="80"/>
      <c r="J1" s="80"/>
      <c r="K1" s="80"/>
      <c r="L1" s="80"/>
      <c r="M1" s="81"/>
      <c r="N1" s="108" t="s">
        <v>28</v>
      </c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80"/>
      <c r="AA1" s="82" t="s">
        <v>29</v>
      </c>
      <c r="AB1" s="83"/>
      <c r="AC1" s="80"/>
      <c r="AD1" s="80"/>
      <c r="AE1" s="80"/>
      <c r="AF1" s="80"/>
      <c r="AG1" s="80"/>
      <c r="AH1" s="106" t="s">
        <v>30</v>
      </c>
    </row>
    <row r="2" spans="1:35" x14ac:dyDescent="0.3">
      <c r="A2" s="102"/>
      <c r="B2" s="102"/>
      <c r="C2" s="104"/>
      <c r="D2" s="102"/>
      <c r="E2" s="102"/>
      <c r="F2" s="107" t="s">
        <v>46</v>
      </c>
      <c r="G2" s="82" t="s">
        <v>47</v>
      </c>
      <c r="H2" s="82" t="s">
        <v>32</v>
      </c>
      <c r="I2" s="82" t="s">
        <v>12</v>
      </c>
      <c r="J2" s="108" t="s">
        <v>33</v>
      </c>
      <c r="K2" s="82" t="s">
        <v>34</v>
      </c>
      <c r="L2" s="108" t="s">
        <v>8</v>
      </c>
      <c r="M2" s="81"/>
      <c r="N2" s="108" t="s">
        <v>35</v>
      </c>
      <c r="O2" s="108"/>
      <c r="P2" s="108" t="s">
        <v>36</v>
      </c>
      <c r="Q2" s="108"/>
      <c r="R2" s="82" t="s">
        <v>4</v>
      </c>
      <c r="S2" s="80"/>
      <c r="T2" s="80" t="s">
        <v>4</v>
      </c>
      <c r="U2" s="108" t="s">
        <v>37</v>
      </c>
      <c r="V2" s="108"/>
      <c r="W2" s="108"/>
      <c r="X2" s="108"/>
      <c r="Y2" s="108" t="s">
        <v>8</v>
      </c>
      <c r="Z2" s="107" t="s">
        <v>141</v>
      </c>
      <c r="AA2" s="79" t="s">
        <v>16</v>
      </c>
      <c r="AB2" s="84"/>
      <c r="AC2" s="109" t="s">
        <v>38</v>
      </c>
      <c r="AD2" s="110"/>
      <c r="AE2" s="106" t="s">
        <v>39</v>
      </c>
      <c r="AF2" s="102" t="s">
        <v>40</v>
      </c>
      <c r="AG2" s="102"/>
      <c r="AH2" s="106"/>
      <c r="AI2" s="41">
        <v>20360000</v>
      </c>
    </row>
    <row r="3" spans="1:35" x14ac:dyDescent="0.3">
      <c r="A3" s="102"/>
      <c r="B3" s="102"/>
      <c r="C3" s="104"/>
      <c r="D3" s="102"/>
      <c r="E3" s="102"/>
      <c r="F3" s="107"/>
      <c r="G3" s="82" t="s">
        <v>31</v>
      </c>
      <c r="H3" s="82" t="s">
        <v>48</v>
      </c>
      <c r="I3" s="79">
        <v>30</v>
      </c>
      <c r="J3" s="108"/>
      <c r="K3" s="82" t="s">
        <v>41</v>
      </c>
      <c r="L3" s="108"/>
      <c r="M3" s="81"/>
      <c r="N3" s="82" t="s">
        <v>10</v>
      </c>
      <c r="O3" s="82" t="s">
        <v>29</v>
      </c>
      <c r="P3" s="82" t="s">
        <v>13</v>
      </c>
      <c r="Q3" s="82" t="s">
        <v>49</v>
      </c>
      <c r="R3" s="82" t="s">
        <v>29</v>
      </c>
      <c r="S3" s="82" t="s">
        <v>42</v>
      </c>
      <c r="T3" s="82" t="s">
        <v>28</v>
      </c>
      <c r="U3" s="82" t="s">
        <v>5</v>
      </c>
      <c r="V3" s="82" t="s">
        <v>6</v>
      </c>
      <c r="W3" s="82" t="s">
        <v>14</v>
      </c>
      <c r="X3" s="82" t="s">
        <v>7</v>
      </c>
      <c r="Y3" s="108"/>
      <c r="Z3" s="108"/>
      <c r="AA3" s="85"/>
      <c r="AB3" s="84"/>
      <c r="AC3" s="98"/>
      <c r="AD3" s="99" t="s">
        <v>160</v>
      </c>
      <c r="AE3" s="106"/>
      <c r="AF3" s="102"/>
      <c r="AG3" s="102"/>
      <c r="AH3" s="106"/>
      <c r="AI3" s="41">
        <f>AI2-L43-L32-L11</f>
        <v>18940000</v>
      </c>
    </row>
    <row r="4" spans="1:35" ht="17.25" thickBot="1" x14ac:dyDescent="0.35">
      <c r="A4" s="103"/>
      <c r="B4" s="103"/>
      <c r="C4" s="105"/>
      <c r="D4" s="93">
        <v>7</v>
      </c>
      <c r="E4" s="93">
        <v>8</v>
      </c>
      <c r="F4" s="94">
        <f t="shared" ref="F4:L4" si="0">SUM(F5:F488)</f>
        <v>6683000000</v>
      </c>
      <c r="G4" s="94">
        <f t="shared" si="0"/>
        <v>5869427760</v>
      </c>
      <c r="H4" s="94">
        <f t="shared" si="0"/>
        <v>20360000</v>
      </c>
      <c r="I4" s="94">
        <f t="shared" si="0"/>
        <v>678666.66666666674</v>
      </c>
      <c r="J4" s="94">
        <f t="shared" si="0"/>
        <v>20360000</v>
      </c>
      <c r="K4" s="94">
        <f t="shared" si="0"/>
        <v>0</v>
      </c>
      <c r="L4" s="94">
        <f>SUM(L5:L488)</f>
        <v>20360000</v>
      </c>
      <c r="M4" s="95"/>
      <c r="N4" s="94">
        <f t="shared" ref="N4:T4" si="1">SUM(N5:N488)</f>
        <v>0</v>
      </c>
      <c r="O4" s="94">
        <f t="shared" si="1"/>
        <v>0</v>
      </c>
      <c r="P4" s="94">
        <f t="shared" si="1"/>
        <v>0</v>
      </c>
      <c r="Q4" s="94">
        <f t="shared" si="1"/>
        <v>0</v>
      </c>
      <c r="R4" s="94">
        <f t="shared" si="1"/>
        <v>0</v>
      </c>
      <c r="S4" s="94">
        <f t="shared" si="1"/>
        <v>0</v>
      </c>
      <c r="T4" s="94">
        <f t="shared" si="1"/>
        <v>215000</v>
      </c>
      <c r="U4" s="94">
        <f>SUM(U5:U38)</f>
        <v>0</v>
      </c>
      <c r="V4" s="94">
        <f>SUM(V5:V38)</f>
        <v>0</v>
      </c>
      <c r="W4" s="94">
        <f>SUM(W5:W68)</f>
        <v>0</v>
      </c>
      <c r="X4" s="94">
        <f>SUM(X5:X38)</f>
        <v>0</v>
      </c>
      <c r="Y4" s="94">
        <f>SUM(Y5:Y48)</f>
        <v>215000</v>
      </c>
      <c r="Z4" s="94">
        <f>SUM(Z5:Z488)</f>
        <v>2427838</v>
      </c>
      <c r="AA4" s="94">
        <f>SUM(AA5:AA488)</f>
        <v>20145000</v>
      </c>
      <c r="AB4" s="96"/>
      <c r="AC4" s="94">
        <f>SUM(AC5:AC488)</f>
        <v>17717162</v>
      </c>
      <c r="AD4" s="94">
        <f>SUM(AD5:AD488)</f>
        <v>18740000</v>
      </c>
      <c r="AE4" s="94"/>
      <c r="AF4" s="94" t="s">
        <v>43</v>
      </c>
      <c r="AG4" s="94" t="s">
        <v>29</v>
      </c>
      <c r="AH4" s="94"/>
      <c r="AI4" s="100">
        <f>AD4+Y4</f>
        <v>18955000</v>
      </c>
    </row>
    <row r="5" spans="1:35" x14ac:dyDescent="0.3">
      <c r="A5" s="86">
        <v>1</v>
      </c>
      <c r="B5" s="87">
        <f t="shared" ref="B5:B47" si="2">$I$3</f>
        <v>30</v>
      </c>
      <c r="C5" s="88">
        <v>303</v>
      </c>
      <c r="D5" s="87">
        <v>1</v>
      </c>
      <c r="E5" s="86">
        <v>1</v>
      </c>
      <c r="F5" s="89">
        <v>147000000</v>
      </c>
      <c r="G5" s="89">
        <f t="shared" ref="G5:G47" si="3">(F$5-F$5*7.144/100)*1</f>
        <v>136498320</v>
      </c>
      <c r="H5" s="90">
        <f t="shared" ref="H5:H47" si="4">(IF($F5&lt;=151000000,"460,000",IF($F5&lt;=156000000,"470,000","480,000")))*1</f>
        <v>460000</v>
      </c>
      <c r="I5" s="58">
        <f>H5/$I$3</f>
        <v>15333.333333333334</v>
      </c>
      <c r="J5" s="58">
        <f>I5*B5</f>
        <v>460000</v>
      </c>
      <c r="K5" s="91"/>
      <c r="L5" s="58">
        <f t="shared" ref="L5:L47" si="5">SUM(J5:K5)</f>
        <v>460000</v>
      </c>
      <c r="M5" s="67"/>
      <c r="N5" s="58">
        <v>0</v>
      </c>
      <c r="O5" s="58">
        <f t="shared" ref="O5:O10" si="6">I5*N5</f>
        <v>0</v>
      </c>
      <c r="P5" s="58"/>
      <c r="Q5" s="58">
        <v>0</v>
      </c>
      <c r="R5" s="58"/>
      <c r="S5" s="58"/>
      <c r="T5" s="58">
        <v>5000</v>
      </c>
      <c r="U5" s="58"/>
      <c r="V5" s="58"/>
      <c r="W5" s="58"/>
      <c r="X5" s="58"/>
      <c r="Y5" s="58">
        <f>O5+P5+Q5+T5+U5+V5+X5+W5</f>
        <v>5000</v>
      </c>
      <c r="Z5" s="92">
        <v>0</v>
      </c>
      <c r="AA5" s="97">
        <f t="shared" ref="AA5:AA47" si="7">L5-Y5</f>
        <v>455000</v>
      </c>
      <c r="AB5" s="47"/>
      <c r="AC5" s="58">
        <f>AA5-Z5</f>
        <v>455000</v>
      </c>
      <c r="AD5" s="58">
        <f>AC5</f>
        <v>455000</v>
      </c>
      <c r="AE5" s="58"/>
      <c r="AF5" s="58"/>
      <c r="AG5" s="58"/>
      <c r="AH5" s="58"/>
      <c r="AI5" s="100">
        <f>AI4-AI3</f>
        <v>15000</v>
      </c>
    </row>
    <row r="6" spans="1:35" x14ac:dyDescent="0.3">
      <c r="A6" s="48">
        <v>2</v>
      </c>
      <c r="B6" s="50">
        <f t="shared" si="2"/>
        <v>30</v>
      </c>
      <c r="C6" s="72">
        <v>305</v>
      </c>
      <c r="D6" s="50">
        <v>1</v>
      </c>
      <c r="E6" s="48">
        <v>1</v>
      </c>
      <c r="F6" s="51">
        <v>148000000</v>
      </c>
      <c r="G6" s="51">
        <f t="shared" si="3"/>
        <v>136498320</v>
      </c>
      <c r="H6" s="61">
        <f t="shared" si="4"/>
        <v>460000</v>
      </c>
      <c r="I6" s="46">
        <f t="shared" ref="I6:I16" si="8">H6/$I$3</f>
        <v>15333.333333333334</v>
      </c>
      <c r="J6" s="46">
        <f t="shared" ref="J6:J47" si="9">I6*B6</f>
        <v>460000</v>
      </c>
      <c r="K6" s="70"/>
      <c r="L6" s="46">
        <f t="shared" si="5"/>
        <v>460000</v>
      </c>
      <c r="M6" s="67"/>
      <c r="N6" s="46">
        <v>0</v>
      </c>
      <c r="O6" s="46">
        <f t="shared" si="6"/>
        <v>0</v>
      </c>
      <c r="P6" s="46">
        <v>0</v>
      </c>
      <c r="Q6" s="46">
        <v>0</v>
      </c>
      <c r="R6" s="46">
        <v>0</v>
      </c>
      <c r="S6" s="46">
        <v>0</v>
      </c>
      <c r="T6" s="46">
        <v>5000</v>
      </c>
      <c r="U6" s="46"/>
      <c r="V6" s="46"/>
      <c r="W6" s="46"/>
      <c r="X6" s="46"/>
      <c r="Y6" s="46">
        <f t="shared" ref="Y6:Y47" si="10">O6+P6+Q6+T6+U6+V6+X6+W6</f>
        <v>5000</v>
      </c>
      <c r="Z6" s="45">
        <v>0</v>
      </c>
      <c r="AA6" s="49">
        <f t="shared" si="7"/>
        <v>455000</v>
      </c>
      <c r="AB6" s="47"/>
      <c r="AC6" s="46">
        <f t="shared" ref="AC6:AC47" si="11">AA6-Z6</f>
        <v>455000</v>
      </c>
      <c r="AD6" s="58">
        <f t="shared" ref="AD6:AD47" si="12">AC6</f>
        <v>455000</v>
      </c>
      <c r="AE6" s="46"/>
      <c r="AF6" s="46"/>
      <c r="AG6" s="46"/>
      <c r="AH6" s="46"/>
    </row>
    <row r="7" spans="1:35" x14ac:dyDescent="0.3">
      <c r="A7" s="48">
        <v>3</v>
      </c>
      <c r="B7" s="50">
        <f t="shared" si="2"/>
        <v>30</v>
      </c>
      <c r="C7" s="72">
        <v>307</v>
      </c>
      <c r="D7" s="50">
        <v>1</v>
      </c>
      <c r="E7" s="48">
        <v>1</v>
      </c>
      <c r="F7" s="51">
        <v>148000000</v>
      </c>
      <c r="G7" s="51">
        <f t="shared" si="3"/>
        <v>136498320</v>
      </c>
      <c r="H7" s="61">
        <f t="shared" si="4"/>
        <v>460000</v>
      </c>
      <c r="I7" s="46">
        <f t="shared" si="8"/>
        <v>15333.333333333334</v>
      </c>
      <c r="J7" s="46">
        <f>I7*B7</f>
        <v>460000</v>
      </c>
      <c r="K7" s="70"/>
      <c r="L7" s="46">
        <f t="shared" si="5"/>
        <v>460000</v>
      </c>
      <c r="M7" s="67"/>
      <c r="N7" s="46">
        <v>0</v>
      </c>
      <c r="O7" s="46">
        <f t="shared" si="6"/>
        <v>0</v>
      </c>
      <c r="P7" s="46">
        <v>0</v>
      </c>
      <c r="Q7" s="46">
        <v>0</v>
      </c>
      <c r="R7" s="46">
        <v>0</v>
      </c>
      <c r="S7" s="46">
        <v>0</v>
      </c>
      <c r="T7" s="46">
        <v>5000</v>
      </c>
      <c r="U7" s="46"/>
      <c r="V7" s="46"/>
      <c r="W7" s="46"/>
      <c r="X7" s="46"/>
      <c r="Y7" s="46">
        <f t="shared" si="10"/>
        <v>5000</v>
      </c>
      <c r="Z7" s="45">
        <v>0</v>
      </c>
      <c r="AA7" s="49">
        <f t="shared" si="7"/>
        <v>455000</v>
      </c>
      <c r="AB7" s="47"/>
      <c r="AC7" s="46">
        <f t="shared" si="11"/>
        <v>455000</v>
      </c>
      <c r="AD7" s="58">
        <f t="shared" si="12"/>
        <v>455000</v>
      </c>
      <c r="AE7" s="46"/>
      <c r="AF7" s="46"/>
      <c r="AG7" s="46"/>
      <c r="AH7" s="46"/>
    </row>
    <row r="8" spans="1:35" x14ac:dyDescent="0.3">
      <c r="A8" s="48">
        <v>4</v>
      </c>
      <c r="B8" s="50">
        <f t="shared" si="2"/>
        <v>30</v>
      </c>
      <c r="C8" s="72">
        <v>308</v>
      </c>
      <c r="D8" s="50">
        <v>1</v>
      </c>
      <c r="E8" s="48">
        <v>1</v>
      </c>
      <c r="F8" s="51">
        <v>148000000</v>
      </c>
      <c r="G8" s="51">
        <f t="shared" si="3"/>
        <v>136498320</v>
      </c>
      <c r="H8" s="61">
        <f t="shared" si="4"/>
        <v>460000</v>
      </c>
      <c r="I8" s="46">
        <f t="shared" si="8"/>
        <v>15333.333333333334</v>
      </c>
      <c r="J8" s="46">
        <f t="shared" si="9"/>
        <v>460000</v>
      </c>
      <c r="K8" s="70"/>
      <c r="L8" s="46">
        <f t="shared" si="5"/>
        <v>460000</v>
      </c>
      <c r="M8" s="67"/>
      <c r="N8" s="46">
        <v>0</v>
      </c>
      <c r="O8" s="46">
        <f t="shared" si="6"/>
        <v>0</v>
      </c>
      <c r="P8" s="46"/>
      <c r="Q8" s="46">
        <v>0</v>
      </c>
      <c r="R8" s="46"/>
      <c r="S8" s="46">
        <v>0</v>
      </c>
      <c r="T8" s="46">
        <v>5000</v>
      </c>
      <c r="U8" s="46"/>
      <c r="V8" s="46"/>
      <c r="W8" s="46"/>
      <c r="X8" s="46"/>
      <c r="Y8" s="46">
        <f t="shared" si="10"/>
        <v>5000</v>
      </c>
      <c r="Z8" s="45">
        <v>0</v>
      </c>
      <c r="AA8" s="49">
        <f t="shared" si="7"/>
        <v>455000</v>
      </c>
      <c r="AB8" s="47"/>
      <c r="AC8" s="46">
        <f t="shared" si="11"/>
        <v>455000</v>
      </c>
      <c r="AD8" s="58">
        <f t="shared" si="12"/>
        <v>455000</v>
      </c>
      <c r="AE8" s="46"/>
      <c r="AF8" s="46"/>
      <c r="AG8" s="46"/>
      <c r="AH8" s="46"/>
    </row>
    <row r="9" spans="1:35" x14ac:dyDescent="0.3">
      <c r="A9" s="48">
        <v>5</v>
      </c>
      <c r="B9" s="50">
        <f t="shared" si="2"/>
        <v>30</v>
      </c>
      <c r="C9" s="72">
        <v>309</v>
      </c>
      <c r="D9" s="50">
        <v>1</v>
      </c>
      <c r="E9" s="48">
        <v>1</v>
      </c>
      <c r="F9" s="51">
        <v>148000000</v>
      </c>
      <c r="G9" s="51">
        <f t="shared" si="3"/>
        <v>136498320</v>
      </c>
      <c r="H9" s="61">
        <f t="shared" si="4"/>
        <v>460000</v>
      </c>
      <c r="I9" s="46">
        <f t="shared" si="8"/>
        <v>15333.333333333334</v>
      </c>
      <c r="J9" s="46">
        <f>I9*B9</f>
        <v>460000</v>
      </c>
      <c r="K9" s="70"/>
      <c r="L9" s="46">
        <f t="shared" si="5"/>
        <v>460000</v>
      </c>
      <c r="M9" s="67"/>
      <c r="N9" s="46">
        <v>0</v>
      </c>
      <c r="O9" s="46">
        <f t="shared" si="6"/>
        <v>0</v>
      </c>
      <c r="P9" s="46"/>
      <c r="Q9" s="46">
        <v>0</v>
      </c>
      <c r="R9" s="46">
        <v>0</v>
      </c>
      <c r="S9" s="46">
        <v>0</v>
      </c>
      <c r="T9" s="46">
        <v>5000</v>
      </c>
      <c r="U9" s="46"/>
      <c r="V9" s="46"/>
      <c r="W9" s="46"/>
      <c r="X9" s="46"/>
      <c r="Y9" s="46">
        <f t="shared" si="10"/>
        <v>5000</v>
      </c>
      <c r="Z9" s="45">
        <v>0</v>
      </c>
      <c r="AA9" s="49">
        <f t="shared" si="7"/>
        <v>455000</v>
      </c>
      <c r="AB9" s="47"/>
      <c r="AC9" s="46">
        <f t="shared" si="11"/>
        <v>455000</v>
      </c>
      <c r="AD9" s="58">
        <f t="shared" si="12"/>
        <v>455000</v>
      </c>
      <c r="AE9" s="46"/>
      <c r="AF9" s="46"/>
      <c r="AG9" s="46"/>
      <c r="AH9" s="46"/>
    </row>
    <row r="10" spans="1:35" x14ac:dyDescent="0.3">
      <c r="A10" s="48">
        <v>6</v>
      </c>
      <c r="B10" s="50">
        <f t="shared" si="2"/>
        <v>30</v>
      </c>
      <c r="C10" s="76">
        <v>401</v>
      </c>
      <c r="D10" s="50">
        <v>1</v>
      </c>
      <c r="E10" s="48">
        <v>1</v>
      </c>
      <c r="F10" s="51">
        <v>152000000</v>
      </c>
      <c r="G10" s="51">
        <f t="shared" si="3"/>
        <v>136498320</v>
      </c>
      <c r="H10" s="73">
        <f t="shared" si="4"/>
        <v>470000</v>
      </c>
      <c r="I10" s="46">
        <f t="shared" si="8"/>
        <v>15666.666666666666</v>
      </c>
      <c r="J10" s="46">
        <f t="shared" si="9"/>
        <v>470000</v>
      </c>
      <c r="K10" s="70"/>
      <c r="L10" s="46">
        <f>SUM(J10:K10)</f>
        <v>470000</v>
      </c>
      <c r="M10" s="67"/>
      <c r="N10" s="46">
        <v>0</v>
      </c>
      <c r="O10" s="46">
        <f t="shared" si="6"/>
        <v>0</v>
      </c>
      <c r="P10" s="46"/>
      <c r="Q10" s="46">
        <v>0</v>
      </c>
      <c r="R10" s="46"/>
      <c r="S10" s="46">
        <v>0</v>
      </c>
      <c r="T10" s="46">
        <v>5000</v>
      </c>
      <c r="U10" s="46"/>
      <c r="V10" s="46"/>
      <c r="W10" s="46"/>
      <c r="X10" s="46"/>
      <c r="Y10" s="46">
        <f t="shared" si="10"/>
        <v>5000</v>
      </c>
      <c r="Z10" s="45">
        <v>0</v>
      </c>
      <c r="AA10" s="49">
        <f t="shared" si="7"/>
        <v>465000</v>
      </c>
      <c r="AB10" s="47"/>
      <c r="AC10" s="46">
        <f t="shared" si="11"/>
        <v>465000</v>
      </c>
      <c r="AD10" s="58">
        <f t="shared" si="12"/>
        <v>465000</v>
      </c>
      <c r="AE10" s="46"/>
      <c r="AF10" s="46"/>
      <c r="AG10" s="46"/>
      <c r="AH10" s="46"/>
    </row>
    <row r="11" spans="1:35" x14ac:dyDescent="0.3">
      <c r="A11" s="59">
        <v>41</v>
      </c>
      <c r="B11" s="60">
        <f t="shared" si="2"/>
        <v>30</v>
      </c>
      <c r="C11" s="72">
        <v>404</v>
      </c>
      <c r="D11" s="60">
        <v>24</v>
      </c>
      <c r="E11" s="59">
        <v>13</v>
      </c>
      <c r="F11" s="61">
        <v>151000000</v>
      </c>
      <c r="G11" s="61">
        <f t="shared" si="3"/>
        <v>136498320</v>
      </c>
      <c r="H11" s="61">
        <f t="shared" si="4"/>
        <v>460000</v>
      </c>
      <c r="I11" s="61">
        <f>H11/$I$3</f>
        <v>15333.333333333334</v>
      </c>
      <c r="J11" s="61">
        <f>I11*B11</f>
        <v>460000</v>
      </c>
      <c r="K11" s="61"/>
      <c r="L11" s="61">
        <f>SUM(J11:K11)</f>
        <v>460000</v>
      </c>
      <c r="M11" s="69"/>
      <c r="N11" s="61">
        <v>0</v>
      </c>
      <c r="O11" s="61"/>
      <c r="P11" s="61">
        <v>0</v>
      </c>
      <c r="Q11" s="61"/>
      <c r="R11" s="61">
        <v>0</v>
      </c>
      <c r="S11" s="61">
        <v>0</v>
      </c>
      <c r="T11" s="46">
        <v>5000</v>
      </c>
      <c r="U11" s="61"/>
      <c r="V11" s="61"/>
      <c r="W11" s="61"/>
      <c r="X11" s="61"/>
      <c r="Y11" s="61">
        <f>O11+P11+Q11+T11+U11+V11+X11+W11</f>
        <v>5000</v>
      </c>
      <c r="Z11" s="63">
        <v>589806</v>
      </c>
      <c r="AA11" s="62">
        <f t="shared" si="7"/>
        <v>455000</v>
      </c>
      <c r="AB11" s="47"/>
      <c r="AC11" s="61">
        <f>AA11-Z11</f>
        <v>-134806</v>
      </c>
      <c r="AD11" s="58"/>
      <c r="AE11" s="51"/>
      <c r="AF11" s="66">
        <f>AC11-AE11</f>
        <v>-134806</v>
      </c>
      <c r="AG11" s="51"/>
      <c r="AH11" s="57"/>
    </row>
    <row r="12" spans="1:35" x14ac:dyDescent="0.3">
      <c r="A12" s="48">
        <v>7</v>
      </c>
      <c r="B12" s="50">
        <f t="shared" si="2"/>
        <v>30</v>
      </c>
      <c r="C12" s="72">
        <v>406</v>
      </c>
      <c r="D12" s="50">
        <v>1</v>
      </c>
      <c r="E12" s="48">
        <v>1</v>
      </c>
      <c r="F12" s="51">
        <v>151000000</v>
      </c>
      <c r="G12" s="51">
        <f t="shared" si="3"/>
        <v>136498320</v>
      </c>
      <c r="H12" s="61">
        <f t="shared" si="4"/>
        <v>460000</v>
      </c>
      <c r="I12" s="46">
        <f t="shared" ref="I12" si="13">H12/$I$3</f>
        <v>15333.333333333334</v>
      </c>
      <c r="J12" s="46">
        <f t="shared" ref="J12" si="14">I12*B12</f>
        <v>460000</v>
      </c>
      <c r="K12" s="70"/>
      <c r="L12" s="46">
        <f>SUM(J12:K12)</f>
        <v>460000</v>
      </c>
      <c r="M12" s="67"/>
      <c r="N12" s="46">
        <v>0</v>
      </c>
      <c r="O12" s="46">
        <f t="shared" ref="O12:O31" si="15">I12*N12</f>
        <v>0</v>
      </c>
      <c r="P12" s="46">
        <v>0</v>
      </c>
      <c r="Q12" s="46">
        <v>0</v>
      </c>
      <c r="R12" s="46">
        <v>0</v>
      </c>
      <c r="S12" s="46">
        <v>0</v>
      </c>
      <c r="T12" s="46">
        <v>5000</v>
      </c>
      <c r="U12" s="46"/>
      <c r="V12" s="46"/>
      <c r="W12" s="46"/>
      <c r="X12" s="46"/>
      <c r="Y12" s="46">
        <f t="shared" ref="Y12" si="16">O12+P12+Q12+T12+U12+V12+X12+W12</f>
        <v>5000</v>
      </c>
      <c r="Z12" s="45">
        <v>0</v>
      </c>
      <c r="AA12" s="49">
        <f t="shared" si="7"/>
        <v>455000</v>
      </c>
      <c r="AB12" s="47"/>
      <c r="AC12" s="46">
        <f t="shared" si="11"/>
        <v>455000</v>
      </c>
      <c r="AD12" s="58">
        <f t="shared" si="12"/>
        <v>455000</v>
      </c>
      <c r="AE12" s="46"/>
      <c r="AF12" s="48"/>
      <c r="AG12" s="46"/>
      <c r="AH12" s="46"/>
    </row>
    <row r="13" spans="1:35" x14ac:dyDescent="0.3">
      <c r="A13" s="48">
        <v>8</v>
      </c>
      <c r="B13" s="50">
        <f t="shared" si="2"/>
        <v>30</v>
      </c>
      <c r="C13" s="72">
        <v>409</v>
      </c>
      <c r="D13" s="50">
        <v>1</v>
      </c>
      <c r="E13" s="48">
        <v>1</v>
      </c>
      <c r="F13" s="51">
        <v>151000000</v>
      </c>
      <c r="G13" s="51">
        <f t="shared" si="3"/>
        <v>136498320</v>
      </c>
      <c r="H13" s="61">
        <f t="shared" si="4"/>
        <v>460000</v>
      </c>
      <c r="I13" s="46">
        <f>H13/$I$3</f>
        <v>15333.333333333334</v>
      </c>
      <c r="J13" s="46">
        <f>I13*B13</f>
        <v>460000</v>
      </c>
      <c r="K13" s="70"/>
      <c r="L13" s="46">
        <f>SUM(J13:K13)</f>
        <v>460000</v>
      </c>
      <c r="M13" s="67"/>
      <c r="N13" s="46">
        <v>0</v>
      </c>
      <c r="O13" s="46">
        <f t="shared" si="15"/>
        <v>0</v>
      </c>
      <c r="P13" s="46">
        <v>0</v>
      </c>
      <c r="Q13" s="46">
        <v>0</v>
      </c>
      <c r="R13" s="46"/>
      <c r="S13" s="46">
        <v>0</v>
      </c>
      <c r="T13" s="46">
        <v>5000</v>
      </c>
      <c r="U13" s="46"/>
      <c r="V13" s="46"/>
      <c r="W13" s="46"/>
      <c r="X13" s="46"/>
      <c r="Y13" s="46">
        <f>O13+P13+Q13+T13+U13+V13+X13+W13</f>
        <v>5000</v>
      </c>
      <c r="Z13" s="45">
        <v>0</v>
      </c>
      <c r="AA13" s="49">
        <f t="shared" si="7"/>
        <v>455000</v>
      </c>
      <c r="AB13" s="47"/>
      <c r="AC13" s="46">
        <f t="shared" si="11"/>
        <v>455000</v>
      </c>
      <c r="AD13" s="58">
        <f t="shared" si="12"/>
        <v>455000</v>
      </c>
      <c r="AE13" s="46"/>
      <c r="AF13" s="46"/>
      <c r="AG13" s="46"/>
      <c r="AH13" s="46"/>
    </row>
    <row r="14" spans="1:35" x14ac:dyDescent="0.3">
      <c r="A14" s="48">
        <v>9</v>
      </c>
      <c r="B14" s="50">
        <f t="shared" si="2"/>
        <v>30</v>
      </c>
      <c r="C14" s="76">
        <v>501</v>
      </c>
      <c r="D14" s="50">
        <v>1</v>
      </c>
      <c r="E14" s="48">
        <v>1</v>
      </c>
      <c r="F14" s="51">
        <v>155000000</v>
      </c>
      <c r="G14" s="51">
        <f t="shared" si="3"/>
        <v>136498320</v>
      </c>
      <c r="H14" s="73">
        <f t="shared" si="4"/>
        <v>470000</v>
      </c>
      <c r="I14" s="46">
        <f t="shared" si="8"/>
        <v>15666.666666666666</v>
      </c>
      <c r="J14" s="46">
        <f t="shared" si="9"/>
        <v>470000</v>
      </c>
      <c r="K14" s="70"/>
      <c r="L14" s="46">
        <f t="shared" si="5"/>
        <v>470000</v>
      </c>
      <c r="M14" s="67"/>
      <c r="N14" s="46">
        <v>0</v>
      </c>
      <c r="O14" s="46">
        <f t="shared" si="15"/>
        <v>0</v>
      </c>
      <c r="P14" s="46">
        <v>0</v>
      </c>
      <c r="Q14" s="46">
        <v>0</v>
      </c>
      <c r="R14" s="46"/>
      <c r="S14" s="46"/>
      <c r="T14" s="46">
        <v>5000</v>
      </c>
      <c r="U14" s="46"/>
      <c r="V14" s="46"/>
      <c r="W14" s="46"/>
      <c r="X14" s="46"/>
      <c r="Y14" s="46">
        <f t="shared" si="10"/>
        <v>5000</v>
      </c>
      <c r="Z14" s="45">
        <v>0</v>
      </c>
      <c r="AA14" s="49">
        <f t="shared" si="7"/>
        <v>465000</v>
      </c>
      <c r="AB14" s="47"/>
      <c r="AC14" s="46">
        <f t="shared" si="11"/>
        <v>465000</v>
      </c>
      <c r="AD14" s="58">
        <f t="shared" si="12"/>
        <v>465000</v>
      </c>
      <c r="AE14" s="46"/>
      <c r="AF14" s="66"/>
      <c r="AG14" s="46"/>
      <c r="AH14" s="46"/>
    </row>
    <row r="15" spans="1:35" x14ac:dyDescent="0.3">
      <c r="A15" s="48">
        <v>10</v>
      </c>
      <c r="B15" s="50">
        <f t="shared" si="2"/>
        <v>30</v>
      </c>
      <c r="C15" s="76">
        <v>506</v>
      </c>
      <c r="D15" s="50">
        <v>1</v>
      </c>
      <c r="E15" s="48">
        <v>1</v>
      </c>
      <c r="F15" s="51">
        <v>154000000</v>
      </c>
      <c r="G15" s="51">
        <f>(F$5-F$5*7.144/100)*1</f>
        <v>136498320</v>
      </c>
      <c r="H15" s="73">
        <f t="shared" si="4"/>
        <v>470000</v>
      </c>
      <c r="I15" s="46">
        <f t="shared" si="8"/>
        <v>15666.666666666666</v>
      </c>
      <c r="J15" s="46">
        <f t="shared" si="9"/>
        <v>470000</v>
      </c>
      <c r="K15" s="70"/>
      <c r="L15" s="46">
        <f t="shared" si="5"/>
        <v>470000</v>
      </c>
      <c r="M15" s="67"/>
      <c r="N15" s="46">
        <v>0</v>
      </c>
      <c r="O15" s="46">
        <f t="shared" si="15"/>
        <v>0</v>
      </c>
      <c r="P15" s="46">
        <v>0</v>
      </c>
      <c r="Q15" s="46">
        <v>0</v>
      </c>
      <c r="R15" s="46"/>
      <c r="S15" s="46"/>
      <c r="T15" s="46">
        <v>5000</v>
      </c>
      <c r="U15" s="46"/>
      <c r="V15" s="46"/>
      <c r="W15" s="46"/>
      <c r="X15" s="46"/>
      <c r="Y15" s="46">
        <f t="shared" si="10"/>
        <v>5000</v>
      </c>
      <c r="Z15" s="45">
        <v>0</v>
      </c>
      <c r="AA15" s="49">
        <f t="shared" si="7"/>
        <v>465000</v>
      </c>
      <c r="AB15" s="47"/>
      <c r="AC15" s="46">
        <f t="shared" si="11"/>
        <v>465000</v>
      </c>
      <c r="AD15" s="58">
        <f t="shared" si="12"/>
        <v>465000</v>
      </c>
      <c r="AE15" s="46"/>
      <c r="AF15" s="66"/>
      <c r="AG15" s="46"/>
      <c r="AH15" s="46"/>
    </row>
    <row r="16" spans="1:35" x14ac:dyDescent="0.3">
      <c r="A16" s="48">
        <v>11</v>
      </c>
      <c r="B16" s="50">
        <f t="shared" si="2"/>
        <v>30</v>
      </c>
      <c r="C16" s="76">
        <v>609</v>
      </c>
      <c r="D16" s="50">
        <v>1</v>
      </c>
      <c r="E16" s="48">
        <v>1</v>
      </c>
      <c r="F16" s="51">
        <v>155000000</v>
      </c>
      <c r="G16" s="51">
        <f t="shared" si="3"/>
        <v>136498320</v>
      </c>
      <c r="H16" s="73">
        <f t="shared" si="4"/>
        <v>470000</v>
      </c>
      <c r="I16" s="46">
        <f t="shared" si="8"/>
        <v>15666.666666666666</v>
      </c>
      <c r="J16" s="46">
        <f t="shared" si="9"/>
        <v>470000</v>
      </c>
      <c r="K16" s="70"/>
      <c r="L16" s="46">
        <f t="shared" si="5"/>
        <v>470000</v>
      </c>
      <c r="M16" s="67"/>
      <c r="N16" s="46">
        <v>0</v>
      </c>
      <c r="O16" s="46">
        <f t="shared" si="15"/>
        <v>0</v>
      </c>
      <c r="P16" s="46">
        <v>0</v>
      </c>
      <c r="Q16" s="46">
        <v>0</v>
      </c>
      <c r="R16" s="46"/>
      <c r="S16" s="46"/>
      <c r="T16" s="46">
        <v>5000</v>
      </c>
      <c r="U16" s="46"/>
      <c r="V16" s="46"/>
      <c r="W16" s="46"/>
      <c r="X16" s="46"/>
      <c r="Y16" s="46">
        <f t="shared" si="10"/>
        <v>5000</v>
      </c>
      <c r="Z16" s="45">
        <v>0</v>
      </c>
      <c r="AA16" s="49">
        <f t="shared" si="7"/>
        <v>465000</v>
      </c>
      <c r="AB16" s="47"/>
      <c r="AC16" s="46">
        <f t="shared" si="11"/>
        <v>465000</v>
      </c>
      <c r="AD16" s="58">
        <f t="shared" si="12"/>
        <v>465000</v>
      </c>
      <c r="AE16" s="46"/>
      <c r="AF16" s="66"/>
      <c r="AG16" s="46"/>
      <c r="AH16" s="46"/>
    </row>
    <row r="17" spans="1:34" x14ac:dyDescent="0.3">
      <c r="A17" s="48">
        <v>12</v>
      </c>
      <c r="B17" s="50">
        <f t="shared" si="2"/>
        <v>30</v>
      </c>
      <c r="C17" s="76">
        <v>615</v>
      </c>
      <c r="D17" s="50">
        <v>1</v>
      </c>
      <c r="E17" s="48">
        <v>1</v>
      </c>
      <c r="F17" s="51">
        <v>154000000</v>
      </c>
      <c r="G17" s="51">
        <f t="shared" si="3"/>
        <v>136498320</v>
      </c>
      <c r="H17" s="73">
        <f t="shared" si="4"/>
        <v>470000</v>
      </c>
      <c r="I17" s="46">
        <f>H17/$I$3</f>
        <v>15666.666666666666</v>
      </c>
      <c r="J17" s="46">
        <f>I17*B17</f>
        <v>470000</v>
      </c>
      <c r="K17" s="70"/>
      <c r="L17" s="46">
        <f>SUM(J17:K17)</f>
        <v>470000</v>
      </c>
      <c r="M17" s="67"/>
      <c r="N17" s="46">
        <v>0</v>
      </c>
      <c r="O17" s="46">
        <f t="shared" si="15"/>
        <v>0</v>
      </c>
      <c r="P17" s="46">
        <v>0</v>
      </c>
      <c r="Q17" s="46">
        <v>0</v>
      </c>
      <c r="R17" s="46"/>
      <c r="S17" s="46"/>
      <c r="T17" s="46">
        <v>5000</v>
      </c>
      <c r="U17" s="46"/>
      <c r="V17" s="46"/>
      <c r="W17" s="46"/>
      <c r="X17" s="46"/>
      <c r="Y17" s="46">
        <f t="shared" si="10"/>
        <v>5000</v>
      </c>
      <c r="Z17" s="45">
        <v>0</v>
      </c>
      <c r="AA17" s="49">
        <f t="shared" si="7"/>
        <v>465000</v>
      </c>
      <c r="AB17" s="47"/>
      <c r="AC17" s="46">
        <f t="shared" si="11"/>
        <v>465000</v>
      </c>
      <c r="AD17" s="58">
        <f t="shared" si="12"/>
        <v>465000</v>
      </c>
      <c r="AE17" s="46"/>
      <c r="AF17" s="66"/>
      <c r="AG17" s="46"/>
      <c r="AH17" s="46"/>
    </row>
    <row r="18" spans="1:34" x14ac:dyDescent="0.3">
      <c r="A18" s="48">
        <v>13</v>
      </c>
      <c r="B18" s="50">
        <f t="shared" si="2"/>
        <v>30</v>
      </c>
      <c r="C18" s="77">
        <v>701</v>
      </c>
      <c r="D18" s="50">
        <v>1</v>
      </c>
      <c r="E18" s="48">
        <v>1</v>
      </c>
      <c r="F18" s="51">
        <v>157000000</v>
      </c>
      <c r="G18" s="51">
        <f t="shared" si="3"/>
        <v>136498320</v>
      </c>
      <c r="H18" s="74">
        <f t="shared" si="4"/>
        <v>480000</v>
      </c>
      <c r="I18" s="46">
        <f>H18/$I$3</f>
        <v>16000</v>
      </c>
      <c r="J18" s="46">
        <f t="shared" si="9"/>
        <v>480000</v>
      </c>
      <c r="K18" s="70"/>
      <c r="L18" s="46">
        <f t="shared" si="5"/>
        <v>480000</v>
      </c>
      <c r="M18" s="67"/>
      <c r="N18" s="46">
        <v>0</v>
      </c>
      <c r="O18" s="46">
        <f t="shared" si="15"/>
        <v>0</v>
      </c>
      <c r="P18" s="46">
        <v>0</v>
      </c>
      <c r="Q18" s="46">
        <v>0</v>
      </c>
      <c r="R18" s="46"/>
      <c r="S18" s="46"/>
      <c r="T18" s="46">
        <v>5000</v>
      </c>
      <c r="U18" s="46"/>
      <c r="V18" s="46"/>
      <c r="W18" s="46"/>
      <c r="X18" s="46"/>
      <c r="Y18" s="46">
        <f t="shared" si="10"/>
        <v>5000</v>
      </c>
      <c r="Z18" s="45">
        <v>0</v>
      </c>
      <c r="AA18" s="49">
        <f t="shared" si="7"/>
        <v>475000</v>
      </c>
      <c r="AB18" s="47"/>
      <c r="AC18" s="46">
        <f t="shared" si="11"/>
        <v>475000</v>
      </c>
      <c r="AD18" s="58">
        <f t="shared" si="12"/>
        <v>475000</v>
      </c>
      <c r="AE18" s="46"/>
      <c r="AF18" s="66"/>
      <c r="AG18" s="46"/>
      <c r="AH18" s="46"/>
    </row>
    <row r="19" spans="1:34" x14ac:dyDescent="0.3">
      <c r="A19" s="48">
        <v>14</v>
      </c>
      <c r="B19" s="50">
        <f t="shared" si="2"/>
        <v>30</v>
      </c>
      <c r="C19" s="76">
        <v>702</v>
      </c>
      <c r="D19" s="50">
        <v>1</v>
      </c>
      <c r="E19" s="48">
        <v>1</v>
      </c>
      <c r="F19" s="51">
        <v>156000000</v>
      </c>
      <c r="G19" s="51">
        <f t="shared" si="3"/>
        <v>136498320</v>
      </c>
      <c r="H19" s="73">
        <f t="shared" si="4"/>
        <v>470000</v>
      </c>
      <c r="I19" s="46">
        <f t="shared" ref="I19:I47" si="17">H19/$I$3</f>
        <v>15666.666666666666</v>
      </c>
      <c r="J19" s="46">
        <f t="shared" si="9"/>
        <v>470000</v>
      </c>
      <c r="K19" s="70"/>
      <c r="L19" s="52">
        <f t="shared" si="5"/>
        <v>470000</v>
      </c>
      <c r="M19" s="67"/>
      <c r="N19" s="46">
        <v>0</v>
      </c>
      <c r="O19" s="46">
        <f t="shared" si="15"/>
        <v>0</v>
      </c>
      <c r="P19" s="46">
        <v>0</v>
      </c>
      <c r="Q19" s="46">
        <v>0</v>
      </c>
      <c r="R19" s="46"/>
      <c r="S19" s="46"/>
      <c r="T19" s="46">
        <v>5000</v>
      </c>
      <c r="U19" s="46"/>
      <c r="V19" s="46"/>
      <c r="W19" s="46"/>
      <c r="X19" s="46"/>
      <c r="Y19" s="46">
        <f t="shared" si="10"/>
        <v>5000</v>
      </c>
      <c r="Z19" s="45">
        <v>0</v>
      </c>
      <c r="AA19" s="49">
        <f t="shared" si="7"/>
        <v>465000</v>
      </c>
      <c r="AB19" s="47"/>
      <c r="AC19" s="46">
        <f t="shared" si="11"/>
        <v>465000</v>
      </c>
      <c r="AD19" s="58">
        <f t="shared" si="12"/>
        <v>465000</v>
      </c>
      <c r="AE19" s="46"/>
      <c r="AF19" s="66"/>
      <c r="AG19" s="46"/>
      <c r="AH19" s="53"/>
    </row>
    <row r="20" spans="1:34" x14ac:dyDescent="0.3">
      <c r="A20" s="48">
        <v>38</v>
      </c>
      <c r="B20" s="50">
        <f t="shared" si="2"/>
        <v>30</v>
      </c>
      <c r="C20" s="78">
        <v>705</v>
      </c>
      <c r="D20" s="50">
        <v>1</v>
      </c>
      <c r="E20" s="48">
        <v>1</v>
      </c>
      <c r="F20" s="51">
        <v>157000000</v>
      </c>
      <c r="G20" s="51">
        <f t="shared" si="3"/>
        <v>136498320</v>
      </c>
      <c r="H20" s="74">
        <f t="shared" si="4"/>
        <v>480000</v>
      </c>
      <c r="I20" s="46">
        <f>H20/$I$3</f>
        <v>16000</v>
      </c>
      <c r="J20" s="46">
        <f>I20*B20</f>
        <v>480000</v>
      </c>
      <c r="K20" s="46"/>
      <c r="L20" s="52">
        <f>SUM(J20:K20)</f>
        <v>480000</v>
      </c>
      <c r="M20" s="67"/>
      <c r="N20" s="46">
        <v>0</v>
      </c>
      <c r="O20" s="46">
        <f t="shared" si="15"/>
        <v>0</v>
      </c>
      <c r="P20" s="46">
        <v>0</v>
      </c>
      <c r="Q20" s="46">
        <v>0</v>
      </c>
      <c r="R20" s="46"/>
      <c r="S20" s="46"/>
      <c r="T20" s="46">
        <v>5000</v>
      </c>
      <c r="U20" s="46"/>
      <c r="V20" s="46"/>
      <c r="W20" s="46"/>
      <c r="X20" s="46"/>
      <c r="Y20" s="46">
        <f>O20+P20+Q20+T20+U20+V20+X20+W20</f>
        <v>5000</v>
      </c>
      <c r="Z20" s="45">
        <v>0</v>
      </c>
      <c r="AA20" s="49">
        <f t="shared" si="7"/>
        <v>475000</v>
      </c>
      <c r="AB20" s="47"/>
      <c r="AC20" s="46">
        <f>AA20-Z20</f>
        <v>475000</v>
      </c>
      <c r="AD20" s="58">
        <f t="shared" si="12"/>
        <v>475000</v>
      </c>
      <c r="AE20" s="46"/>
      <c r="AF20" s="66"/>
      <c r="AG20" s="46"/>
      <c r="AH20" s="53"/>
    </row>
    <row r="21" spans="1:34" x14ac:dyDescent="0.3">
      <c r="A21" s="48">
        <v>15</v>
      </c>
      <c r="B21" s="50">
        <f t="shared" si="2"/>
        <v>30</v>
      </c>
      <c r="C21" s="77">
        <v>709</v>
      </c>
      <c r="D21" s="50">
        <v>1</v>
      </c>
      <c r="E21" s="48">
        <v>1</v>
      </c>
      <c r="F21" s="51">
        <v>157000000</v>
      </c>
      <c r="G21" s="51">
        <f t="shared" si="3"/>
        <v>136498320</v>
      </c>
      <c r="H21" s="74">
        <f t="shared" si="4"/>
        <v>480000</v>
      </c>
      <c r="I21" s="46">
        <f t="shared" si="17"/>
        <v>16000</v>
      </c>
      <c r="J21" s="46">
        <f t="shared" si="9"/>
        <v>480000</v>
      </c>
      <c r="K21" s="70"/>
      <c r="L21" s="52">
        <f t="shared" si="5"/>
        <v>480000</v>
      </c>
      <c r="M21" s="67"/>
      <c r="N21" s="46">
        <v>0</v>
      </c>
      <c r="O21" s="46">
        <f t="shared" si="15"/>
        <v>0</v>
      </c>
      <c r="P21" s="46">
        <v>0</v>
      </c>
      <c r="Q21" s="46">
        <v>0</v>
      </c>
      <c r="R21" s="46"/>
      <c r="S21" s="46"/>
      <c r="T21" s="46">
        <v>5000</v>
      </c>
      <c r="U21" s="46"/>
      <c r="V21" s="46"/>
      <c r="W21" s="46"/>
      <c r="X21" s="46"/>
      <c r="Y21" s="46">
        <f t="shared" si="10"/>
        <v>5000</v>
      </c>
      <c r="Z21" s="45">
        <v>0</v>
      </c>
      <c r="AA21" s="49">
        <f t="shared" si="7"/>
        <v>475000</v>
      </c>
      <c r="AB21" s="47"/>
      <c r="AC21" s="46">
        <f t="shared" si="11"/>
        <v>475000</v>
      </c>
      <c r="AD21" s="58">
        <f t="shared" si="12"/>
        <v>475000</v>
      </c>
      <c r="AE21" s="46"/>
      <c r="AF21" s="66"/>
      <c r="AG21" s="46"/>
      <c r="AH21" s="53"/>
    </row>
    <row r="22" spans="1:34" x14ac:dyDescent="0.3">
      <c r="A22" s="48">
        <v>16</v>
      </c>
      <c r="B22" s="54">
        <f t="shared" si="2"/>
        <v>30</v>
      </c>
      <c r="C22" s="76">
        <v>713</v>
      </c>
      <c r="D22" s="50">
        <v>1</v>
      </c>
      <c r="E22" s="48">
        <v>1</v>
      </c>
      <c r="F22" s="51">
        <v>155000000</v>
      </c>
      <c r="G22" s="51">
        <f>(F$5-F$5*7.144/100)*1</f>
        <v>136498320</v>
      </c>
      <c r="H22" s="73">
        <f t="shared" si="4"/>
        <v>470000</v>
      </c>
      <c r="I22" s="55">
        <f t="shared" si="17"/>
        <v>15666.666666666666</v>
      </c>
      <c r="J22" s="55">
        <f t="shared" si="9"/>
        <v>470000</v>
      </c>
      <c r="K22" s="70"/>
      <c r="L22" s="56">
        <f t="shared" si="5"/>
        <v>470000</v>
      </c>
      <c r="M22" s="68"/>
      <c r="N22" s="46">
        <v>0</v>
      </c>
      <c r="O22" s="46">
        <f t="shared" si="15"/>
        <v>0</v>
      </c>
      <c r="P22" s="46">
        <v>0</v>
      </c>
      <c r="Q22" s="46">
        <v>0</v>
      </c>
      <c r="R22" s="46"/>
      <c r="S22" s="46"/>
      <c r="T22" s="46">
        <v>5000</v>
      </c>
      <c r="U22" s="46"/>
      <c r="V22" s="46"/>
      <c r="W22" s="46"/>
      <c r="X22" s="46"/>
      <c r="Y22" s="46">
        <f t="shared" si="10"/>
        <v>5000</v>
      </c>
      <c r="Z22" s="45">
        <v>0</v>
      </c>
      <c r="AA22" s="49">
        <f t="shared" si="7"/>
        <v>465000</v>
      </c>
      <c r="AB22" s="47"/>
      <c r="AC22" s="46">
        <f t="shared" si="11"/>
        <v>465000</v>
      </c>
      <c r="AD22" s="58">
        <f t="shared" si="12"/>
        <v>465000</v>
      </c>
      <c r="AE22" s="46"/>
      <c r="AF22" s="66"/>
      <c r="AG22" s="51"/>
      <c r="AH22" s="57"/>
    </row>
    <row r="23" spans="1:34" x14ac:dyDescent="0.3">
      <c r="A23" s="48">
        <v>17</v>
      </c>
      <c r="B23" s="54">
        <f t="shared" si="2"/>
        <v>30</v>
      </c>
      <c r="C23" s="76">
        <v>715</v>
      </c>
      <c r="D23" s="50">
        <v>1</v>
      </c>
      <c r="E23" s="48">
        <v>1</v>
      </c>
      <c r="F23" s="51">
        <v>155000000</v>
      </c>
      <c r="G23" s="51">
        <f t="shared" si="3"/>
        <v>136498320</v>
      </c>
      <c r="H23" s="73">
        <f t="shared" si="4"/>
        <v>470000</v>
      </c>
      <c r="I23" s="55">
        <f t="shared" si="17"/>
        <v>15666.666666666666</v>
      </c>
      <c r="J23" s="55">
        <f t="shared" si="9"/>
        <v>470000</v>
      </c>
      <c r="K23" s="70"/>
      <c r="L23" s="56">
        <f t="shared" si="5"/>
        <v>470000</v>
      </c>
      <c r="M23" s="68"/>
      <c r="N23" s="46">
        <v>0</v>
      </c>
      <c r="O23" s="46">
        <f t="shared" si="15"/>
        <v>0</v>
      </c>
      <c r="P23" s="46">
        <v>0</v>
      </c>
      <c r="Q23" s="46">
        <v>0</v>
      </c>
      <c r="R23" s="46"/>
      <c r="S23" s="46"/>
      <c r="T23" s="46">
        <v>5000</v>
      </c>
      <c r="U23" s="46"/>
      <c r="V23" s="46"/>
      <c r="W23" s="46"/>
      <c r="X23" s="46"/>
      <c r="Y23" s="46">
        <f t="shared" si="10"/>
        <v>5000</v>
      </c>
      <c r="Z23" s="45">
        <v>0</v>
      </c>
      <c r="AA23" s="49">
        <f t="shared" si="7"/>
        <v>465000</v>
      </c>
      <c r="AB23" s="47"/>
      <c r="AC23" s="46">
        <f t="shared" si="11"/>
        <v>465000</v>
      </c>
      <c r="AD23" s="58">
        <f t="shared" si="12"/>
        <v>465000</v>
      </c>
      <c r="AE23" s="46"/>
      <c r="AF23" s="66"/>
      <c r="AG23" s="51"/>
      <c r="AH23" s="57"/>
    </row>
    <row r="24" spans="1:34" x14ac:dyDescent="0.3">
      <c r="A24" s="48">
        <v>18</v>
      </c>
      <c r="B24" s="54">
        <f t="shared" si="2"/>
        <v>30</v>
      </c>
      <c r="C24" s="77">
        <v>805</v>
      </c>
      <c r="D24" s="50">
        <v>1</v>
      </c>
      <c r="E24" s="48">
        <v>1</v>
      </c>
      <c r="F24" s="51">
        <v>157000000</v>
      </c>
      <c r="G24" s="51">
        <f t="shared" si="3"/>
        <v>136498320</v>
      </c>
      <c r="H24" s="74">
        <f t="shared" si="4"/>
        <v>480000</v>
      </c>
      <c r="I24" s="55">
        <f t="shared" si="17"/>
        <v>16000</v>
      </c>
      <c r="J24" s="55">
        <f t="shared" si="9"/>
        <v>480000</v>
      </c>
      <c r="K24" s="70"/>
      <c r="L24" s="56">
        <f t="shared" si="5"/>
        <v>480000</v>
      </c>
      <c r="M24" s="68"/>
      <c r="N24" s="46">
        <v>0</v>
      </c>
      <c r="O24" s="46">
        <f t="shared" si="15"/>
        <v>0</v>
      </c>
      <c r="P24" s="46">
        <v>0</v>
      </c>
      <c r="Q24" s="46">
        <v>0</v>
      </c>
      <c r="R24" s="46"/>
      <c r="S24" s="46"/>
      <c r="T24" s="46">
        <v>5000</v>
      </c>
      <c r="U24" s="46"/>
      <c r="V24" s="46"/>
      <c r="W24" s="46"/>
      <c r="X24" s="46"/>
      <c r="Y24" s="46">
        <f t="shared" si="10"/>
        <v>5000</v>
      </c>
      <c r="Z24" s="45">
        <v>0</v>
      </c>
      <c r="AA24" s="49">
        <f t="shared" si="7"/>
        <v>475000</v>
      </c>
      <c r="AB24" s="47"/>
      <c r="AC24" s="46">
        <f t="shared" si="11"/>
        <v>475000</v>
      </c>
      <c r="AD24" s="58">
        <f t="shared" si="12"/>
        <v>475000</v>
      </c>
      <c r="AE24" s="46"/>
      <c r="AF24" s="66"/>
      <c r="AG24" s="51"/>
      <c r="AH24" s="57"/>
    </row>
    <row r="25" spans="1:34" x14ac:dyDescent="0.3">
      <c r="A25" s="48">
        <v>19</v>
      </c>
      <c r="B25" s="54">
        <f t="shared" si="2"/>
        <v>30</v>
      </c>
      <c r="C25" s="77">
        <v>809</v>
      </c>
      <c r="D25" s="50">
        <v>1</v>
      </c>
      <c r="E25" s="48">
        <v>1</v>
      </c>
      <c r="F25" s="51">
        <v>158000000</v>
      </c>
      <c r="G25" s="51">
        <f t="shared" si="3"/>
        <v>136498320</v>
      </c>
      <c r="H25" s="74">
        <f t="shared" si="4"/>
        <v>480000</v>
      </c>
      <c r="I25" s="55">
        <f t="shared" si="17"/>
        <v>16000</v>
      </c>
      <c r="J25" s="55">
        <f t="shared" si="9"/>
        <v>480000</v>
      </c>
      <c r="K25" s="70"/>
      <c r="L25" s="56">
        <f t="shared" si="5"/>
        <v>480000</v>
      </c>
      <c r="M25" s="68"/>
      <c r="N25" s="46">
        <v>0</v>
      </c>
      <c r="O25" s="46">
        <f t="shared" si="15"/>
        <v>0</v>
      </c>
      <c r="P25" s="46">
        <v>0</v>
      </c>
      <c r="Q25" s="46">
        <v>0</v>
      </c>
      <c r="R25" s="46"/>
      <c r="S25" s="46"/>
      <c r="T25" s="46">
        <v>5000</v>
      </c>
      <c r="U25" s="46"/>
      <c r="V25" s="46"/>
      <c r="W25" s="46"/>
      <c r="X25" s="46"/>
      <c r="Y25" s="46">
        <f t="shared" si="10"/>
        <v>5000</v>
      </c>
      <c r="Z25" s="45">
        <v>0</v>
      </c>
      <c r="AA25" s="49">
        <f t="shared" si="7"/>
        <v>475000</v>
      </c>
      <c r="AB25" s="47"/>
      <c r="AC25" s="46">
        <f t="shared" si="11"/>
        <v>475000</v>
      </c>
      <c r="AD25" s="58">
        <f t="shared" si="12"/>
        <v>475000</v>
      </c>
      <c r="AE25" s="46"/>
      <c r="AF25" s="66"/>
      <c r="AG25" s="51"/>
      <c r="AH25" s="57"/>
    </row>
    <row r="26" spans="1:34" x14ac:dyDescent="0.3">
      <c r="A26" s="48">
        <v>20</v>
      </c>
      <c r="B26" s="54">
        <f t="shared" si="2"/>
        <v>30</v>
      </c>
      <c r="C26" s="76">
        <v>811</v>
      </c>
      <c r="D26" s="50">
        <v>1</v>
      </c>
      <c r="E26" s="48">
        <v>1</v>
      </c>
      <c r="F26" s="51">
        <v>155000000</v>
      </c>
      <c r="G26" s="51">
        <f t="shared" si="3"/>
        <v>136498320</v>
      </c>
      <c r="H26" s="73">
        <f t="shared" si="4"/>
        <v>470000</v>
      </c>
      <c r="I26" s="55">
        <f t="shared" si="17"/>
        <v>15666.666666666666</v>
      </c>
      <c r="J26" s="55">
        <f t="shared" si="9"/>
        <v>470000</v>
      </c>
      <c r="K26" s="70"/>
      <c r="L26" s="56">
        <f t="shared" si="5"/>
        <v>470000</v>
      </c>
      <c r="M26" s="68"/>
      <c r="N26" s="46">
        <v>0</v>
      </c>
      <c r="O26" s="46">
        <f t="shared" si="15"/>
        <v>0</v>
      </c>
      <c r="P26" s="46">
        <v>0</v>
      </c>
      <c r="Q26" s="46">
        <v>0</v>
      </c>
      <c r="R26" s="46"/>
      <c r="S26" s="46"/>
      <c r="T26" s="46">
        <v>5000</v>
      </c>
      <c r="U26" s="46"/>
      <c r="V26" s="46"/>
      <c r="W26" s="46"/>
      <c r="X26" s="46"/>
      <c r="Y26" s="46">
        <f t="shared" si="10"/>
        <v>5000</v>
      </c>
      <c r="Z26" s="45">
        <v>0</v>
      </c>
      <c r="AA26" s="49">
        <f t="shared" si="7"/>
        <v>465000</v>
      </c>
      <c r="AB26" s="47"/>
      <c r="AC26" s="46">
        <f t="shared" si="11"/>
        <v>465000</v>
      </c>
      <c r="AD26" s="58">
        <f t="shared" si="12"/>
        <v>465000</v>
      </c>
      <c r="AE26" s="46"/>
      <c r="AF26" s="66"/>
      <c r="AG26" s="51"/>
      <c r="AH26" s="57"/>
    </row>
    <row r="27" spans="1:34" x14ac:dyDescent="0.3">
      <c r="A27" s="48">
        <v>39</v>
      </c>
      <c r="B27" s="54">
        <f t="shared" si="2"/>
        <v>30</v>
      </c>
      <c r="C27" s="78">
        <v>902</v>
      </c>
      <c r="D27" s="50">
        <v>1</v>
      </c>
      <c r="E27" s="48">
        <v>1</v>
      </c>
      <c r="F27" s="51">
        <v>157000000</v>
      </c>
      <c r="G27" s="51">
        <f t="shared" si="3"/>
        <v>136498320</v>
      </c>
      <c r="H27" s="74">
        <f t="shared" si="4"/>
        <v>480000</v>
      </c>
      <c r="I27" s="55">
        <f>H27/$I$3</f>
        <v>16000</v>
      </c>
      <c r="J27" s="55">
        <f>I27*B27</f>
        <v>480000</v>
      </c>
      <c r="K27" s="46"/>
      <c r="L27" s="56">
        <f>SUM(J27:K27)</f>
        <v>480000</v>
      </c>
      <c r="M27" s="68"/>
      <c r="N27" s="46">
        <v>0</v>
      </c>
      <c r="O27" s="46">
        <f t="shared" si="15"/>
        <v>0</v>
      </c>
      <c r="P27" s="46">
        <v>0</v>
      </c>
      <c r="Q27" s="46">
        <v>0</v>
      </c>
      <c r="R27" s="46"/>
      <c r="S27" s="46"/>
      <c r="T27" s="46">
        <v>5000</v>
      </c>
      <c r="U27" s="46"/>
      <c r="V27" s="46"/>
      <c r="W27" s="46"/>
      <c r="X27" s="46"/>
      <c r="Y27" s="46">
        <f>O27+P27+Q27+T27+U27+V27+X27+W27</f>
        <v>5000</v>
      </c>
      <c r="Z27" s="45">
        <v>0</v>
      </c>
      <c r="AA27" s="49">
        <f t="shared" si="7"/>
        <v>475000</v>
      </c>
      <c r="AB27" s="47"/>
      <c r="AC27" s="46">
        <f>AA27-Z27</f>
        <v>475000</v>
      </c>
      <c r="AD27" s="58">
        <f t="shared" si="12"/>
        <v>475000</v>
      </c>
      <c r="AE27" s="46"/>
      <c r="AF27" s="66"/>
      <c r="AG27" s="51"/>
      <c r="AH27" s="57"/>
    </row>
    <row r="28" spans="1:34" x14ac:dyDescent="0.3">
      <c r="A28" s="48">
        <v>21</v>
      </c>
      <c r="B28" s="54">
        <f t="shared" si="2"/>
        <v>30</v>
      </c>
      <c r="C28" s="77">
        <v>906</v>
      </c>
      <c r="D28" s="50">
        <v>1</v>
      </c>
      <c r="E28" s="48">
        <v>1</v>
      </c>
      <c r="F28" s="51">
        <v>157000000</v>
      </c>
      <c r="G28" s="51">
        <f t="shared" si="3"/>
        <v>136498320</v>
      </c>
      <c r="H28" s="74">
        <f t="shared" si="4"/>
        <v>480000</v>
      </c>
      <c r="I28" s="55">
        <f t="shared" si="17"/>
        <v>16000</v>
      </c>
      <c r="J28" s="55">
        <f t="shared" si="9"/>
        <v>480000</v>
      </c>
      <c r="K28" s="70"/>
      <c r="L28" s="56">
        <f t="shared" si="5"/>
        <v>480000</v>
      </c>
      <c r="M28" s="68"/>
      <c r="N28" s="46">
        <v>0</v>
      </c>
      <c r="O28" s="46">
        <f t="shared" si="15"/>
        <v>0</v>
      </c>
      <c r="P28" s="46">
        <v>0</v>
      </c>
      <c r="Q28" s="46">
        <v>0</v>
      </c>
      <c r="R28" s="46"/>
      <c r="S28" s="46"/>
      <c r="T28" s="46">
        <v>5000</v>
      </c>
      <c r="U28" s="46"/>
      <c r="V28" s="46"/>
      <c r="W28" s="46"/>
      <c r="X28" s="46"/>
      <c r="Y28" s="46">
        <f t="shared" si="10"/>
        <v>5000</v>
      </c>
      <c r="Z28" s="45">
        <v>0</v>
      </c>
      <c r="AA28" s="49">
        <f t="shared" si="7"/>
        <v>475000</v>
      </c>
      <c r="AB28" s="47"/>
      <c r="AC28" s="46">
        <f t="shared" si="11"/>
        <v>475000</v>
      </c>
      <c r="AD28" s="58">
        <f t="shared" si="12"/>
        <v>475000</v>
      </c>
      <c r="AE28" s="46"/>
      <c r="AF28" s="66"/>
      <c r="AG28" s="51"/>
      <c r="AH28" s="57"/>
    </row>
    <row r="29" spans="1:34" x14ac:dyDescent="0.3">
      <c r="A29" s="48">
        <v>22</v>
      </c>
      <c r="B29" s="54">
        <f t="shared" si="2"/>
        <v>30</v>
      </c>
      <c r="C29" s="77">
        <v>907</v>
      </c>
      <c r="D29" s="50">
        <v>1</v>
      </c>
      <c r="E29" s="48">
        <v>1</v>
      </c>
      <c r="F29" s="51">
        <v>157000000</v>
      </c>
      <c r="G29" s="51">
        <f t="shared" si="3"/>
        <v>136498320</v>
      </c>
      <c r="H29" s="74">
        <f t="shared" si="4"/>
        <v>480000</v>
      </c>
      <c r="I29" s="55">
        <f t="shared" si="17"/>
        <v>16000</v>
      </c>
      <c r="J29" s="55">
        <f t="shared" si="9"/>
        <v>480000</v>
      </c>
      <c r="K29" s="70"/>
      <c r="L29" s="56">
        <f t="shared" si="5"/>
        <v>480000</v>
      </c>
      <c r="M29" s="68"/>
      <c r="N29" s="46">
        <v>0</v>
      </c>
      <c r="O29" s="46">
        <f t="shared" si="15"/>
        <v>0</v>
      </c>
      <c r="P29" s="46">
        <v>0</v>
      </c>
      <c r="Q29" s="46">
        <v>0</v>
      </c>
      <c r="R29" s="46"/>
      <c r="S29" s="46"/>
      <c r="T29" s="46">
        <v>5000</v>
      </c>
      <c r="U29" s="46"/>
      <c r="V29" s="46"/>
      <c r="W29" s="46"/>
      <c r="X29" s="46"/>
      <c r="Y29" s="46">
        <f t="shared" si="10"/>
        <v>5000</v>
      </c>
      <c r="Z29" s="45">
        <v>0</v>
      </c>
      <c r="AA29" s="49">
        <f t="shared" si="7"/>
        <v>475000</v>
      </c>
      <c r="AB29" s="47"/>
      <c r="AC29" s="46">
        <f t="shared" si="11"/>
        <v>475000</v>
      </c>
      <c r="AD29" s="58">
        <f t="shared" si="12"/>
        <v>475000</v>
      </c>
      <c r="AE29" s="46"/>
      <c r="AF29" s="66"/>
      <c r="AG29" s="51"/>
      <c r="AH29" s="57"/>
    </row>
    <row r="30" spans="1:34" x14ac:dyDescent="0.3">
      <c r="A30" s="48">
        <v>23</v>
      </c>
      <c r="B30" s="54">
        <f t="shared" si="2"/>
        <v>30</v>
      </c>
      <c r="C30" s="76">
        <v>911</v>
      </c>
      <c r="D30" s="50">
        <v>1</v>
      </c>
      <c r="E30" s="48">
        <v>1</v>
      </c>
      <c r="F30" s="51">
        <v>155000000</v>
      </c>
      <c r="G30" s="51">
        <f t="shared" si="3"/>
        <v>136498320</v>
      </c>
      <c r="H30" s="73">
        <f t="shared" si="4"/>
        <v>470000</v>
      </c>
      <c r="I30" s="55">
        <f t="shared" si="17"/>
        <v>15666.666666666666</v>
      </c>
      <c r="J30" s="55">
        <f t="shared" si="9"/>
        <v>470000</v>
      </c>
      <c r="K30" s="70"/>
      <c r="L30" s="56">
        <f t="shared" si="5"/>
        <v>470000</v>
      </c>
      <c r="M30" s="68"/>
      <c r="N30" s="46">
        <v>0</v>
      </c>
      <c r="O30" s="46">
        <f t="shared" si="15"/>
        <v>0</v>
      </c>
      <c r="P30" s="46">
        <v>0</v>
      </c>
      <c r="Q30" s="46">
        <v>0</v>
      </c>
      <c r="R30" s="46"/>
      <c r="S30" s="46"/>
      <c r="T30" s="46">
        <v>5000</v>
      </c>
      <c r="U30" s="46"/>
      <c r="V30" s="46"/>
      <c r="W30" s="46"/>
      <c r="X30" s="46"/>
      <c r="Y30" s="46">
        <f t="shared" si="10"/>
        <v>5000</v>
      </c>
      <c r="Z30" s="45">
        <v>0</v>
      </c>
      <c r="AA30" s="49">
        <f t="shared" si="7"/>
        <v>465000</v>
      </c>
      <c r="AB30" s="47"/>
      <c r="AC30" s="46">
        <f t="shared" si="11"/>
        <v>465000</v>
      </c>
      <c r="AD30" s="58">
        <f t="shared" si="12"/>
        <v>465000</v>
      </c>
      <c r="AE30" s="46"/>
      <c r="AF30" s="66"/>
      <c r="AG30" s="51"/>
      <c r="AH30" s="57"/>
    </row>
    <row r="31" spans="1:34" x14ac:dyDescent="0.3">
      <c r="A31" s="48">
        <v>24</v>
      </c>
      <c r="B31" s="54">
        <f t="shared" si="2"/>
        <v>30</v>
      </c>
      <c r="C31" s="77">
        <v>1004</v>
      </c>
      <c r="D31" s="50">
        <v>1</v>
      </c>
      <c r="E31" s="48">
        <v>1</v>
      </c>
      <c r="F31" s="51">
        <v>158000000</v>
      </c>
      <c r="G31" s="51">
        <f t="shared" si="3"/>
        <v>136498320</v>
      </c>
      <c r="H31" s="74">
        <f t="shared" si="4"/>
        <v>480000</v>
      </c>
      <c r="I31" s="55">
        <f t="shared" si="17"/>
        <v>16000</v>
      </c>
      <c r="J31" s="55">
        <f t="shared" si="9"/>
        <v>480000</v>
      </c>
      <c r="K31" s="70"/>
      <c r="L31" s="56">
        <f t="shared" si="5"/>
        <v>480000</v>
      </c>
      <c r="M31" s="68"/>
      <c r="N31" s="46">
        <v>0</v>
      </c>
      <c r="O31" s="46">
        <f t="shared" si="15"/>
        <v>0</v>
      </c>
      <c r="P31" s="46">
        <v>0</v>
      </c>
      <c r="Q31" s="46">
        <v>0</v>
      </c>
      <c r="R31" s="46"/>
      <c r="S31" s="46"/>
      <c r="T31" s="46">
        <v>5000</v>
      </c>
      <c r="U31" s="46"/>
      <c r="V31" s="46"/>
      <c r="W31" s="46"/>
      <c r="X31" s="46"/>
      <c r="Y31" s="46">
        <f t="shared" si="10"/>
        <v>5000</v>
      </c>
      <c r="Z31" s="45">
        <v>0</v>
      </c>
      <c r="AA31" s="49">
        <f t="shared" si="7"/>
        <v>475000</v>
      </c>
      <c r="AB31" s="47"/>
      <c r="AC31" s="46">
        <f t="shared" si="11"/>
        <v>475000</v>
      </c>
      <c r="AD31" s="58">
        <f t="shared" si="12"/>
        <v>475000</v>
      </c>
      <c r="AE31" s="46"/>
      <c r="AF31" s="66"/>
      <c r="AG31" s="51"/>
      <c r="AH31" s="57"/>
    </row>
    <row r="32" spans="1:34" x14ac:dyDescent="0.3">
      <c r="A32" s="59">
        <v>42</v>
      </c>
      <c r="B32" s="60">
        <f t="shared" si="2"/>
        <v>30</v>
      </c>
      <c r="C32" s="78">
        <v>1006</v>
      </c>
      <c r="D32" s="60">
        <v>28</v>
      </c>
      <c r="E32" s="59">
        <v>17</v>
      </c>
      <c r="F32" s="61">
        <v>158000000</v>
      </c>
      <c r="G32" s="61">
        <f t="shared" si="3"/>
        <v>136498320</v>
      </c>
      <c r="H32" s="74">
        <f t="shared" si="4"/>
        <v>480000</v>
      </c>
      <c r="I32" s="61">
        <f t="shared" ref="I32" si="18">H32/$I$3</f>
        <v>16000</v>
      </c>
      <c r="J32" s="61">
        <f t="shared" ref="J32" si="19">I32*B32</f>
        <v>480000</v>
      </c>
      <c r="K32" s="61"/>
      <c r="L32" s="64">
        <f t="shared" ref="L32" si="20">SUM(J32:K32)</f>
        <v>480000</v>
      </c>
      <c r="M32" s="69"/>
      <c r="N32" s="61">
        <v>0</v>
      </c>
      <c r="O32" s="61"/>
      <c r="P32" s="61">
        <v>0</v>
      </c>
      <c r="Q32" s="61"/>
      <c r="R32" s="61"/>
      <c r="S32" s="61"/>
      <c r="T32" s="46">
        <v>5000</v>
      </c>
      <c r="U32" s="61"/>
      <c r="V32" s="61"/>
      <c r="W32" s="61"/>
      <c r="X32" s="61"/>
      <c r="Y32" s="61">
        <f t="shared" ref="Y32" si="21">O32+P32+Q32+T32+U32+V32+X32+W32</f>
        <v>5000</v>
      </c>
      <c r="Z32" s="63">
        <v>1189516</v>
      </c>
      <c r="AA32" s="62">
        <f t="shared" si="7"/>
        <v>475000</v>
      </c>
      <c r="AB32" s="47"/>
      <c r="AC32" s="61">
        <f>AA32-Z32</f>
        <v>-714516</v>
      </c>
      <c r="AD32" s="58"/>
      <c r="AE32" s="51"/>
      <c r="AF32" s="66">
        <f>AC32-AE32</f>
        <v>-714516</v>
      </c>
      <c r="AG32" s="51"/>
      <c r="AH32" s="57"/>
    </row>
    <row r="33" spans="1:34" x14ac:dyDescent="0.3">
      <c r="A33" s="48">
        <v>25</v>
      </c>
      <c r="B33" s="54">
        <f t="shared" si="2"/>
        <v>30</v>
      </c>
      <c r="C33" s="76">
        <v>1011</v>
      </c>
      <c r="D33" s="50">
        <v>1</v>
      </c>
      <c r="E33" s="48">
        <v>1</v>
      </c>
      <c r="F33" s="51">
        <v>156000000</v>
      </c>
      <c r="G33" s="51">
        <f t="shared" si="3"/>
        <v>136498320</v>
      </c>
      <c r="H33" s="73">
        <f t="shared" si="4"/>
        <v>470000</v>
      </c>
      <c r="I33" s="55">
        <f t="shared" si="17"/>
        <v>15666.666666666666</v>
      </c>
      <c r="J33" s="55">
        <f t="shared" si="9"/>
        <v>470000</v>
      </c>
      <c r="K33" s="70"/>
      <c r="L33" s="56">
        <f t="shared" si="5"/>
        <v>470000</v>
      </c>
      <c r="M33" s="68"/>
      <c r="N33" s="46">
        <v>0</v>
      </c>
      <c r="O33" s="46">
        <f t="shared" ref="O33:O42" si="22">I33*N33</f>
        <v>0</v>
      </c>
      <c r="P33" s="46">
        <v>0</v>
      </c>
      <c r="Q33" s="46">
        <v>0</v>
      </c>
      <c r="R33" s="46"/>
      <c r="S33" s="46"/>
      <c r="T33" s="46">
        <v>5000</v>
      </c>
      <c r="U33" s="46"/>
      <c r="V33" s="46"/>
      <c r="W33" s="46"/>
      <c r="X33" s="46"/>
      <c r="Y33" s="46">
        <f t="shared" si="10"/>
        <v>5000</v>
      </c>
      <c r="Z33" s="45">
        <v>0</v>
      </c>
      <c r="AA33" s="49">
        <f t="shared" si="7"/>
        <v>465000</v>
      </c>
      <c r="AB33" s="47"/>
      <c r="AC33" s="46">
        <f t="shared" si="11"/>
        <v>465000</v>
      </c>
      <c r="AD33" s="58">
        <f t="shared" si="12"/>
        <v>465000</v>
      </c>
      <c r="AE33" s="46"/>
      <c r="AF33" s="66"/>
      <c r="AG33" s="51"/>
      <c r="AH33" s="57"/>
    </row>
    <row r="34" spans="1:34" x14ac:dyDescent="0.3">
      <c r="A34" s="48">
        <v>40</v>
      </c>
      <c r="B34" s="54">
        <f t="shared" si="2"/>
        <v>30</v>
      </c>
      <c r="C34" s="78">
        <v>1105</v>
      </c>
      <c r="D34" s="50">
        <v>1</v>
      </c>
      <c r="E34" s="48">
        <v>1</v>
      </c>
      <c r="F34" s="51">
        <v>158000000</v>
      </c>
      <c r="G34" s="51">
        <f t="shared" si="3"/>
        <v>136498320</v>
      </c>
      <c r="H34" s="74">
        <f t="shared" si="4"/>
        <v>480000</v>
      </c>
      <c r="I34" s="55">
        <f>H34/$I$3</f>
        <v>16000</v>
      </c>
      <c r="J34" s="55">
        <f>I34*B34</f>
        <v>480000</v>
      </c>
      <c r="K34" s="46"/>
      <c r="L34" s="56">
        <f>SUM(J34:K34)</f>
        <v>480000</v>
      </c>
      <c r="M34" s="68"/>
      <c r="N34" s="46">
        <v>0</v>
      </c>
      <c r="O34" s="46">
        <f t="shared" si="22"/>
        <v>0</v>
      </c>
      <c r="P34" s="46">
        <v>0</v>
      </c>
      <c r="Q34" s="46">
        <v>0</v>
      </c>
      <c r="R34" s="46"/>
      <c r="S34" s="46"/>
      <c r="T34" s="46">
        <v>5000</v>
      </c>
      <c r="U34" s="46"/>
      <c r="V34" s="46"/>
      <c r="W34" s="46"/>
      <c r="X34" s="46"/>
      <c r="Y34" s="46">
        <f>O34+P34+Q34+T34+U34+V34+X34+W34</f>
        <v>5000</v>
      </c>
      <c r="Z34" s="45">
        <v>0</v>
      </c>
      <c r="AA34" s="49">
        <f t="shared" si="7"/>
        <v>475000</v>
      </c>
      <c r="AB34" s="47"/>
      <c r="AC34" s="46">
        <f>AA34-Z34</f>
        <v>475000</v>
      </c>
      <c r="AD34" s="58">
        <f t="shared" si="12"/>
        <v>475000</v>
      </c>
      <c r="AE34" s="46"/>
      <c r="AF34" s="66"/>
      <c r="AG34" s="51"/>
      <c r="AH34" s="57"/>
    </row>
    <row r="35" spans="1:34" x14ac:dyDescent="0.3">
      <c r="A35" s="48">
        <v>26</v>
      </c>
      <c r="B35" s="54">
        <f t="shared" si="2"/>
        <v>30</v>
      </c>
      <c r="C35" s="77">
        <v>1107</v>
      </c>
      <c r="D35" s="50">
        <v>1</v>
      </c>
      <c r="E35" s="48">
        <v>1</v>
      </c>
      <c r="F35" s="51">
        <v>158000000</v>
      </c>
      <c r="G35" s="51">
        <f t="shared" si="3"/>
        <v>136498320</v>
      </c>
      <c r="H35" s="74">
        <f t="shared" si="4"/>
        <v>480000</v>
      </c>
      <c r="I35" s="55">
        <f t="shared" si="17"/>
        <v>16000</v>
      </c>
      <c r="J35" s="55">
        <f t="shared" si="9"/>
        <v>480000</v>
      </c>
      <c r="K35" s="70"/>
      <c r="L35" s="56">
        <f t="shared" si="5"/>
        <v>480000</v>
      </c>
      <c r="M35" s="68"/>
      <c r="N35" s="46">
        <v>0</v>
      </c>
      <c r="O35" s="46">
        <f t="shared" si="22"/>
        <v>0</v>
      </c>
      <c r="P35" s="46">
        <v>0</v>
      </c>
      <c r="Q35" s="46">
        <v>0</v>
      </c>
      <c r="R35" s="46"/>
      <c r="S35" s="46"/>
      <c r="T35" s="46">
        <v>5000</v>
      </c>
      <c r="U35" s="46"/>
      <c r="V35" s="46"/>
      <c r="W35" s="46"/>
      <c r="X35" s="46"/>
      <c r="Y35" s="46">
        <f t="shared" si="10"/>
        <v>5000</v>
      </c>
      <c r="Z35" s="45">
        <v>0</v>
      </c>
      <c r="AA35" s="49">
        <f t="shared" si="7"/>
        <v>475000</v>
      </c>
      <c r="AB35" s="47"/>
      <c r="AC35" s="46">
        <f t="shared" si="11"/>
        <v>475000</v>
      </c>
      <c r="AD35" s="58">
        <f t="shared" si="12"/>
        <v>475000</v>
      </c>
      <c r="AE35" s="46"/>
      <c r="AF35" s="66"/>
      <c r="AG35" s="51"/>
      <c r="AH35" s="57"/>
    </row>
    <row r="36" spans="1:34" x14ac:dyDescent="0.3">
      <c r="A36" s="48">
        <v>27</v>
      </c>
      <c r="B36" s="54">
        <f t="shared" si="2"/>
        <v>30</v>
      </c>
      <c r="C36" s="77">
        <v>1110</v>
      </c>
      <c r="D36" s="50">
        <v>1</v>
      </c>
      <c r="E36" s="48">
        <v>1</v>
      </c>
      <c r="F36" s="51">
        <v>161000000</v>
      </c>
      <c r="G36" s="51">
        <f t="shared" si="3"/>
        <v>136498320</v>
      </c>
      <c r="H36" s="74">
        <f t="shared" si="4"/>
        <v>480000</v>
      </c>
      <c r="I36" s="55">
        <f t="shared" si="17"/>
        <v>16000</v>
      </c>
      <c r="J36" s="55">
        <f t="shared" si="9"/>
        <v>480000</v>
      </c>
      <c r="K36" s="70"/>
      <c r="L36" s="56">
        <f t="shared" si="5"/>
        <v>480000</v>
      </c>
      <c r="M36" s="68"/>
      <c r="N36" s="46">
        <v>0</v>
      </c>
      <c r="O36" s="46">
        <f t="shared" si="22"/>
        <v>0</v>
      </c>
      <c r="P36" s="46">
        <v>0</v>
      </c>
      <c r="Q36" s="46">
        <v>0</v>
      </c>
      <c r="R36" s="46"/>
      <c r="S36" s="46"/>
      <c r="T36" s="46">
        <v>5000</v>
      </c>
      <c r="U36" s="46"/>
      <c r="V36" s="46"/>
      <c r="W36" s="46"/>
      <c r="X36" s="46"/>
      <c r="Y36" s="46">
        <f t="shared" si="10"/>
        <v>5000</v>
      </c>
      <c r="Z36" s="45">
        <v>0</v>
      </c>
      <c r="AA36" s="49">
        <f t="shared" si="7"/>
        <v>475000</v>
      </c>
      <c r="AB36" s="47"/>
      <c r="AC36" s="46">
        <f t="shared" si="11"/>
        <v>475000</v>
      </c>
      <c r="AD36" s="58">
        <f t="shared" si="12"/>
        <v>475000</v>
      </c>
      <c r="AE36" s="46"/>
      <c r="AF36" s="66"/>
      <c r="AG36" s="51"/>
      <c r="AH36" s="57"/>
    </row>
    <row r="37" spans="1:34" x14ac:dyDescent="0.3">
      <c r="A37" s="48">
        <v>28</v>
      </c>
      <c r="B37" s="54">
        <f t="shared" si="2"/>
        <v>30</v>
      </c>
      <c r="C37" s="76">
        <v>1111</v>
      </c>
      <c r="D37" s="50">
        <v>1</v>
      </c>
      <c r="E37" s="48">
        <v>1</v>
      </c>
      <c r="F37" s="51">
        <v>156000000</v>
      </c>
      <c r="G37" s="51">
        <f t="shared" si="3"/>
        <v>136498320</v>
      </c>
      <c r="H37" s="73">
        <f t="shared" si="4"/>
        <v>470000</v>
      </c>
      <c r="I37" s="55">
        <f t="shared" si="17"/>
        <v>15666.666666666666</v>
      </c>
      <c r="J37" s="55">
        <f t="shared" si="9"/>
        <v>470000</v>
      </c>
      <c r="K37" s="70"/>
      <c r="L37" s="56">
        <f t="shared" si="5"/>
        <v>470000</v>
      </c>
      <c r="M37" s="68"/>
      <c r="N37" s="46">
        <v>0</v>
      </c>
      <c r="O37" s="46">
        <f t="shared" si="22"/>
        <v>0</v>
      </c>
      <c r="P37" s="46">
        <v>0</v>
      </c>
      <c r="Q37" s="46">
        <v>0</v>
      </c>
      <c r="R37" s="46"/>
      <c r="S37" s="46"/>
      <c r="T37" s="46">
        <v>5000</v>
      </c>
      <c r="U37" s="46"/>
      <c r="V37" s="46"/>
      <c r="W37" s="46"/>
      <c r="X37" s="46"/>
      <c r="Y37" s="46">
        <f t="shared" si="10"/>
        <v>5000</v>
      </c>
      <c r="Z37" s="45">
        <v>0</v>
      </c>
      <c r="AA37" s="49">
        <f t="shared" si="7"/>
        <v>465000</v>
      </c>
      <c r="AB37" s="47"/>
      <c r="AC37" s="46">
        <f t="shared" si="11"/>
        <v>465000</v>
      </c>
      <c r="AD37" s="58">
        <f t="shared" si="12"/>
        <v>465000</v>
      </c>
      <c r="AE37" s="46"/>
      <c r="AF37" s="66"/>
      <c r="AG37" s="51"/>
      <c r="AH37" s="57"/>
    </row>
    <row r="38" spans="1:34" x14ac:dyDescent="0.3">
      <c r="A38" s="48">
        <v>29</v>
      </c>
      <c r="B38" s="54">
        <f t="shared" si="2"/>
        <v>30</v>
      </c>
      <c r="C38" s="77">
        <v>1112</v>
      </c>
      <c r="D38" s="50">
        <v>1</v>
      </c>
      <c r="E38" s="48">
        <v>1</v>
      </c>
      <c r="F38" s="51">
        <v>157000000</v>
      </c>
      <c r="G38" s="51">
        <f t="shared" si="3"/>
        <v>136498320</v>
      </c>
      <c r="H38" s="74">
        <f t="shared" si="4"/>
        <v>480000</v>
      </c>
      <c r="I38" s="55">
        <f t="shared" si="17"/>
        <v>16000</v>
      </c>
      <c r="J38" s="55">
        <f t="shared" si="9"/>
        <v>480000</v>
      </c>
      <c r="K38" s="70"/>
      <c r="L38" s="56">
        <f t="shared" si="5"/>
        <v>480000</v>
      </c>
      <c r="M38" s="68"/>
      <c r="N38" s="46">
        <v>0</v>
      </c>
      <c r="O38" s="46">
        <f t="shared" si="22"/>
        <v>0</v>
      </c>
      <c r="P38" s="46">
        <v>0</v>
      </c>
      <c r="Q38" s="46">
        <v>0</v>
      </c>
      <c r="R38" s="46"/>
      <c r="S38" s="46"/>
      <c r="T38" s="46">
        <v>5000</v>
      </c>
      <c r="U38" s="46"/>
      <c r="V38" s="46"/>
      <c r="W38" s="46"/>
      <c r="X38" s="46"/>
      <c r="Y38" s="46">
        <f t="shared" si="10"/>
        <v>5000</v>
      </c>
      <c r="Z38" s="45">
        <v>0</v>
      </c>
      <c r="AA38" s="49">
        <f t="shared" si="7"/>
        <v>475000</v>
      </c>
      <c r="AB38" s="47"/>
      <c r="AC38" s="46">
        <f t="shared" si="11"/>
        <v>475000</v>
      </c>
      <c r="AD38" s="58">
        <f t="shared" si="12"/>
        <v>475000</v>
      </c>
      <c r="AE38" s="46"/>
      <c r="AF38" s="66"/>
      <c r="AG38" s="51"/>
      <c r="AH38" s="57"/>
    </row>
    <row r="39" spans="1:34" x14ac:dyDescent="0.3">
      <c r="A39" s="48">
        <v>30</v>
      </c>
      <c r="B39" s="54">
        <f t="shared" si="2"/>
        <v>30</v>
      </c>
      <c r="C39" s="77">
        <v>1114</v>
      </c>
      <c r="D39" s="50">
        <v>1</v>
      </c>
      <c r="E39" s="48">
        <v>1</v>
      </c>
      <c r="F39" s="51">
        <v>157000000</v>
      </c>
      <c r="G39" s="51">
        <f t="shared" si="3"/>
        <v>136498320</v>
      </c>
      <c r="H39" s="74">
        <f t="shared" si="4"/>
        <v>480000</v>
      </c>
      <c r="I39" s="55">
        <f t="shared" si="17"/>
        <v>16000</v>
      </c>
      <c r="J39" s="55">
        <f t="shared" si="9"/>
        <v>480000</v>
      </c>
      <c r="K39" s="70"/>
      <c r="L39" s="56">
        <f t="shared" si="5"/>
        <v>480000</v>
      </c>
      <c r="N39" s="46">
        <v>0</v>
      </c>
      <c r="O39" s="46">
        <f t="shared" si="22"/>
        <v>0</v>
      </c>
      <c r="P39" s="46">
        <v>0</v>
      </c>
      <c r="Q39" s="46">
        <v>0</v>
      </c>
      <c r="R39" s="46"/>
      <c r="S39" s="46"/>
      <c r="T39" s="46">
        <v>5000</v>
      </c>
      <c r="U39" s="46"/>
      <c r="V39" s="46"/>
      <c r="W39" s="46"/>
      <c r="X39" s="46"/>
      <c r="Y39" s="46">
        <f t="shared" si="10"/>
        <v>5000</v>
      </c>
      <c r="Z39" s="45">
        <v>0</v>
      </c>
      <c r="AA39" s="49">
        <f t="shared" si="7"/>
        <v>475000</v>
      </c>
      <c r="AB39" s="47"/>
      <c r="AC39" s="46">
        <f t="shared" si="11"/>
        <v>475000</v>
      </c>
      <c r="AD39" s="58">
        <f t="shared" si="12"/>
        <v>475000</v>
      </c>
      <c r="AE39" s="46"/>
      <c r="AF39" s="66"/>
      <c r="AG39" s="51"/>
      <c r="AH39" s="57"/>
    </row>
    <row r="40" spans="1:34" x14ac:dyDescent="0.3">
      <c r="A40" s="48">
        <v>31</v>
      </c>
      <c r="B40" s="54">
        <f t="shared" si="2"/>
        <v>30</v>
      </c>
      <c r="C40" s="77">
        <v>1115</v>
      </c>
      <c r="D40" s="50">
        <v>1</v>
      </c>
      <c r="E40" s="48">
        <v>1</v>
      </c>
      <c r="F40" s="51">
        <v>157000000</v>
      </c>
      <c r="G40" s="51">
        <f t="shared" si="3"/>
        <v>136498320</v>
      </c>
      <c r="H40" s="74">
        <f t="shared" si="4"/>
        <v>480000</v>
      </c>
      <c r="I40" s="55">
        <f t="shared" si="17"/>
        <v>16000</v>
      </c>
      <c r="J40" s="55">
        <f t="shared" si="9"/>
        <v>480000</v>
      </c>
      <c r="K40" s="70"/>
      <c r="L40" s="56">
        <f t="shared" si="5"/>
        <v>480000</v>
      </c>
      <c r="N40" s="46">
        <v>0</v>
      </c>
      <c r="O40" s="46">
        <f t="shared" si="22"/>
        <v>0</v>
      </c>
      <c r="P40" s="46">
        <v>0</v>
      </c>
      <c r="Q40" s="46">
        <v>0</v>
      </c>
      <c r="R40" s="46"/>
      <c r="S40" s="46"/>
      <c r="T40" s="46">
        <v>5000</v>
      </c>
      <c r="U40" s="46"/>
      <c r="V40" s="46"/>
      <c r="W40" s="46"/>
      <c r="X40" s="46"/>
      <c r="Y40" s="46">
        <f t="shared" si="10"/>
        <v>5000</v>
      </c>
      <c r="Z40" s="45">
        <v>0</v>
      </c>
      <c r="AA40" s="49">
        <f t="shared" si="7"/>
        <v>475000</v>
      </c>
      <c r="AB40" s="47"/>
      <c r="AC40" s="46">
        <f t="shared" si="11"/>
        <v>475000</v>
      </c>
      <c r="AD40" s="58">
        <f t="shared" si="12"/>
        <v>475000</v>
      </c>
      <c r="AE40" s="46"/>
      <c r="AF40" s="66"/>
      <c r="AG40" s="51"/>
      <c r="AH40" s="57"/>
    </row>
    <row r="41" spans="1:34" x14ac:dyDescent="0.3">
      <c r="A41" s="48">
        <v>32</v>
      </c>
      <c r="B41" s="54">
        <f t="shared" si="2"/>
        <v>30</v>
      </c>
      <c r="C41" s="77">
        <v>1116</v>
      </c>
      <c r="D41" s="50">
        <v>1</v>
      </c>
      <c r="E41" s="48">
        <v>1</v>
      </c>
      <c r="F41" s="51">
        <v>158000000</v>
      </c>
      <c r="G41" s="51">
        <f t="shared" si="3"/>
        <v>136498320</v>
      </c>
      <c r="H41" s="74">
        <f t="shared" si="4"/>
        <v>480000</v>
      </c>
      <c r="I41" s="55">
        <f t="shared" si="17"/>
        <v>16000</v>
      </c>
      <c r="J41" s="55">
        <f t="shared" si="9"/>
        <v>480000</v>
      </c>
      <c r="K41" s="70"/>
      <c r="L41" s="56">
        <f t="shared" si="5"/>
        <v>480000</v>
      </c>
      <c r="N41" s="46">
        <v>0</v>
      </c>
      <c r="O41" s="46">
        <f t="shared" si="22"/>
        <v>0</v>
      </c>
      <c r="P41" s="46">
        <v>0</v>
      </c>
      <c r="Q41" s="46">
        <v>0</v>
      </c>
      <c r="R41" s="46"/>
      <c r="S41" s="46"/>
      <c r="T41" s="46">
        <v>5000</v>
      </c>
      <c r="U41" s="46"/>
      <c r="V41" s="46"/>
      <c r="W41" s="46"/>
      <c r="X41" s="46"/>
      <c r="Y41" s="46">
        <f t="shared" si="10"/>
        <v>5000</v>
      </c>
      <c r="Z41" s="45">
        <v>0</v>
      </c>
      <c r="AA41" s="49">
        <f t="shared" si="7"/>
        <v>475000</v>
      </c>
      <c r="AB41" s="47"/>
      <c r="AC41" s="46">
        <f t="shared" si="11"/>
        <v>475000</v>
      </c>
      <c r="AD41" s="58">
        <f t="shared" si="12"/>
        <v>475000</v>
      </c>
      <c r="AE41" s="46"/>
      <c r="AF41" s="66"/>
      <c r="AG41" s="51"/>
      <c r="AH41" s="57"/>
    </row>
    <row r="42" spans="1:34" x14ac:dyDescent="0.3">
      <c r="A42" s="48">
        <v>33</v>
      </c>
      <c r="B42" s="54">
        <f t="shared" si="2"/>
        <v>30</v>
      </c>
      <c r="C42" s="77">
        <v>1206</v>
      </c>
      <c r="D42" s="50">
        <v>1</v>
      </c>
      <c r="E42" s="48">
        <v>1</v>
      </c>
      <c r="F42" s="51">
        <v>159000000</v>
      </c>
      <c r="G42" s="51">
        <f t="shared" si="3"/>
        <v>136498320</v>
      </c>
      <c r="H42" s="74">
        <f t="shared" si="4"/>
        <v>480000</v>
      </c>
      <c r="I42" s="55">
        <f t="shared" si="17"/>
        <v>16000</v>
      </c>
      <c r="J42" s="55">
        <f t="shared" si="9"/>
        <v>480000</v>
      </c>
      <c r="K42" s="70"/>
      <c r="L42" s="56">
        <f t="shared" si="5"/>
        <v>480000</v>
      </c>
      <c r="N42" s="46">
        <v>0</v>
      </c>
      <c r="O42" s="46">
        <f t="shared" si="22"/>
        <v>0</v>
      </c>
      <c r="P42" s="46">
        <v>0</v>
      </c>
      <c r="Q42" s="46">
        <v>0</v>
      </c>
      <c r="R42" s="46"/>
      <c r="S42" s="46"/>
      <c r="T42" s="46">
        <v>5000</v>
      </c>
      <c r="U42" s="46"/>
      <c r="V42" s="46"/>
      <c r="W42" s="46"/>
      <c r="X42" s="46"/>
      <c r="Y42" s="46">
        <f t="shared" si="10"/>
        <v>5000</v>
      </c>
      <c r="Z42" s="45">
        <v>0</v>
      </c>
      <c r="AA42" s="49">
        <f t="shared" si="7"/>
        <v>475000</v>
      </c>
      <c r="AB42" s="47"/>
      <c r="AC42" s="46">
        <f t="shared" si="11"/>
        <v>475000</v>
      </c>
      <c r="AD42" s="58">
        <f t="shared" si="12"/>
        <v>475000</v>
      </c>
      <c r="AE42" s="46"/>
      <c r="AF42" s="66"/>
      <c r="AG42" s="51"/>
      <c r="AH42" s="57"/>
    </row>
    <row r="43" spans="1:34" x14ac:dyDescent="0.3">
      <c r="A43" s="59">
        <v>43</v>
      </c>
      <c r="B43" s="60">
        <f t="shared" si="2"/>
        <v>30</v>
      </c>
      <c r="C43" s="78">
        <v>1208</v>
      </c>
      <c r="D43" s="60">
        <v>28</v>
      </c>
      <c r="E43" s="59">
        <v>17</v>
      </c>
      <c r="F43" s="61">
        <v>158000000</v>
      </c>
      <c r="G43" s="61">
        <f t="shared" si="3"/>
        <v>136498320</v>
      </c>
      <c r="H43" s="74">
        <f t="shared" si="4"/>
        <v>480000</v>
      </c>
      <c r="I43" s="61">
        <f>H43/$I$3</f>
        <v>16000</v>
      </c>
      <c r="J43" s="61">
        <f>I43*B43</f>
        <v>480000</v>
      </c>
      <c r="K43" s="61"/>
      <c r="L43" s="64">
        <f>SUM(J43:K43)</f>
        <v>480000</v>
      </c>
      <c r="M43" s="65"/>
      <c r="N43" s="61">
        <v>0</v>
      </c>
      <c r="O43" s="61"/>
      <c r="P43" s="61">
        <v>0</v>
      </c>
      <c r="Q43" s="61"/>
      <c r="R43" s="61"/>
      <c r="S43" s="61"/>
      <c r="T43" s="46">
        <v>5000</v>
      </c>
      <c r="U43" s="61"/>
      <c r="V43" s="61"/>
      <c r="W43" s="61"/>
      <c r="X43" s="61"/>
      <c r="Y43" s="61">
        <f>O43+P43+Q43+T43+U43+V43+X43+W43</f>
        <v>5000</v>
      </c>
      <c r="Z43" s="63">
        <v>648516</v>
      </c>
      <c r="AA43" s="62">
        <f t="shared" si="7"/>
        <v>475000</v>
      </c>
      <c r="AB43" s="47"/>
      <c r="AC43" s="46">
        <f t="shared" ref="AC43" si="23">AA43-Z43</f>
        <v>-173516</v>
      </c>
      <c r="AD43" s="58"/>
      <c r="AE43" s="51"/>
      <c r="AF43" s="66">
        <f>AC43-AE43</f>
        <v>-173516</v>
      </c>
      <c r="AG43" s="51"/>
      <c r="AH43" s="57"/>
    </row>
    <row r="44" spans="1:34" x14ac:dyDescent="0.3">
      <c r="A44" s="48">
        <v>34</v>
      </c>
      <c r="B44" s="54">
        <f t="shared" si="2"/>
        <v>30</v>
      </c>
      <c r="C44" s="77">
        <v>1210</v>
      </c>
      <c r="D44" s="50">
        <v>1</v>
      </c>
      <c r="E44" s="48">
        <v>1</v>
      </c>
      <c r="F44" s="51">
        <v>162000000</v>
      </c>
      <c r="G44" s="51">
        <f t="shared" si="3"/>
        <v>136498320</v>
      </c>
      <c r="H44" s="74">
        <f t="shared" si="4"/>
        <v>480000</v>
      </c>
      <c r="I44" s="55">
        <f t="shared" si="17"/>
        <v>16000</v>
      </c>
      <c r="J44" s="55">
        <f t="shared" si="9"/>
        <v>480000</v>
      </c>
      <c r="K44" s="70"/>
      <c r="L44" s="56">
        <f t="shared" si="5"/>
        <v>480000</v>
      </c>
      <c r="N44" s="46">
        <v>0</v>
      </c>
      <c r="O44" s="46">
        <f>I44*N44</f>
        <v>0</v>
      </c>
      <c r="P44" s="46">
        <v>0</v>
      </c>
      <c r="Q44" s="46">
        <v>0</v>
      </c>
      <c r="R44" s="46"/>
      <c r="S44" s="46"/>
      <c r="T44" s="46">
        <v>5000</v>
      </c>
      <c r="U44" s="46"/>
      <c r="V44" s="46"/>
      <c r="W44" s="46"/>
      <c r="X44" s="46"/>
      <c r="Y44" s="46">
        <f t="shared" si="10"/>
        <v>5000</v>
      </c>
      <c r="Z44" s="45">
        <v>0</v>
      </c>
      <c r="AA44" s="49">
        <f t="shared" si="7"/>
        <v>475000</v>
      </c>
      <c r="AB44" s="47"/>
      <c r="AC44" s="46">
        <f t="shared" si="11"/>
        <v>475000</v>
      </c>
      <c r="AD44" s="58">
        <f t="shared" si="12"/>
        <v>475000</v>
      </c>
      <c r="AE44" s="46"/>
      <c r="AF44" s="66"/>
      <c r="AG44" s="51"/>
      <c r="AH44" s="57"/>
    </row>
    <row r="45" spans="1:34" x14ac:dyDescent="0.3">
      <c r="A45" s="48">
        <v>35</v>
      </c>
      <c r="B45" s="54">
        <f t="shared" si="2"/>
        <v>30</v>
      </c>
      <c r="C45" s="77">
        <v>1214</v>
      </c>
      <c r="D45" s="50">
        <v>1</v>
      </c>
      <c r="E45" s="48">
        <v>1</v>
      </c>
      <c r="F45" s="51">
        <v>158000000</v>
      </c>
      <c r="G45" s="51">
        <f t="shared" si="3"/>
        <v>136498320</v>
      </c>
      <c r="H45" s="74">
        <f t="shared" si="4"/>
        <v>480000</v>
      </c>
      <c r="I45" s="55">
        <f t="shared" si="17"/>
        <v>16000</v>
      </c>
      <c r="J45" s="55">
        <f t="shared" si="9"/>
        <v>480000</v>
      </c>
      <c r="K45" s="70"/>
      <c r="L45" s="56">
        <f t="shared" si="5"/>
        <v>480000</v>
      </c>
      <c r="N45" s="46">
        <v>0</v>
      </c>
      <c r="O45" s="46">
        <f>I45*N45</f>
        <v>0</v>
      </c>
      <c r="P45" s="46">
        <v>0</v>
      </c>
      <c r="Q45" s="46">
        <v>0</v>
      </c>
      <c r="R45" s="46"/>
      <c r="S45" s="46"/>
      <c r="T45" s="46">
        <v>5000</v>
      </c>
      <c r="U45" s="46"/>
      <c r="V45" s="46"/>
      <c r="W45" s="46"/>
      <c r="X45" s="46"/>
      <c r="Y45" s="46">
        <f t="shared" si="10"/>
        <v>5000</v>
      </c>
      <c r="Z45" s="45">
        <v>0</v>
      </c>
      <c r="AA45" s="49">
        <f t="shared" si="7"/>
        <v>475000</v>
      </c>
      <c r="AB45" s="47"/>
      <c r="AC45" s="46">
        <f t="shared" si="11"/>
        <v>475000</v>
      </c>
      <c r="AD45" s="58">
        <f t="shared" si="12"/>
        <v>475000</v>
      </c>
      <c r="AE45" s="46"/>
      <c r="AF45" s="66"/>
      <c r="AG45" s="51"/>
      <c r="AH45" s="57"/>
    </row>
    <row r="46" spans="1:34" x14ac:dyDescent="0.3">
      <c r="A46" s="48">
        <v>36</v>
      </c>
      <c r="B46" s="54">
        <f t="shared" si="2"/>
        <v>30</v>
      </c>
      <c r="C46" s="77">
        <v>1215</v>
      </c>
      <c r="D46" s="50">
        <v>1</v>
      </c>
      <c r="E46" s="48">
        <v>1</v>
      </c>
      <c r="F46" s="51">
        <v>158000000</v>
      </c>
      <c r="G46" s="51">
        <f t="shared" si="3"/>
        <v>136498320</v>
      </c>
      <c r="H46" s="74">
        <f t="shared" si="4"/>
        <v>480000</v>
      </c>
      <c r="I46" s="55">
        <f t="shared" si="17"/>
        <v>16000</v>
      </c>
      <c r="J46" s="55">
        <f t="shared" si="9"/>
        <v>480000</v>
      </c>
      <c r="K46" s="70"/>
      <c r="L46" s="56">
        <f t="shared" si="5"/>
        <v>480000</v>
      </c>
      <c r="N46" s="46">
        <v>0</v>
      </c>
      <c r="O46" s="46">
        <f>I46*N46</f>
        <v>0</v>
      </c>
      <c r="P46" s="46">
        <v>0</v>
      </c>
      <c r="Q46" s="46">
        <v>0</v>
      </c>
      <c r="R46" s="46"/>
      <c r="S46" s="46"/>
      <c r="T46" s="46">
        <v>5000</v>
      </c>
      <c r="U46" s="46"/>
      <c r="V46" s="46"/>
      <c r="W46" s="46"/>
      <c r="X46" s="46"/>
      <c r="Y46" s="46">
        <f t="shared" si="10"/>
        <v>5000</v>
      </c>
      <c r="Z46" s="45">
        <v>0</v>
      </c>
      <c r="AA46" s="49">
        <f t="shared" si="7"/>
        <v>475000</v>
      </c>
      <c r="AB46" s="47"/>
      <c r="AC46" s="46">
        <f t="shared" si="11"/>
        <v>475000</v>
      </c>
      <c r="AD46" s="58">
        <f t="shared" si="12"/>
        <v>475000</v>
      </c>
      <c r="AE46" s="46"/>
      <c r="AF46" s="66"/>
      <c r="AG46" s="51"/>
      <c r="AH46" s="57"/>
    </row>
    <row r="47" spans="1:34" x14ac:dyDescent="0.3">
      <c r="A47" s="48">
        <v>37</v>
      </c>
      <c r="B47" s="54">
        <f t="shared" si="2"/>
        <v>30</v>
      </c>
      <c r="C47" s="77">
        <v>1216</v>
      </c>
      <c r="D47" s="50">
        <v>1</v>
      </c>
      <c r="E47" s="48">
        <v>1</v>
      </c>
      <c r="F47" s="51">
        <v>159000000</v>
      </c>
      <c r="G47" s="51">
        <f t="shared" si="3"/>
        <v>136498320</v>
      </c>
      <c r="H47" s="74">
        <f t="shared" si="4"/>
        <v>480000</v>
      </c>
      <c r="I47" s="55">
        <f t="shared" si="17"/>
        <v>16000</v>
      </c>
      <c r="J47" s="55">
        <f t="shared" si="9"/>
        <v>480000</v>
      </c>
      <c r="K47" s="71"/>
      <c r="L47" s="56">
        <f t="shared" si="5"/>
        <v>480000</v>
      </c>
      <c r="N47" s="46">
        <v>0</v>
      </c>
      <c r="O47" s="46">
        <f>I47*N47</f>
        <v>0</v>
      </c>
      <c r="P47" s="46">
        <v>0</v>
      </c>
      <c r="Q47" s="46">
        <v>0</v>
      </c>
      <c r="R47" s="46"/>
      <c r="S47" s="46"/>
      <c r="T47" s="46">
        <v>5000</v>
      </c>
      <c r="U47" s="46"/>
      <c r="V47" s="46"/>
      <c r="W47" s="46"/>
      <c r="X47" s="46"/>
      <c r="Y47" s="46">
        <f t="shared" si="10"/>
        <v>5000</v>
      </c>
      <c r="Z47" s="45">
        <v>0</v>
      </c>
      <c r="AA47" s="49">
        <f t="shared" si="7"/>
        <v>475000</v>
      </c>
      <c r="AB47" s="47"/>
      <c r="AC47" s="46">
        <f t="shared" si="11"/>
        <v>475000</v>
      </c>
      <c r="AD47" s="58">
        <f t="shared" si="12"/>
        <v>475000</v>
      </c>
      <c r="AE47" s="46"/>
      <c r="AF47" s="66"/>
      <c r="AG47" s="51"/>
      <c r="AH47" s="57"/>
    </row>
    <row r="49" spans="24:31" ht="24" x14ac:dyDescent="0.25">
      <c r="X49" s="101" t="s">
        <v>161</v>
      </c>
      <c r="Y49" s="101">
        <v>30000</v>
      </c>
      <c r="AE49" s="42" ph="1"/>
    </row>
    <row r="54" spans="24:31" x14ac:dyDescent="0.3">
      <c r="AD54" s="41"/>
    </row>
  </sheetData>
  <mergeCells count="19">
    <mergeCell ref="AH1:AH3"/>
    <mergeCell ref="F2:F3"/>
    <mergeCell ref="J2:J3"/>
    <mergeCell ref="L2:L3"/>
    <mergeCell ref="N2:O2"/>
    <mergeCell ref="P2:Q2"/>
    <mergeCell ref="U2:X2"/>
    <mergeCell ref="Y2:Y3"/>
    <mergeCell ref="N1:Y1"/>
    <mergeCell ref="Z2:Z3"/>
    <mergeCell ref="AE2:AE3"/>
    <mergeCell ref="AF2:AF3"/>
    <mergeCell ref="AG2:AG3"/>
    <mergeCell ref="AC2:AD2"/>
    <mergeCell ref="A1:A4"/>
    <mergeCell ref="B1:B4"/>
    <mergeCell ref="C1:C4"/>
    <mergeCell ref="D1:D3"/>
    <mergeCell ref="E1:E3"/>
  </mergeCells>
  <phoneticPr fontId="2" type="noConversion"/>
  <conditionalFormatting sqref="AA1:AA3 AA5:AA1048576">
    <cfRule type="cellIs" dxfId="1" priority="3" operator="lessThan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5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94"/>
  <sheetViews>
    <sheetView workbookViewId="0"/>
  </sheetViews>
  <sheetFormatPr defaultRowHeight="17.25" x14ac:dyDescent="0.3"/>
  <cols>
    <col min="1" max="1" width="2.25" customWidth="1"/>
    <col min="2" max="2" width="6" style="14" customWidth="1"/>
    <col min="3" max="3" width="7" customWidth="1"/>
    <col min="4" max="4" width="6.75" customWidth="1"/>
    <col min="5" max="5" width="9" style="3"/>
    <col min="7" max="7" width="14.125" style="3" customWidth="1"/>
    <col min="8" max="8" width="17.5" style="4" customWidth="1"/>
    <col min="9" max="9" width="4" style="3" customWidth="1"/>
    <col min="10" max="10" width="3.125" style="3" customWidth="1"/>
  </cols>
  <sheetData>
    <row r="2" spans="1:10" x14ac:dyDescent="0.3">
      <c r="C2" s="3"/>
      <c r="D2" s="3"/>
      <c r="F2" s="3"/>
      <c r="H2" s="3"/>
    </row>
    <row r="3" spans="1:10" x14ac:dyDescent="0.3">
      <c r="A3" s="3"/>
      <c r="B3" s="15"/>
      <c r="C3" s="3"/>
      <c r="D3" s="3"/>
      <c r="F3" s="3"/>
      <c r="H3" s="3"/>
    </row>
    <row r="4" spans="1:10" x14ac:dyDescent="0.3">
      <c r="A4" s="3"/>
      <c r="B4" s="15"/>
      <c r="C4" s="3"/>
      <c r="D4" s="3"/>
      <c r="F4" s="3"/>
      <c r="H4" s="3"/>
    </row>
    <row r="5" spans="1:10" ht="16.5" x14ac:dyDescent="0.3">
      <c r="A5" s="111" t="s">
        <v>156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ht="16.5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ht="16.5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9" spans="1:10" ht="16.5" customHeight="1" x14ac:dyDescent="0.3">
      <c r="A9" s="115" t="s">
        <v>159</v>
      </c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x14ac:dyDescent="0.3">
      <c r="A12" s="3"/>
      <c r="B12" s="15"/>
      <c r="C12" s="3"/>
      <c r="D12" s="3"/>
      <c r="F12" s="3"/>
      <c r="H12" s="3"/>
    </row>
    <row r="25" spans="1:10" ht="19.5" x14ac:dyDescent="0.3">
      <c r="A25" s="113">
        <v>45931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39" spans="1:10" ht="16.5" x14ac:dyDescent="0.3">
      <c r="A39" s="111" t="s">
        <v>22</v>
      </c>
      <c r="B39" s="111"/>
      <c r="C39" s="111"/>
      <c r="D39" s="111"/>
      <c r="E39" s="111"/>
      <c r="F39" s="111"/>
      <c r="G39" s="111"/>
      <c r="H39" s="111"/>
      <c r="I39" s="111"/>
      <c r="J39" s="111"/>
    </row>
    <row r="40" spans="1:10" ht="16.5" x14ac:dyDescent="0.3">
      <c r="A40" s="111"/>
      <c r="B40" s="111"/>
      <c r="C40" s="111"/>
      <c r="D40" s="111"/>
      <c r="E40" s="111"/>
      <c r="F40" s="111"/>
      <c r="G40" s="111"/>
      <c r="H40" s="111"/>
      <c r="I40" s="111"/>
      <c r="J40" s="111"/>
    </row>
    <row r="41" spans="1:10" ht="16.5" x14ac:dyDescent="0.3">
      <c r="A41" s="111"/>
      <c r="B41" s="111"/>
      <c r="C41" s="111"/>
      <c r="D41" s="111"/>
      <c r="E41" s="111"/>
      <c r="F41" s="111"/>
      <c r="G41" s="111"/>
      <c r="H41" s="111"/>
      <c r="I41" s="111"/>
      <c r="J41" s="111"/>
    </row>
    <row r="43" spans="1:10" ht="27" customHeight="1" x14ac:dyDescent="0.3">
      <c r="A43" s="112" t="s">
        <v>55</v>
      </c>
      <c r="B43" s="112"/>
      <c r="C43" s="112"/>
      <c r="D43" s="112"/>
      <c r="E43" s="112"/>
      <c r="F43" s="112"/>
      <c r="G43" s="112"/>
      <c r="H43" s="112"/>
      <c r="I43" s="112"/>
      <c r="J43" s="112"/>
    </row>
    <row r="44" spans="1:10" s="14" customFormat="1" ht="39.75" customHeight="1" thickBot="1" x14ac:dyDescent="0.35">
      <c r="A44" s="18"/>
      <c r="B44" s="17" t="s">
        <v>21</v>
      </c>
      <c r="C44" s="17"/>
      <c r="D44" s="17"/>
      <c r="E44" s="17"/>
      <c r="F44" s="18"/>
      <c r="G44" s="17"/>
      <c r="H44" s="19">
        <v>43</v>
      </c>
      <c r="I44" s="20" t="s">
        <v>20</v>
      </c>
      <c r="J44" s="20"/>
    </row>
    <row r="45" spans="1:10" s="14" customFormat="1" ht="27.75" customHeight="1" x14ac:dyDescent="0.3">
      <c r="B45" s="15"/>
      <c r="C45" s="15"/>
      <c r="D45" s="26" t="s">
        <v>20</v>
      </c>
      <c r="E45" s="26"/>
      <c r="F45" s="14" t="s">
        <v>54</v>
      </c>
      <c r="G45" s="15"/>
      <c r="H45" s="27" t="s">
        <v>48</v>
      </c>
      <c r="I45" s="25"/>
      <c r="J45" s="25"/>
    </row>
    <row r="46" spans="1:10" s="14" customFormat="1" ht="27.75" customHeight="1" x14ac:dyDescent="0.3">
      <c r="B46" s="15"/>
      <c r="C46" s="15"/>
      <c r="D46" s="23">
        <v>303</v>
      </c>
      <c r="E46" s="10" t="s">
        <v>20</v>
      </c>
      <c r="F46" s="14" t="s">
        <v>98</v>
      </c>
      <c r="G46" s="15"/>
      <c r="H46" s="24">
        <v>460000</v>
      </c>
      <c r="I46" s="10" t="s">
        <v>11</v>
      </c>
      <c r="J46" s="10"/>
    </row>
    <row r="47" spans="1:10" s="14" customFormat="1" ht="27.75" customHeight="1" x14ac:dyDescent="0.3">
      <c r="B47" s="15"/>
      <c r="C47" s="15"/>
      <c r="D47" s="23">
        <v>305</v>
      </c>
      <c r="E47" s="10" t="s">
        <v>20</v>
      </c>
      <c r="F47" s="14" t="s">
        <v>99</v>
      </c>
      <c r="G47" s="15"/>
      <c r="H47" s="24">
        <v>460000</v>
      </c>
      <c r="I47" s="10" t="s">
        <v>11</v>
      </c>
      <c r="J47" s="10"/>
    </row>
    <row r="48" spans="1:10" s="14" customFormat="1" ht="27.75" customHeight="1" x14ac:dyDescent="0.3">
      <c r="B48" s="15"/>
      <c r="C48" s="15"/>
      <c r="D48" s="23">
        <v>307</v>
      </c>
      <c r="E48" s="10" t="s">
        <v>20</v>
      </c>
      <c r="F48" s="14" t="s">
        <v>100</v>
      </c>
      <c r="G48" s="15"/>
      <c r="H48" s="24">
        <v>460000</v>
      </c>
      <c r="I48" s="10" t="s">
        <v>11</v>
      </c>
      <c r="J48" s="10"/>
    </row>
    <row r="49" spans="2:10" s="14" customFormat="1" ht="27.75" customHeight="1" x14ac:dyDescent="0.3">
      <c r="B49" s="15"/>
      <c r="C49" s="15"/>
      <c r="D49" s="23">
        <v>308</v>
      </c>
      <c r="E49" s="10" t="s">
        <v>20</v>
      </c>
      <c r="F49" s="14" t="s">
        <v>101</v>
      </c>
      <c r="G49" s="15"/>
      <c r="H49" s="24">
        <v>460000</v>
      </c>
      <c r="I49" s="10" t="s">
        <v>11</v>
      </c>
      <c r="J49" s="10"/>
    </row>
    <row r="50" spans="2:10" s="14" customFormat="1" ht="27.75" customHeight="1" x14ac:dyDescent="0.3">
      <c r="B50" s="15"/>
      <c r="C50" s="15"/>
      <c r="D50" s="23">
        <v>309</v>
      </c>
      <c r="E50" s="10" t="s">
        <v>20</v>
      </c>
      <c r="F50" s="14" t="s">
        <v>102</v>
      </c>
      <c r="G50" s="15"/>
      <c r="H50" s="24">
        <v>460000</v>
      </c>
      <c r="I50" s="10" t="s">
        <v>11</v>
      </c>
      <c r="J50" s="10"/>
    </row>
    <row r="51" spans="2:10" s="14" customFormat="1" ht="27.75" customHeight="1" x14ac:dyDescent="0.3">
      <c r="B51" s="15"/>
      <c r="C51" s="15"/>
      <c r="D51" s="23">
        <v>401</v>
      </c>
      <c r="E51" s="10" t="s">
        <v>20</v>
      </c>
      <c r="F51" s="14" t="s">
        <v>103</v>
      </c>
      <c r="G51" s="15"/>
      <c r="H51" s="24">
        <v>470000</v>
      </c>
      <c r="I51" s="10" t="s">
        <v>11</v>
      </c>
      <c r="J51" s="10"/>
    </row>
    <row r="52" spans="2:10" s="14" customFormat="1" ht="27.75" customHeight="1" x14ac:dyDescent="0.3">
      <c r="B52" s="15"/>
      <c r="C52" s="15"/>
      <c r="D52" s="23">
        <v>404</v>
      </c>
      <c r="E52" s="10" t="s">
        <v>142</v>
      </c>
      <c r="F52" s="14" t="s">
        <v>143</v>
      </c>
      <c r="G52" s="15"/>
      <c r="H52" s="24">
        <v>460000</v>
      </c>
      <c r="I52" s="10" t="s">
        <v>11</v>
      </c>
      <c r="J52" s="10"/>
    </row>
    <row r="53" spans="2:10" s="14" customFormat="1" ht="27.75" customHeight="1" x14ac:dyDescent="0.3">
      <c r="B53" s="15"/>
      <c r="C53" s="15"/>
      <c r="D53" s="23">
        <v>406</v>
      </c>
      <c r="E53" s="10" t="s">
        <v>20</v>
      </c>
      <c r="F53" s="14" t="s">
        <v>104</v>
      </c>
      <c r="G53" s="15"/>
      <c r="H53" s="24">
        <v>460000</v>
      </c>
      <c r="I53" s="10" t="s">
        <v>11</v>
      </c>
      <c r="J53" s="10"/>
    </row>
    <row r="54" spans="2:10" s="14" customFormat="1" ht="27.75" customHeight="1" x14ac:dyDescent="0.3">
      <c r="B54" s="15"/>
      <c r="C54" s="15"/>
      <c r="D54" s="23">
        <v>409</v>
      </c>
      <c r="E54" s="10" t="s">
        <v>20</v>
      </c>
      <c r="F54" s="14" t="s">
        <v>105</v>
      </c>
      <c r="G54" s="15"/>
      <c r="H54" s="24">
        <v>460000</v>
      </c>
      <c r="I54" s="10" t="s">
        <v>11</v>
      </c>
      <c r="J54" s="10"/>
    </row>
    <row r="55" spans="2:10" s="14" customFormat="1" ht="27.75" customHeight="1" x14ac:dyDescent="0.3">
      <c r="B55" s="15"/>
      <c r="C55" s="15"/>
      <c r="D55" s="23">
        <v>501</v>
      </c>
      <c r="E55" s="10" t="s">
        <v>20</v>
      </c>
      <c r="F55" s="14" t="s">
        <v>106</v>
      </c>
      <c r="G55" s="15"/>
      <c r="H55" s="24">
        <v>470000</v>
      </c>
      <c r="I55" s="10" t="s">
        <v>11</v>
      </c>
      <c r="J55" s="10"/>
    </row>
    <row r="56" spans="2:10" s="14" customFormat="1" ht="27.75" customHeight="1" x14ac:dyDescent="0.3">
      <c r="B56" s="15"/>
      <c r="C56" s="15"/>
      <c r="D56" s="23">
        <v>506</v>
      </c>
      <c r="E56" s="10" t="s">
        <v>20</v>
      </c>
      <c r="F56" s="14" t="s">
        <v>107</v>
      </c>
      <c r="G56" s="15"/>
      <c r="H56" s="24">
        <v>470000</v>
      </c>
      <c r="I56" s="10" t="s">
        <v>11</v>
      </c>
      <c r="J56" s="10"/>
    </row>
    <row r="57" spans="2:10" s="14" customFormat="1" ht="27.75" customHeight="1" x14ac:dyDescent="0.3">
      <c r="B57" s="15"/>
      <c r="C57" s="15"/>
      <c r="D57" s="23">
        <v>609</v>
      </c>
      <c r="E57" s="10" t="s">
        <v>20</v>
      </c>
      <c r="F57" s="14" t="s">
        <v>108</v>
      </c>
      <c r="G57" s="15"/>
      <c r="H57" s="24">
        <v>470000</v>
      </c>
      <c r="I57" s="10" t="s">
        <v>11</v>
      </c>
      <c r="J57" s="10"/>
    </row>
    <row r="58" spans="2:10" s="14" customFormat="1" ht="27.75" customHeight="1" x14ac:dyDescent="0.3">
      <c r="B58" s="15"/>
      <c r="C58" s="15"/>
      <c r="D58" s="23">
        <v>615</v>
      </c>
      <c r="E58" s="10" t="s">
        <v>20</v>
      </c>
      <c r="F58" s="14" t="s">
        <v>109</v>
      </c>
      <c r="G58" s="15"/>
      <c r="H58" s="24">
        <v>470000</v>
      </c>
      <c r="I58" s="10" t="s">
        <v>11</v>
      </c>
      <c r="J58" s="10"/>
    </row>
    <row r="59" spans="2:10" s="14" customFormat="1" ht="27.75" customHeight="1" x14ac:dyDescent="0.3">
      <c r="B59" s="15"/>
      <c r="C59" s="15"/>
      <c r="D59" s="23">
        <v>701</v>
      </c>
      <c r="E59" s="10" t="s">
        <v>20</v>
      </c>
      <c r="F59" s="14" t="s">
        <v>110</v>
      </c>
      <c r="G59" s="15"/>
      <c r="H59" s="24">
        <v>480000</v>
      </c>
      <c r="I59" s="10" t="s">
        <v>11</v>
      </c>
      <c r="J59" s="10"/>
    </row>
    <row r="60" spans="2:10" s="14" customFormat="1" ht="27.75" customHeight="1" x14ac:dyDescent="0.3">
      <c r="B60" s="15"/>
      <c r="C60" s="15"/>
      <c r="D60" s="23">
        <v>702</v>
      </c>
      <c r="E60" s="10" t="s">
        <v>20</v>
      </c>
      <c r="F60" s="14" t="s">
        <v>111</v>
      </c>
      <c r="G60" s="15"/>
      <c r="H60" s="24">
        <v>470000</v>
      </c>
      <c r="I60" s="10" t="s">
        <v>11</v>
      </c>
      <c r="J60" s="10"/>
    </row>
    <row r="61" spans="2:10" s="14" customFormat="1" ht="27.75" customHeight="1" x14ac:dyDescent="0.3">
      <c r="B61" s="15"/>
      <c r="C61" s="15"/>
      <c r="D61" s="23">
        <v>705</v>
      </c>
      <c r="E61" s="10" t="s">
        <v>20</v>
      </c>
      <c r="F61" s="14" t="s">
        <v>112</v>
      </c>
      <c r="G61" s="15"/>
      <c r="H61" s="24">
        <v>480000</v>
      </c>
      <c r="I61" s="10" t="s">
        <v>11</v>
      </c>
      <c r="J61" s="10"/>
    </row>
    <row r="62" spans="2:10" s="14" customFormat="1" ht="27.75" customHeight="1" x14ac:dyDescent="0.3">
      <c r="B62" s="15"/>
      <c r="C62" s="15"/>
      <c r="D62" s="23">
        <v>709</v>
      </c>
      <c r="E62" s="10" t="s">
        <v>20</v>
      </c>
      <c r="F62" s="14" t="s">
        <v>113</v>
      </c>
      <c r="G62" s="15"/>
      <c r="H62" s="24">
        <v>480000</v>
      </c>
      <c r="I62" s="10" t="s">
        <v>11</v>
      </c>
      <c r="J62" s="10"/>
    </row>
    <row r="63" spans="2:10" s="14" customFormat="1" ht="27.75" customHeight="1" x14ac:dyDescent="0.3">
      <c r="B63" s="15"/>
      <c r="C63" s="15"/>
      <c r="D63" s="23">
        <v>713</v>
      </c>
      <c r="E63" s="10" t="s">
        <v>20</v>
      </c>
      <c r="F63" s="14" t="s">
        <v>114</v>
      </c>
      <c r="G63" s="15"/>
      <c r="H63" s="24">
        <v>470000</v>
      </c>
      <c r="I63" s="10" t="s">
        <v>11</v>
      </c>
      <c r="J63" s="10"/>
    </row>
    <row r="64" spans="2:10" s="14" customFormat="1" ht="27.75" customHeight="1" x14ac:dyDescent="0.3">
      <c r="B64" s="15"/>
      <c r="C64" s="15"/>
      <c r="D64" s="23">
        <v>715</v>
      </c>
      <c r="E64" s="10" t="s">
        <v>20</v>
      </c>
      <c r="F64" s="14" t="s">
        <v>115</v>
      </c>
      <c r="G64" s="15"/>
      <c r="H64" s="24">
        <v>470000</v>
      </c>
      <c r="I64" s="10" t="s">
        <v>11</v>
      </c>
      <c r="J64" s="10"/>
    </row>
    <row r="65" spans="2:10" s="14" customFormat="1" ht="27.75" customHeight="1" x14ac:dyDescent="0.3">
      <c r="B65" s="15"/>
      <c r="C65" s="15"/>
      <c r="D65" s="23">
        <v>805</v>
      </c>
      <c r="E65" s="10" t="s">
        <v>20</v>
      </c>
      <c r="F65" s="14" t="s">
        <v>116</v>
      </c>
      <c r="G65" s="15"/>
      <c r="H65" s="24">
        <v>480000</v>
      </c>
      <c r="I65" s="10" t="s">
        <v>11</v>
      </c>
      <c r="J65" s="10"/>
    </row>
    <row r="66" spans="2:10" s="14" customFormat="1" ht="27.75" customHeight="1" x14ac:dyDescent="0.3">
      <c r="B66" s="15"/>
      <c r="C66" s="15"/>
      <c r="D66" s="23">
        <v>809</v>
      </c>
      <c r="E66" s="10" t="s">
        <v>20</v>
      </c>
      <c r="F66" s="14" t="s">
        <v>110</v>
      </c>
      <c r="G66" s="15"/>
      <c r="H66" s="24">
        <v>480000</v>
      </c>
      <c r="I66" s="10" t="s">
        <v>11</v>
      </c>
      <c r="J66" s="10"/>
    </row>
    <row r="67" spans="2:10" s="14" customFormat="1" ht="27.75" customHeight="1" x14ac:dyDescent="0.3">
      <c r="B67" s="15"/>
      <c r="C67" s="15"/>
      <c r="D67" s="23">
        <v>811</v>
      </c>
      <c r="E67" s="10" t="s">
        <v>20</v>
      </c>
      <c r="F67" s="14" t="s">
        <v>117</v>
      </c>
      <c r="G67" s="15"/>
      <c r="H67" s="24">
        <v>470000</v>
      </c>
      <c r="I67" s="10" t="s">
        <v>11</v>
      </c>
      <c r="J67" s="10"/>
    </row>
    <row r="68" spans="2:10" s="14" customFormat="1" ht="27.75" customHeight="1" x14ac:dyDescent="0.3">
      <c r="B68" s="15"/>
      <c r="C68" s="15"/>
      <c r="D68" s="23">
        <v>902</v>
      </c>
      <c r="E68" s="10" t="s">
        <v>20</v>
      </c>
      <c r="F68" s="14" t="s">
        <v>118</v>
      </c>
      <c r="G68" s="15"/>
      <c r="H68" s="24">
        <v>480000</v>
      </c>
      <c r="I68" s="10" t="s">
        <v>11</v>
      </c>
      <c r="J68" s="10"/>
    </row>
    <row r="69" spans="2:10" s="14" customFormat="1" ht="27.75" customHeight="1" x14ac:dyDescent="0.3">
      <c r="B69" s="15"/>
      <c r="C69" s="15"/>
      <c r="D69" s="23">
        <v>906</v>
      </c>
      <c r="E69" s="10" t="s">
        <v>20</v>
      </c>
      <c r="F69" s="14" t="s">
        <v>119</v>
      </c>
      <c r="G69" s="15"/>
      <c r="H69" s="24">
        <v>480000</v>
      </c>
      <c r="I69" s="10" t="s">
        <v>11</v>
      </c>
      <c r="J69" s="10"/>
    </row>
    <row r="70" spans="2:10" s="14" customFormat="1" ht="27.75" customHeight="1" x14ac:dyDescent="0.3">
      <c r="B70" s="15"/>
      <c r="C70" s="15"/>
      <c r="D70" s="23">
        <v>907</v>
      </c>
      <c r="E70" s="10" t="s">
        <v>20</v>
      </c>
      <c r="F70" s="14" t="s">
        <v>120</v>
      </c>
      <c r="G70" s="15"/>
      <c r="H70" s="24">
        <v>480000</v>
      </c>
      <c r="I70" s="10" t="s">
        <v>11</v>
      </c>
      <c r="J70" s="10"/>
    </row>
    <row r="71" spans="2:10" s="14" customFormat="1" ht="27.75" customHeight="1" x14ac:dyDescent="0.3">
      <c r="B71" s="15"/>
      <c r="C71" s="15"/>
      <c r="D71" s="23">
        <v>911</v>
      </c>
      <c r="E71" s="10" t="s">
        <v>20</v>
      </c>
      <c r="F71" s="14" t="s">
        <v>121</v>
      </c>
      <c r="G71" s="15"/>
      <c r="H71" s="24">
        <v>470000</v>
      </c>
      <c r="I71" s="10" t="s">
        <v>11</v>
      </c>
      <c r="J71" s="10"/>
    </row>
    <row r="72" spans="2:10" s="14" customFormat="1" ht="27.75" customHeight="1" x14ac:dyDescent="0.3">
      <c r="B72" s="15"/>
      <c r="C72" s="15"/>
      <c r="D72" s="23">
        <v>1004</v>
      </c>
      <c r="E72" s="10" t="s">
        <v>20</v>
      </c>
      <c r="F72" s="14" t="s">
        <v>122</v>
      </c>
      <c r="G72" s="15"/>
      <c r="H72" s="24">
        <v>480000</v>
      </c>
      <c r="I72" s="10" t="s">
        <v>11</v>
      </c>
      <c r="J72" s="10"/>
    </row>
    <row r="73" spans="2:10" s="14" customFormat="1" ht="27.75" customHeight="1" x14ac:dyDescent="0.3">
      <c r="B73" s="15"/>
      <c r="C73" s="15"/>
      <c r="D73" s="23">
        <v>1006</v>
      </c>
      <c r="E73" s="10" t="s">
        <v>20</v>
      </c>
      <c r="F73" s="14" t="s">
        <v>144</v>
      </c>
      <c r="G73" s="15"/>
      <c r="H73" s="24">
        <v>480000</v>
      </c>
      <c r="I73" s="10" t="s">
        <v>145</v>
      </c>
      <c r="J73" s="10"/>
    </row>
    <row r="74" spans="2:10" s="14" customFormat="1" ht="27.75" customHeight="1" x14ac:dyDescent="0.3">
      <c r="B74" s="15"/>
      <c r="C74" s="15"/>
      <c r="D74" s="23">
        <v>1011</v>
      </c>
      <c r="E74" s="10" t="s">
        <v>20</v>
      </c>
      <c r="F74" s="14" t="s">
        <v>123</v>
      </c>
      <c r="G74" s="15"/>
      <c r="H74" s="24">
        <v>470000</v>
      </c>
      <c r="I74" s="10" t="s">
        <v>11</v>
      </c>
      <c r="J74" s="10"/>
    </row>
    <row r="75" spans="2:10" s="14" customFormat="1" ht="27.75" customHeight="1" x14ac:dyDescent="0.3">
      <c r="B75" s="15"/>
      <c r="C75" s="15"/>
      <c r="D75" s="23">
        <v>1105</v>
      </c>
      <c r="E75" s="10" t="s">
        <v>20</v>
      </c>
      <c r="F75" s="14" t="s">
        <v>124</v>
      </c>
      <c r="G75" s="15"/>
      <c r="H75" s="24">
        <v>480000</v>
      </c>
      <c r="I75" s="10" t="s">
        <v>11</v>
      </c>
      <c r="J75" s="10"/>
    </row>
    <row r="76" spans="2:10" s="14" customFormat="1" ht="27.75" customHeight="1" x14ac:dyDescent="0.3">
      <c r="B76" s="15"/>
      <c r="C76" s="15"/>
      <c r="D76" s="23">
        <v>1107</v>
      </c>
      <c r="E76" s="10" t="s">
        <v>20</v>
      </c>
      <c r="F76" s="14" t="s">
        <v>125</v>
      </c>
      <c r="G76" s="15"/>
      <c r="H76" s="24">
        <v>480000</v>
      </c>
      <c r="I76" s="10" t="s">
        <v>11</v>
      </c>
      <c r="J76" s="10"/>
    </row>
    <row r="77" spans="2:10" s="14" customFormat="1" ht="27.75" customHeight="1" x14ac:dyDescent="0.3">
      <c r="B77" s="15"/>
      <c r="C77" s="15"/>
      <c r="D77" s="23">
        <v>1110</v>
      </c>
      <c r="E77" s="10" t="s">
        <v>20</v>
      </c>
      <c r="F77" s="14" t="s">
        <v>126</v>
      </c>
      <c r="G77" s="15"/>
      <c r="H77" s="24">
        <v>480000</v>
      </c>
      <c r="I77" s="10" t="s">
        <v>11</v>
      </c>
      <c r="J77" s="10"/>
    </row>
    <row r="78" spans="2:10" s="14" customFormat="1" ht="27.75" customHeight="1" x14ac:dyDescent="0.3">
      <c r="B78" s="15"/>
      <c r="C78" s="15"/>
      <c r="D78" s="23">
        <v>1111</v>
      </c>
      <c r="E78" s="10" t="s">
        <v>20</v>
      </c>
      <c r="F78" s="14" t="s">
        <v>127</v>
      </c>
      <c r="G78" s="15"/>
      <c r="H78" s="24">
        <v>470000</v>
      </c>
      <c r="I78" s="10" t="s">
        <v>11</v>
      </c>
      <c r="J78" s="10"/>
    </row>
    <row r="79" spans="2:10" s="10" customFormat="1" ht="27.75" customHeight="1" x14ac:dyDescent="0.3">
      <c r="B79" s="14"/>
      <c r="D79" s="23">
        <v>1112</v>
      </c>
      <c r="E79" s="10" t="s">
        <v>20</v>
      </c>
      <c r="F79" s="14" t="s">
        <v>128</v>
      </c>
      <c r="H79" s="16">
        <v>480000</v>
      </c>
      <c r="I79" s="10" t="s">
        <v>11</v>
      </c>
    </row>
    <row r="80" spans="2:10" s="10" customFormat="1" ht="27.75" customHeight="1" x14ac:dyDescent="0.3">
      <c r="B80" s="14"/>
      <c r="D80" s="23">
        <v>1114</v>
      </c>
      <c r="E80" s="10" t="s">
        <v>20</v>
      </c>
      <c r="F80" s="14" t="s">
        <v>129</v>
      </c>
      <c r="H80" s="24">
        <v>480000</v>
      </c>
      <c r="I80" s="10" t="s">
        <v>11</v>
      </c>
    </row>
    <row r="81" spans="1:10" s="10" customFormat="1" ht="27.75" customHeight="1" x14ac:dyDescent="0.3">
      <c r="B81" s="14"/>
      <c r="D81" s="23">
        <v>1115</v>
      </c>
      <c r="E81" s="10" t="s">
        <v>20</v>
      </c>
      <c r="F81" s="14" t="s">
        <v>130</v>
      </c>
      <c r="H81" s="16">
        <v>480000</v>
      </c>
      <c r="I81" s="10" t="s">
        <v>11</v>
      </c>
    </row>
    <row r="82" spans="1:10" s="10" customFormat="1" ht="27.75" customHeight="1" x14ac:dyDescent="0.3">
      <c r="B82" s="14"/>
      <c r="D82" s="23">
        <v>1116</v>
      </c>
      <c r="E82" s="10" t="s">
        <v>20</v>
      </c>
      <c r="F82" s="14" t="s">
        <v>131</v>
      </c>
      <c r="H82" s="16">
        <v>480000</v>
      </c>
      <c r="I82" s="10" t="s">
        <v>11</v>
      </c>
    </row>
    <row r="83" spans="1:10" s="10" customFormat="1" ht="27.75" customHeight="1" x14ac:dyDescent="0.3">
      <c r="B83" s="14"/>
      <c r="D83" s="23">
        <v>1206</v>
      </c>
      <c r="E83" s="10" t="s">
        <v>20</v>
      </c>
      <c r="F83" s="14" t="s">
        <v>132</v>
      </c>
      <c r="H83" s="16">
        <v>480000</v>
      </c>
      <c r="I83" s="10" t="s">
        <v>11</v>
      </c>
    </row>
    <row r="84" spans="1:10" s="10" customFormat="1" ht="27.75" customHeight="1" x14ac:dyDescent="0.3">
      <c r="B84" s="14"/>
      <c r="D84" s="23">
        <v>1208</v>
      </c>
      <c r="E84" s="10" t="s">
        <v>142</v>
      </c>
      <c r="F84" s="14" t="s">
        <v>146</v>
      </c>
      <c r="H84" s="16">
        <v>480000</v>
      </c>
      <c r="I84" s="10" t="s">
        <v>145</v>
      </c>
    </row>
    <row r="85" spans="1:10" s="10" customFormat="1" ht="27.75" customHeight="1" x14ac:dyDescent="0.3">
      <c r="B85" s="14"/>
      <c r="D85" s="23">
        <v>1210</v>
      </c>
      <c r="E85" s="10" t="s">
        <v>20</v>
      </c>
      <c r="F85" s="14" t="s">
        <v>133</v>
      </c>
      <c r="H85" s="16">
        <v>480000</v>
      </c>
      <c r="I85" s="10" t="s">
        <v>11</v>
      </c>
    </row>
    <row r="86" spans="1:10" s="10" customFormat="1" ht="27.75" customHeight="1" x14ac:dyDescent="0.3">
      <c r="B86" s="14"/>
      <c r="D86" s="23">
        <v>1214</v>
      </c>
      <c r="E86" s="10" t="s">
        <v>20</v>
      </c>
      <c r="F86" s="14" t="s">
        <v>134</v>
      </c>
      <c r="H86" s="16">
        <v>480000</v>
      </c>
      <c r="I86" s="10" t="s">
        <v>11</v>
      </c>
    </row>
    <row r="87" spans="1:10" s="10" customFormat="1" ht="27.75" customHeight="1" x14ac:dyDescent="0.3">
      <c r="B87" s="14"/>
      <c r="D87" s="23">
        <v>1215</v>
      </c>
      <c r="E87" s="10" t="s">
        <v>20</v>
      </c>
      <c r="F87" s="14" t="s">
        <v>135</v>
      </c>
      <c r="H87" s="16">
        <v>480000</v>
      </c>
      <c r="I87" s="10" t="s">
        <v>11</v>
      </c>
    </row>
    <row r="88" spans="1:10" s="10" customFormat="1" ht="27.75" customHeight="1" x14ac:dyDescent="0.3">
      <c r="B88" s="14"/>
      <c r="D88" s="23">
        <v>1216</v>
      </c>
      <c r="E88" s="10" t="s">
        <v>20</v>
      </c>
      <c r="F88" s="14" t="s">
        <v>122</v>
      </c>
      <c r="H88" s="16">
        <v>480000</v>
      </c>
      <c r="I88" s="10" t="s">
        <v>11</v>
      </c>
    </row>
    <row r="89" spans="1:10" s="10" customFormat="1" ht="30.75" customHeight="1" x14ac:dyDescent="0.3">
      <c r="B89" s="14"/>
      <c r="H89" s="4"/>
      <c r="I89" s="10" t="s">
        <v>11</v>
      </c>
    </row>
    <row r="90" spans="1:10" s="10" customFormat="1" ht="30.75" hidden="1" customHeight="1" x14ac:dyDescent="0.3">
      <c r="B90" s="14"/>
      <c r="H90" s="4"/>
      <c r="I90" s="10" t="s">
        <v>11</v>
      </c>
    </row>
    <row r="91" spans="1:10" s="10" customFormat="1" ht="30.75" hidden="1" customHeight="1" x14ac:dyDescent="0.3">
      <c r="B91" s="14"/>
      <c r="H91" s="4"/>
      <c r="I91" s="10" t="s">
        <v>11</v>
      </c>
    </row>
    <row r="92" spans="1:10" ht="30.75" customHeight="1" x14ac:dyDescent="0.3">
      <c r="C92" s="6" t="s">
        <v>8</v>
      </c>
      <c r="D92" s="29">
        <f>COUNT(D46:D91)</f>
        <v>43</v>
      </c>
      <c r="E92" s="6" t="s">
        <v>20</v>
      </c>
      <c r="F92" s="2"/>
      <c r="G92" s="6"/>
      <c r="H92" s="28">
        <f>SUM(H46:H91)</f>
        <v>20360000</v>
      </c>
      <c r="I92" s="6" t="s">
        <v>11</v>
      </c>
    </row>
    <row r="93" spans="1:10" s="14" customFormat="1" ht="33.6" customHeight="1" thickBot="1" x14ac:dyDescent="0.35">
      <c r="A93" s="18"/>
      <c r="B93" s="17" t="s">
        <v>23</v>
      </c>
      <c r="C93" s="18"/>
      <c r="D93" s="18"/>
      <c r="E93" s="17"/>
      <c r="F93" s="18"/>
      <c r="G93" s="17"/>
      <c r="H93" s="19"/>
      <c r="I93" s="17"/>
      <c r="J93" s="17"/>
    </row>
    <row r="94" spans="1:10" ht="35.450000000000003" customHeight="1" x14ac:dyDescent="0.3">
      <c r="C94" s="15" t="s">
        <v>16</v>
      </c>
      <c r="D94" s="14"/>
      <c r="E94" s="15"/>
      <c r="F94" s="14"/>
      <c r="G94" s="15"/>
      <c r="H94" s="16">
        <f>H92</f>
        <v>20360000</v>
      </c>
      <c r="I94" s="15" t="s">
        <v>11</v>
      </c>
    </row>
  </sheetData>
  <mergeCells count="5">
    <mergeCell ref="A5:J7"/>
    <mergeCell ref="A43:J43"/>
    <mergeCell ref="A25:J25"/>
    <mergeCell ref="A39:J41"/>
    <mergeCell ref="A9:J11"/>
  </mergeCells>
  <phoneticPr fontId="2" type="noConversion"/>
  <conditionalFormatting sqref="H79:H94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8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7A11-E128-4F3D-A46D-E7D778B6070B}">
  <sheetPr>
    <tabColor rgb="FFFFFF00"/>
  </sheetPr>
  <dimension ref="A1:J72"/>
  <sheetViews>
    <sheetView topLeftCell="A39" workbookViewId="0">
      <selection activeCell="G47" sqref="G47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4" spans="1:10" x14ac:dyDescent="0.3">
      <c r="C44" s="3" t="s">
        <v>156</v>
      </c>
    </row>
    <row r="45" spans="1:10" ht="22.5" customHeight="1" x14ac:dyDescent="0.3">
      <c r="D45" s="3"/>
      <c r="F45" s="22" t="s">
        <v>56</v>
      </c>
      <c r="G45" s="30" t="s">
        <v>98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136498320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57</v>
      </c>
      <c r="G48" s="11">
        <v>1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460000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15333.333333333334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460000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460000</v>
      </c>
      <c r="H52" s="6" t="s">
        <v>11</v>
      </c>
    </row>
    <row r="53" spans="2:9" ht="26.45" customHeight="1" x14ac:dyDescent="0.3">
      <c r="C53" s="3" t="s">
        <v>17</v>
      </c>
      <c r="E53" s="3" t="s">
        <v>148</v>
      </c>
      <c r="F53" s="3" t="s">
        <v>149</v>
      </c>
    </row>
    <row r="54" spans="2:9" s="10" customFormat="1" ht="26.45" customHeight="1" x14ac:dyDescent="0.3">
      <c r="C54" s="6" t="s">
        <v>163</v>
      </c>
      <c r="D54" s="13"/>
      <c r="E54" s="13"/>
      <c r="F54" s="13"/>
      <c r="G54" s="9">
        <f>G53</f>
        <v>0</v>
      </c>
      <c r="H54" s="13" t="s">
        <v>11</v>
      </c>
    </row>
    <row r="55" spans="2:9" ht="26.45" customHeight="1" x14ac:dyDescent="0.3">
      <c r="C55" s="3" t="s">
        <v>16</v>
      </c>
      <c r="D55" s="3"/>
      <c r="G55" s="8">
        <f>G54+G52</f>
        <v>460000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455000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455000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413636.36363636359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41363.636363636411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</sheetData>
  <sheetProtection selectLockedCells="1" selectUnlockedCells="1"/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7310-BF12-4188-9994-5AEAA2B645F5}">
  <sheetPr>
    <tabColor rgb="FFFFFF00"/>
  </sheetPr>
  <dimension ref="A1:J73"/>
  <sheetViews>
    <sheetView topLeftCell="A35" workbookViewId="0">
      <selection activeCell="L59" sqref="L59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58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137426880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57</v>
      </c>
      <c r="G48" s="11">
        <v>1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460000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15333.333333333334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460000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460000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460000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455000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455000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413636.36363636359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41363.636363636411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928-DEB2-40DC-B241-6962F0186CED}">
  <sheetPr>
    <tabColor rgb="FFFFFF00"/>
  </sheetPr>
  <dimension ref="A1:J73"/>
  <sheetViews>
    <sheetView topLeftCell="A51" workbookViewId="0">
      <selection activeCell="L63" sqref="L63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59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137426880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57</v>
      </c>
      <c r="G48" s="11">
        <v>1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460000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15333.333333333334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460000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460000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460000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455000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455000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413636.36363636359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41363.636363636411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6F49-F8C7-447C-AE89-286147484CEA}">
  <sheetPr>
    <tabColor rgb="FFFFFF00"/>
  </sheetPr>
  <dimension ref="A1:J73"/>
  <sheetViews>
    <sheetView topLeftCell="A57" workbookViewId="0">
      <selection activeCell="K55" sqref="K55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60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137426880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57</v>
      </c>
      <c r="G48" s="11">
        <v>1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460000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15333.333333333334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460000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460000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460000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455000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455000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413636.36363636359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41363.636363636411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6403-C18E-43B5-8828-68826C2C1A1D}">
  <sheetPr>
    <tabColor rgb="FFFFFF00"/>
  </sheetPr>
  <dimension ref="A1:J73"/>
  <sheetViews>
    <sheetView topLeftCell="A51" workbookViewId="0">
      <selection activeCell="K64" sqref="K64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61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137426880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57</v>
      </c>
      <c r="G48" s="11">
        <v>1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460000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15333.333333333334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460000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460000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460000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455000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455000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413636.36363636359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41363.636363636411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5D22-9161-4B3A-83DF-9999AF63E02E}">
  <sheetPr>
    <tabColor rgb="FF92D050"/>
  </sheetPr>
  <dimension ref="A1:J73"/>
  <sheetViews>
    <sheetView topLeftCell="A49" workbookViewId="0">
      <selection activeCell="G67" sqref="G67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62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141141120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95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8049-6480-4EFB-8830-370CA4347D8E}">
  <sheetPr>
    <tabColor rgb="FFFFFF00"/>
  </sheetPr>
  <dimension ref="A1:J73"/>
  <sheetViews>
    <sheetView topLeftCell="A49" workbookViewId="0">
      <selection activeCell="E67" sqref="E67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9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2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138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140212560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95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460000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15333.333333333334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460000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460000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460000</v>
      </c>
      <c r="H55" s="3" t="s">
        <v>11</v>
      </c>
    </row>
    <row r="56" spans="2:9" ht="26.45" customHeight="1" x14ac:dyDescent="0.3">
      <c r="C56" s="31"/>
    </row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589806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594806</v>
      </c>
      <c r="H61" s="6" t="s">
        <v>11</v>
      </c>
    </row>
    <row r="62" spans="2:9" ht="26.45" customHeight="1" x14ac:dyDescent="0.3">
      <c r="C62" s="3" t="s">
        <v>16</v>
      </c>
      <c r="G62" s="4">
        <f>G61</f>
        <v>594806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39">
        <f>G55-G62</f>
        <v>-134806</v>
      </c>
      <c r="H64" s="3" t="s">
        <v>11</v>
      </c>
    </row>
    <row r="65" spans="1:10" ht="20.25" customHeight="1" x14ac:dyDescent="0.3">
      <c r="C65" s="31" t="s">
        <v>137</v>
      </c>
      <c r="G65" s="34">
        <f>G64</f>
        <v>-134806</v>
      </c>
      <c r="H65" s="31" t="s">
        <v>11</v>
      </c>
    </row>
    <row r="66" spans="1:10" ht="20.25" customHeight="1" x14ac:dyDescent="0.3">
      <c r="C66" s="31" t="s">
        <v>31</v>
      </c>
      <c r="G66" s="34">
        <f>G65/1.1</f>
        <v>-122550.90909090909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4">
        <f>G65-G66</f>
        <v>-12255.090909090912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E47:F47"/>
    <mergeCell ref="A70:J70"/>
    <mergeCell ref="A5:J7"/>
    <mergeCell ref="A8:J8"/>
    <mergeCell ref="A9:J11"/>
    <mergeCell ref="A25:J25"/>
    <mergeCell ref="A38:J38"/>
    <mergeCell ref="C43:H43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8878-42DF-4CD0-AFA0-430350E5F411}">
  <sheetPr>
    <tabColor rgb="FFFFFF00"/>
  </sheetPr>
  <dimension ref="A1:J73"/>
  <sheetViews>
    <sheetView topLeftCell="A49" workbookViewId="0">
      <selection activeCell="F65" sqref="F65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63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140212560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57</v>
      </c>
      <c r="G48" s="11">
        <v>1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460000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15333.333333333334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460000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460000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460000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455000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455000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413636.36363636359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41363.636363636411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EA6E-6AB5-4C65-A961-B8B5222FB6B6}">
  <sheetPr>
    <tabColor rgb="FFFFFF00"/>
  </sheetPr>
  <dimension ref="A1:J73"/>
  <sheetViews>
    <sheetView topLeftCell="A28" workbookViewId="0">
      <selection activeCell="K62" sqref="K6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64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140212560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57</v>
      </c>
      <c r="G48" s="11">
        <v>1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460000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15333.333333333334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460000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460000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460000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455000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455000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413636.36363636359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41363.636363636411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57AB-7A3F-4EFA-94DD-CB0C1B92BF7E}">
  <sheetPr>
    <tabColor rgb="FF92D050"/>
  </sheetPr>
  <dimension ref="A1:J73"/>
  <sheetViews>
    <sheetView topLeftCell="A57" workbookViewId="0">
      <selection activeCell="E63" sqref="E63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65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143926800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D1F9-DC20-4AB7-A3B0-27155A8C9097}">
  <sheetPr>
    <tabColor rgb="FF92D050"/>
  </sheetPr>
  <dimension ref="A1:J73"/>
  <sheetViews>
    <sheetView topLeftCell="A49" workbookViewId="0">
      <selection activeCell="K60" sqref="K60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66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142998240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0484-8B93-4856-A2A2-A59B36610601}">
  <sheetPr>
    <tabColor rgb="FF92D050"/>
  </sheetPr>
  <dimension ref="A1:J73"/>
  <sheetViews>
    <sheetView topLeftCell="A51" workbookViewId="0">
      <selection activeCell="J62" sqref="J6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67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143926800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7D36-BCB6-4E0C-9BF1-31B17BAEC4E8}">
  <sheetPr>
    <tabColor rgb="FF92D050"/>
  </sheetPr>
  <dimension ref="A1:J73"/>
  <sheetViews>
    <sheetView topLeftCell="A51" workbookViewId="0">
      <selection activeCell="J68" sqref="J68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68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142998240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D55A-036C-4500-8DB1-5CB26FF42935}">
  <sheetPr>
    <tabColor rgb="FF00B0F0"/>
  </sheetPr>
  <dimension ref="A1:J73"/>
  <sheetViews>
    <sheetView topLeftCell="A47" workbookViewId="0">
      <selection activeCell="F62" sqref="F6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69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145783920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F39A-5C8B-4400-B373-82F07944C078}">
  <sheetPr>
    <tabColor rgb="FF92D050"/>
  </sheetPr>
  <dimension ref="A1:J73"/>
  <sheetViews>
    <sheetView topLeftCell="A40" workbookViewId="0">
      <selection activeCell="K51" sqref="K51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70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144855360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280F-962C-4EF3-9855-34EC0A28B214}">
  <sheetPr>
    <tabColor rgb="FF00B0F0"/>
  </sheetPr>
  <dimension ref="A1:J73"/>
  <sheetViews>
    <sheetView topLeftCell="A45" workbookViewId="0">
      <selection activeCell="J64" sqref="J64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71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144855360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BFB8-D994-42CC-89FF-6500A9DAE861}">
  <sheetPr>
    <tabColor rgb="FF00B0F0"/>
  </sheetPr>
  <dimension ref="A1:J73"/>
  <sheetViews>
    <sheetView tabSelected="1" topLeftCell="A45" workbookViewId="0">
      <selection activeCell="M58" sqref="M58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72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145783920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8082-812B-4F1F-A8FB-F7257CD536DD}">
  <sheetPr>
    <tabColor rgb="FF92D050"/>
  </sheetPr>
  <dimension ref="A1:J73"/>
  <sheetViews>
    <sheetView topLeftCell="A45" workbookViewId="0">
      <selection activeCell="L58" sqref="L58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73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143926800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4656-EE7B-44C0-8241-6D512CA60472}">
  <sheetPr>
    <tabColor rgb="FF92D050"/>
  </sheetPr>
  <dimension ref="A1:J73"/>
  <sheetViews>
    <sheetView topLeftCell="A49" workbookViewId="0">
      <selection activeCell="L63" sqref="L63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151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143926800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82B5-9ED0-4ADF-B62F-BC956A618733}">
  <sheetPr>
    <tabColor rgb="FF00B0F0"/>
  </sheetPr>
  <dimension ref="A1:J73"/>
  <sheetViews>
    <sheetView topLeftCell="A51" workbookViewId="0">
      <selection activeCell="J62" sqref="J6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74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145783920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E253-1FDF-4B23-9337-8C4874F67F13}">
  <sheetPr>
    <tabColor rgb="FF00B0F0"/>
  </sheetPr>
  <dimension ref="A1:J73"/>
  <sheetViews>
    <sheetView topLeftCell="A49" workbookViewId="0">
      <selection activeCell="K63" sqref="K63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75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9640-6899-42A8-99CD-C0577A7051D6}">
  <sheetPr>
    <tabColor rgb="FF92D050"/>
  </sheetPr>
  <dimension ref="A1:J73"/>
  <sheetViews>
    <sheetView topLeftCell="A38" workbookViewId="0">
      <selection activeCell="G62" sqref="G6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76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143926800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D7C8-3ED2-43EB-B288-1BCD2DE69E02}">
  <sheetPr>
    <tabColor rgb="FF00B0F0"/>
  </sheetPr>
  <dimension ref="A1:J73"/>
  <sheetViews>
    <sheetView topLeftCell="A47" workbookViewId="0">
      <selection activeCell="J64" sqref="J64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9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97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41EC-9054-402D-B814-74A8C3F4C8F4}">
  <sheetPr>
    <tabColor rgb="FF00B0F0"/>
  </sheetPr>
  <dimension ref="A1:J73"/>
  <sheetViews>
    <sheetView topLeftCell="A53" workbookViewId="0">
      <selection activeCell="F61" sqref="F61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77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1329-C32F-4E51-B3DB-24901B906C02}">
  <sheetPr>
    <tabColor rgb="FF00B0F0"/>
  </sheetPr>
  <dimension ref="A1:J73"/>
  <sheetViews>
    <sheetView topLeftCell="A49" workbookViewId="0">
      <selection activeCell="J62" sqref="J6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78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8</v>
      </c>
      <c r="D54" s="37"/>
      <c r="E54" s="37"/>
      <c r="F54" s="37"/>
      <c r="G54" s="38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C334-7EAD-4B28-87A3-74F2177BA1E7}">
  <sheetPr>
    <tabColor rgb="FF92D050"/>
  </sheetPr>
  <dimension ref="A1:J73"/>
  <sheetViews>
    <sheetView topLeftCell="A49" workbookViewId="0">
      <selection activeCell="G62" sqref="G6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79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143926800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8</v>
      </c>
      <c r="D54" s="37"/>
      <c r="E54" s="37"/>
      <c r="F54" s="37"/>
      <c r="G54" s="38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6877-956A-44D9-B76E-EB0FBF3D2414}">
  <sheetPr>
    <tabColor rgb="FF00B0F0"/>
  </sheetPr>
  <dimension ref="A1:J73"/>
  <sheetViews>
    <sheetView topLeftCell="A47" workbookViewId="0">
      <selection activeCell="L60" sqref="L60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80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8</v>
      </c>
      <c r="D54" s="37"/>
      <c r="E54" s="37"/>
      <c r="F54" s="37"/>
      <c r="G54" s="38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4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C1E8-A551-4287-A7A3-0A02CFF302A3}">
  <sheetPr>
    <tabColor rgb="FF00B0F0"/>
  </sheetPr>
  <dimension ref="A1:J73"/>
  <sheetViews>
    <sheetView topLeftCell="A52" workbookViewId="0">
      <selection activeCell="P72" sqref="P7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9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140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>
      <c r="C56" s="31"/>
    </row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4">
        <v>1189516</v>
      </c>
      <c r="H60" s="10" t="s">
        <v>11</v>
      </c>
    </row>
    <row r="61" spans="2:9" ht="26.45" customHeight="1" x14ac:dyDescent="0.3">
      <c r="C61" s="6" t="s">
        <v>8</v>
      </c>
      <c r="D61" s="2" t="s">
        <v>162</v>
      </c>
      <c r="E61" s="6"/>
      <c r="F61" s="6"/>
      <c r="G61" s="9">
        <f>SUM(G58:G60)</f>
        <v>1194516</v>
      </c>
      <c r="H61" s="6" t="s">
        <v>11</v>
      </c>
    </row>
    <row r="62" spans="2:9" ht="26.45" customHeight="1" x14ac:dyDescent="0.3">
      <c r="C62" s="3" t="s">
        <v>16</v>
      </c>
      <c r="G62" s="4">
        <f>G61</f>
        <v>1194516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33">
        <f>G55-G62</f>
        <v>-714516</v>
      </c>
      <c r="H64" s="31" t="s">
        <v>11</v>
      </c>
    </row>
    <row r="65" spans="1:10" ht="20.25" customHeight="1" x14ac:dyDescent="0.3">
      <c r="C65" s="31" t="s">
        <v>137</v>
      </c>
      <c r="G65" s="34">
        <f>G64</f>
        <v>-714516</v>
      </c>
      <c r="H65" s="31" t="s">
        <v>11</v>
      </c>
    </row>
    <row r="66" spans="1:10" ht="20.25" customHeight="1" x14ac:dyDescent="0.3">
      <c r="C66" s="31" t="s">
        <v>31</v>
      </c>
      <c r="G66" s="34">
        <f>G65/1.1</f>
        <v>-649560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4">
        <f>G65-G66</f>
        <v>-64956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E47:F47"/>
    <mergeCell ref="A70:J70"/>
    <mergeCell ref="A5:J7"/>
    <mergeCell ref="A8:J8"/>
    <mergeCell ref="A9:J11"/>
    <mergeCell ref="A25:J25"/>
    <mergeCell ref="A38:J38"/>
    <mergeCell ref="C43:H43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297E-8770-4990-B016-AF146B625488}">
  <sheetPr>
    <tabColor rgb="FF92D050"/>
  </sheetPr>
  <dimension ref="A1:J73"/>
  <sheetViews>
    <sheetView topLeftCell="A53" workbookViewId="0">
      <selection activeCell="M55" sqref="M55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81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144855360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D55" s="3"/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5B39-16CA-4DD5-852E-72D181E71347}">
  <sheetPr>
    <tabColor rgb="FF00B0F0"/>
  </sheetPr>
  <dimension ref="A1:J73"/>
  <sheetViews>
    <sheetView topLeftCell="A49" workbookViewId="0">
      <selection activeCell="L65" sqref="L65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82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158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9355-2130-4110-AB50-0AD3BC4BE583}">
  <sheetPr>
    <tabColor rgb="FF00B0F0"/>
  </sheetPr>
  <dimension ref="A1:J73"/>
  <sheetViews>
    <sheetView topLeftCell="A55" workbookViewId="0">
      <selection activeCell="L73" sqref="L73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83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163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235E-D7D5-469F-A38D-89C5CD2553D9}">
  <sheetPr>
    <tabColor rgb="FF00B0F0"/>
  </sheetPr>
  <dimension ref="A1:J73"/>
  <sheetViews>
    <sheetView topLeftCell="A53" workbookViewId="0">
      <selection activeCell="H55" sqref="H55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84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163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2E1E-5543-46C4-BEED-F3D04D5CCFFC}">
  <sheetPr>
    <tabColor rgb="FF92D050"/>
  </sheetPr>
  <dimension ref="A1:J73"/>
  <sheetViews>
    <sheetView topLeftCell="A40" workbookViewId="0">
      <selection activeCell="G60" sqref="G60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85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144855360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94</v>
      </c>
      <c r="G48" s="11">
        <v>2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470000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15666.666666666666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470000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470000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8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470000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465000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465000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422727.27272727271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42272.727272727294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AA5-D6BA-4D0B-B997-5E149AC6479A}">
  <sheetPr>
    <tabColor rgb="FF00B0F0"/>
  </sheetPr>
  <dimension ref="A1:J73"/>
  <sheetViews>
    <sheetView topLeftCell="A40" workbookViewId="0">
      <selection activeCell="M63" sqref="M63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86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163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E5F1-7AD5-489A-80E5-215760BAB33A}">
  <sheetPr>
    <tabColor rgb="FF00B0F0"/>
  </sheetPr>
  <dimension ref="A1:J73"/>
  <sheetViews>
    <sheetView topLeftCell="A38" workbookViewId="0">
      <selection activeCell="G72" sqref="A71:J7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7.45" customHeight="1" x14ac:dyDescent="0.3"/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87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8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330C-85E6-4888-AC5A-4131DC516313}">
  <sheetPr>
    <tabColor rgb="FF00B0F0"/>
  </sheetPr>
  <dimension ref="A1:J73"/>
  <sheetViews>
    <sheetView topLeftCell="A51" workbookViewId="0">
      <selection activeCell="A71" sqref="A71:J71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88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8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0F6A-5E0E-4A29-B565-6EF6E1BC8594}">
  <sheetPr>
    <tabColor rgb="FF00B0F0"/>
  </sheetPr>
  <dimension ref="A1:J73"/>
  <sheetViews>
    <sheetView topLeftCell="A51" workbookViewId="0">
      <selection activeCell="G54" sqref="G54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20.25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89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96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8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0:J70"/>
    <mergeCell ref="A71:J71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7" orientation="portrait" r:id="rId1"/>
  <rowBreaks count="1" manualBreakCount="1">
    <brk id="39" max="9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C6D7-72F2-4A19-892E-EC89E708EB0E}">
  <sheetPr>
    <tabColor rgb="FF00B0F0"/>
  </sheetPr>
  <dimension ref="A1:J73"/>
  <sheetViews>
    <sheetView topLeftCell="A43" workbookViewId="0">
      <selection activeCell="K58" sqref="K58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90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8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40F6-1FA7-4421-A6AB-0C95279E3103}">
  <sheetPr>
    <tabColor rgb="FF00B0F0"/>
  </sheetPr>
  <dimension ref="A1:J73"/>
  <sheetViews>
    <sheetView workbookViewId="0">
      <selection activeCell="C19" sqref="C19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9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139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>
      <c r="C56" s="31"/>
    </row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648516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653516</v>
      </c>
      <c r="H61" s="6" t="s">
        <v>11</v>
      </c>
    </row>
    <row r="62" spans="2:9" ht="26.45" customHeight="1" x14ac:dyDescent="0.3">
      <c r="C62" s="3" t="s">
        <v>16</v>
      </c>
      <c r="G62" s="4">
        <f>G61</f>
        <v>653516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-173516</v>
      </c>
      <c r="H64" s="3" t="s">
        <v>11</v>
      </c>
    </row>
    <row r="65" spans="1:10" ht="20.25" customHeight="1" x14ac:dyDescent="0.3">
      <c r="C65" s="31" t="s">
        <v>137</v>
      </c>
      <c r="G65" s="34">
        <f>G64</f>
        <v>-173516</v>
      </c>
      <c r="H65" s="31" t="s">
        <v>11</v>
      </c>
    </row>
    <row r="66" spans="1:10" ht="20.25" customHeight="1" x14ac:dyDescent="0.3">
      <c r="C66" s="31" t="s">
        <v>31</v>
      </c>
      <c r="G66" s="34">
        <f>G65/1.1</f>
        <v>-157741.81818181818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4">
        <f>G65-G66</f>
        <v>-15774.181818181823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E47:F47"/>
    <mergeCell ref="A70:J70"/>
    <mergeCell ref="A5:J7"/>
    <mergeCell ref="A8:J8"/>
    <mergeCell ref="A9:J11"/>
    <mergeCell ref="A25:J25"/>
    <mergeCell ref="A38:J38"/>
    <mergeCell ref="C43:H43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D002-5A20-44EB-B746-A40659D6064B}">
  <sheetPr>
    <tabColor rgb="FFFFFF00"/>
  </sheetPr>
  <dimension ref="A1:J73"/>
  <sheetViews>
    <sheetView topLeftCell="A43" workbookViewId="0">
      <selection activeCell="K54" sqref="K54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153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152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6" t="s">
        <v>8</v>
      </c>
      <c r="D54" s="6"/>
      <c r="E54" s="6"/>
      <c r="F54" s="6"/>
      <c r="G54" s="9">
        <f>G53</f>
        <v>0</v>
      </c>
      <c r="H54" s="6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8702-8E1A-47A3-B680-38408E05953E}">
  <sheetPr>
    <tabColor rgb="FF00B0F0"/>
  </sheetPr>
  <dimension ref="A1:J73"/>
  <sheetViews>
    <sheetView topLeftCell="A55" workbookViewId="0">
      <selection activeCell="M70" sqref="M70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91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8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165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EB48-3DD9-4AB0-B5A2-592B96A400DE}">
  <sheetPr>
    <tabColor rgb="FF00B0F0"/>
  </sheetPr>
  <dimension ref="A1:J73"/>
  <sheetViews>
    <sheetView topLeftCell="A51" workbookViewId="0">
      <selection activeCell="J59" sqref="J59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92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163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164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BD32-54DD-4052-8A88-09C7DDF9F2D0}">
  <sheetPr>
    <tabColor rgb="FF00B0F0"/>
  </sheetPr>
  <dimension ref="A1:J73"/>
  <sheetViews>
    <sheetView topLeftCell="A79" workbookViewId="0">
      <selection activeCell="L102" sqref="L102"/>
    </sheetView>
  </sheetViews>
  <sheetFormatPr defaultRowHeight="16.5" x14ac:dyDescent="0.3"/>
  <cols>
    <col min="1" max="1" width="6.75" customWidth="1"/>
    <col min="2" max="2" width="2.875" customWidth="1"/>
    <col min="3" max="3" width="14.375" style="3" bestFit="1" customWidth="1"/>
    <col min="4" max="4" width="9" customWidth="1"/>
    <col min="5" max="6" width="8.75" style="3"/>
    <col min="7" max="7" width="15.5" style="4" customWidth="1"/>
    <col min="8" max="8" width="3.375" style="3" customWidth="1"/>
    <col min="9" max="9" width="3.125" customWidth="1"/>
    <col min="10" max="10" width="8.25" customWidth="1"/>
  </cols>
  <sheetData>
    <row r="1" spans="1:10" ht="17.25" x14ac:dyDescent="0.3">
      <c r="B1" s="14"/>
      <c r="C1"/>
      <c r="F1"/>
      <c r="G1" s="3"/>
      <c r="H1" s="4"/>
      <c r="I1" s="3"/>
      <c r="J1" s="3"/>
    </row>
    <row r="2" spans="1:10" ht="17.25" x14ac:dyDescent="0.3">
      <c r="B2" s="14"/>
      <c r="D2" s="3"/>
      <c r="G2" s="3"/>
      <c r="I2" s="3"/>
      <c r="J2" s="3"/>
    </row>
    <row r="3" spans="1:10" ht="17.25" x14ac:dyDescent="0.3">
      <c r="A3" s="3"/>
      <c r="B3" s="15"/>
      <c r="D3" s="3"/>
      <c r="G3" s="3"/>
      <c r="I3" s="3"/>
      <c r="J3" s="3"/>
    </row>
    <row r="4" spans="1:10" ht="17.25" x14ac:dyDescent="0.3">
      <c r="A4" s="3"/>
      <c r="B4" s="15"/>
      <c r="D4" s="3"/>
      <c r="G4" s="3"/>
      <c r="I4" s="3"/>
      <c r="J4" s="3"/>
    </row>
    <row r="5" spans="1:10" x14ac:dyDescent="0.3">
      <c r="A5" s="111" t="s">
        <v>52</v>
      </c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17.25" customHeight="1" x14ac:dyDescent="0.3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</row>
    <row r="9" spans="1:10" ht="16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</row>
    <row r="10" spans="1:10" ht="16.5" customHeight="1" x14ac:dyDescent="0.3">
      <c r="A10" s="115"/>
      <c r="B10" s="115"/>
      <c r="C10" s="115"/>
      <c r="D10" s="115"/>
      <c r="E10" s="115"/>
      <c r="F10" s="115"/>
      <c r="G10" s="115"/>
      <c r="H10" s="115"/>
      <c r="I10" s="115"/>
      <c r="J10" s="115"/>
    </row>
    <row r="11" spans="1:10" ht="16.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</row>
    <row r="12" spans="1:10" ht="17.25" x14ac:dyDescent="0.3">
      <c r="A12" s="3"/>
      <c r="B12" s="15"/>
      <c r="D12" s="3"/>
      <c r="G12" s="3"/>
      <c r="I12" s="3"/>
      <c r="J12" s="3"/>
    </row>
    <row r="13" spans="1:10" ht="17.25" x14ac:dyDescent="0.3">
      <c r="B13" s="14"/>
      <c r="C13"/>
      <c r="F13"/>
      <c r="G13" s="3"/>
      <c r="H13" s="4"/>
      <c r="I13" s="3"/>
      <c r="J13" s="3"/>
    </row>
    <row r="14" spans="1:10" ht="17.25" x14ac:dyDescent="0.3">
      <c r="B14" s="14"/>
      <c r="C14"/>
      <c r="F14"/>
      <c r="G14" s="3"/>
      <c r="H14" s="4"/>
      <c r="I14" s="3"/>
      <c r="J14" s="3"/>
    </row>
    <row r="15" spans="1:10" ht="17.25" x14ac:dyDescent="0.3">
      <c r="B15" s="14"/>
      <c r="C15"/>
      <c r="F15"/>
      <c r="G15" s="3"/>
      <c r="H15" s="4"/>
      <c r="I15" s="3"/>
      <c r="J15" s="3"/>
    </row>
    <row r="16" spans="1:10" ht="17.25" x14ac:dyDescent="0.3">
      <c r="B16" s="14"/>
      <c r="C16"/>
      <c r="F16"/>
      <c r="G16" s="3"/>
      <c r="H16" s="4"/>
      <c r="I16" s="3"/>
      <c r="J16" s="3"/>
    </row>
    <row r="17" spans="1:10" ht="17.25" x14ac:dyDescent="0.3">
      <c r="B17" s="14"/>
      <c r="C17"/>
      <c r="F17"/>
      <c r="G17" s="3"/>
      <c r="H17" s="4"/>
      <c r="I17" s="3"/>
      <c r="J17" s="3"/>
    </row>
    <row r="18" spans="1:10" ht="17.25" x14ac:dyDescent="0.3">
      <c r="B18" s="14"/>
      <c r="C18"/>
      <c r="F18"/>
      <c r="G18" s="3"/>
      <c r="H18" s="4"/>
      <c r="I18" s="3"/>
      <c r="J18" s="3"/>
    </row>
    <row r="19" spans="1:10" ht="17.25" x14ac:dyDescent="0.3">
      <c r="B19" s="14"/>
      <c r="C19"/>
      <c r="F19"/>
      <c r="G19" s="3"/>
      <c r="H19" s="4"/>
      <c r="I19" s="3"/>
      <c r="J19" s="3"/>
    </row>
    <row r="20" spans="1:10" ht="17.25" x14ac:dyDescent="0.3">
      <c r="B20" s="14"/>
      <c r="C20"/>
      <c r="F20"/>
      <c r="G20" s="3"/>
      <c r="H20" s="4"/>
      <c r="I20" s="3"/>
      <c r="J20" s="3"/>
    </row>
    <row r="21" spans="1:10" ht="17.25" x14ac:dyDescent="0.3">
      <c r="B21" s="14"/>
      <c r="C21"/>
      <c r="F21"/>
      <c r="G21" s="3"/>
      <c r="H21" s="4"/>
      <c r="I21" s="3"/>
      <c r="J21" s="3"/>
    </row>
    <row r="22" spans="1:10" ht="17.25" x14ac:dyDescent="0.3">
      <c r="B22" s="14"/>
      <c r="C22"/>
      <c r="F22"/>
      <c r="G22" s="3"/>
      <c r="H22" s="4"/>
      <c r="I22" s="3"/>
      <c r="J22" s="3"/>
    </row>
    <row r="23" spans="1:10" ht="17.25" x14ac:dyDescent="0.3">
      <c r="B23" s="14"/>
      <c r="C23"/>
      <c r="F23"/>
      <c r="G23" s="3"/>
      <c r="H23" s="4"/>
      <c r="I23" s="3"/>
      <c r="J23" s="3"/>
    </row>
    <row r="24" spans="1:10" ht="17.25" x14ac:dyDescent="0.3">
      <c r="B24" s="14"/>
      <c r="C24"/>
      <c r="F24"/>
      <c r="G24" s="3"/>
      <c r="H24" s="4"/>
      <c r="I24" s="3"/>
      <c r="J24" s="3"/>
    </row>
    <row r="25" spans="1:10" ht="19.5" x14ac:dyDescent="0.3">
      <c r="A25" s="113">
        <v>45932</v>
      </c>
      <c r="B25" s="114"/>
      <c r="C25" s="114"/>
      <c r="D25" s="114"/>
      <c r="E25" s="114"/>
      <c r="F25" s="114"/>
      <c r="G25" s="114"/>
      <c r="H25" s="114"/>
      <c r="I25" s="114"/>
      <c r="J25" s="114"/>
    </row>
    <row r="26" spans="1:10" ht="17.25" x14ac:dyDescent="0.3">
      <c r="B26" s="14"/>
      <c r="C26"/>
      <c r="F26"/>
      <c r="G26" s="3"/>
      <c r="H26" s="4"/>
      <c r="I26" s="3"/>
      <c r="J26" s="3"/>
    </row>
    <row r="27" spans="1:10" ht="17.25" x14ac:dyDescent="0.3">
      <c r="B27" s="14"/>
      <c r="C27"/>
      <c r="F27"/>
      <c r="G27" s="3"/>
      <c r="H27" s="4"/>
      <c r="I27" s="3"/>
      <c r="J27" s="3"/>
    </row>
    <row r="28" spans="1:10" ht="17.25" x14ac:dyDescent="0.3">
      <c r="B28" s="14"/>
      <c r="C28"/>
      <c r="F28"/>
      <c r="G28" s="3"/>
      <c r="H28" s="4"/>
      <c r="I28" s="3"/>
      <c r="J28" s="3"/>
    </row>
    <row r="29" spans="1:10" ht="17.25" x14ac:dyDescent="0.3">
      <c r="B29" s="14"/>
      <c r="C29"/>
      <c r="F29"/>
      <c r="G29" s="3"/>
      <c r="H29" s="4"/>
      <c r="I29" s="3"/>
      <c r="J29" s="3"/>
    </row>
    <row r="30" spans="1:10" ht="17.25" x14ac:dyDescent="0.3">
      <c r="B30" s="14"/>
      <c r="C30"/>
      <c r="F30"/>
      <c r="G30" s="3"/>
      <c r="H30" s="4"/>
      <c r="I30" s="3"/>
      <c r="J30" s="3"/>
    </row>
    <row r="31" spans="1:10" ht="17.25" x14ac:dyDescent="0.3">
      <c r="B31" s="14"/>
      <c r="C31"/>
      <c r="F31"/>
      <c r="G31" s="3"/>
      <c r="H31" s="4"/>
      <c r="I31" s="3"/>
      <c r="J31" s="3"/>
    </row>
    <row r="32" spans="1:10" ht="17.25" x14ac:dyDescent="0.3">
      <c r="B32" s="14"/>
      <c r="C32"/>
      <c r="F32"/>
      <c r="G32" s="3"/>
      <c r="H32" s="4"/>
      <c r="I32" s="3"/>
      <c r="J32" s="3"/>
    </row>
    <row r="33" spans="1:10" ht="17.25" x14ac:dyDescent="0.3">
      <c r="B33" s="14"/>
      <c r="C33"/>
      <c r="F33"/>
      <c r="G33" s="3"/>
      <c r="H33" s="4"/>
      <c r="I33" s="3"/>
      <c r="J33" s="3"/>
    </row>
    <row r="34" spans="1:10" ht="17.25" x14ac:dyDescent="0.3">
      <c r="B34" s="14"/>
      <c r="C34"/>
      <c r="F34"/>
      <c r="G34" s="3"/>
      <c r="H34" s="4"/>
      <c r="I34" s="3"/>
      <c r="J34" s="3"/>
    </row>
    <row r="35" spans="1:10" ht="17.25" x14ac:dyDescent="0.3">
      <c r="B35" s="14"/>
      <c r="C35"/>
      <c r="F35"/>
      <c r="G35" s="3"/>
      <c r="H35" s="4"/>
      <c r="I35" s="3"/>
      <c r="J35" s="3"/>
    </row>
    <row r="36" spans="1:10" ht="17.25" x14ac:dyDescent="0.3">
      <c r="B36" s="14"/>
      <c r="C36"/>
      <c r="F36"/>
      <c r="G36" s="3"/>
      <c r="H36" s="4"/>
      <c r="I36" s="3"/>
      <c r="J36" s="3"/>
    </row>
    <row r="37" spans="1:10" ht="17.25" x14ac:dyDescent="0.3">
      <c r="B37" s="14"/>
      <c r="C37"/>
      <c r="F37"/>
      <c r="G37" s="3"/>
      <c r="H37" s="4"/>
      <c r="I37" s="3"/>
      <c r="J37" s="3"/>
    </row>
    <row r="38" spans="1:10" ht="31.5" x14ac:dyDescent="0.3">
      <c r="A38" s="111" t="s">
        <v>53</v>
      </c>
      <c r="B38" s="111"/>
      <c r="C38" s="111"/>
      <c r="D38" s="111"/>
      <c r="E38" s="111"/>
      <c r="F38" s="111"/>
      <c r="G38" s="111"/>
      <c r="H38" s="111"/>
      <c r="I38" s="111"/>
      <c r="J38" s="111"/>
    </row>
    <row r="39" spans="1:10" ht="17.4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7.4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3" spans="1:10" ht="27" customHeight="1" x14ac:dyDescent="0.3">
      <c r="C43" s="117" t="s">
        <v>156</v>
      </c>
      <c r="D43" s="117"/>
      <c r="E43" s="117"/>
      <c r="F43" s="117"/>
      <c r="G43" s="117"/>
      <c r="H43" s="117"/>
    </row>
    <row r="45" spans="1:10" ht="22.5" customHeight="1" x14ac:dyDescent="0.3">
      <c r="D45" s="3"/>
      <c r="G45" s="22" t="s">
        <v>93</v>
      </c>
    </row>
    <row r="46" spans="1:10" ht="17.25" thickBot="1" x14ac:dyDescent="0.35">
      <c r="B46" s="1"/>
      <c r="C46" s="5" t="s">
        <v>50</v>
      </c>
      <c r="D46" s="1"/>
      <c r="E46" s="5"/>
      <c r="F46" s="5"/>
      <c r="G46" s="7"/>
      <c r="H46" s="5"/>
      <c r="I46" s="1"/>
    </row>
    <row r="47" spans="1:10" ht="26.45" customHeight="1" x14ac:dyDescent="0.3">
      <c r="C47" s="3" t="s">
        <v>3</v>
      </c>
      <c r="E47" s="118"/>
      <c r="F47" s="118"/>
      <c r="G47" s="4">
        <v>146712480</v>
      </c>
      <c r="H47" s="3" t="s">
        <v>11</v>
      </c>
    </row>
    <row r="48" spans="1:10" s="10" customFormat="1" ht="26.45" customHeight="1" x14ac:dyDescent="0.3">
      <c r="C48" s="10" t="s">
        <v>45</v>
      </c>
      <c r="D48" s="10" t="s">
        <v>136</v>
      </c>
      <c r="G48" s="11">
        <v>3</v>
      </c>
      <c r="H48" s="10" t="s">
        <v>44</v>
      </c>
    </row>
    <row r="49" spans="2:9" s="10" customFormat="1" ht="26.45" customHeight="1" x14ac:dyDescent="0.3">
      <c r="C49" s="10" t="s">
        <v>1</v>
      </c>
      <c r="E49" s="10">
        <v>1</v>
      </c>
      <c r="F49" s="10" t="s">
        <v>9</v>
      </c>
      <c r="G49" s="11">
        <v>480000</v>
      </c>
      <c r="H49" s="10" t="s">
        <v>11</v>
      </c>
    </row>
    <row r="50" spans="2:9" s="10" customFormat="1" ht="26.45" customHeight="1" x14ac:dyDescent="0.3">
      <c r="C50" s="10" t="s">
        <v>2</v>
      </c>
      <c r="E50" s="10">
        <v>30</v>
      </c>
      <c r="F50" s="10" t="s">
        <v>10</v>
      </c>
      <c r="G50" s="11">
        <f>G49/E50</f>
        <v>16000</v>
      </c>
      <c r="H50" s="10" t="s">
        <v>11</v>
      </c>
    </row>
    <row r="51" spans="2:9" s="10" customFormat="1" ht="26.45" customHeight="1" x14ac:dyDescent="0.3">
      <c r="C51" s="10" t="s">
        <v>0</v>
      </c>
      <c r="E51" s="10">
        <v>30</v>
      </c>
      <c r="F51" s="10" t="s">
        <v>10</v>
      </c>
      <c r="G51" s="12">
        <f>G50*E51</f>
        <v>480000</v>
      </c>
      <c r="H51" s="10" t="s">
        <v>11</v>
      </c>
    </row>
    <row r="52" spans="2:9" ht="26.45" customHeight="1" x14ac:dyDescent="0.3">
      <c r="C52" s="6" t="s">
        <v>8</v>
      </c>
      <c r="D52" s="2"/>
      <c r="E52" s="6"/>
      <c r="F52" s="6"/>
      <c r="G52" s="9">
        <f>G51</f>
        <v>480000</v>
      </c>
      <c r="H52" s="6" t="s">
        <v>11</v>
      </c>
    </row>
    <row r="53" spans="2:9" ht="26.45" customHeight="1" x14ac:dyDescent="0.3">
      <c r="C53" s="35" t="s">
        <v>17</v>
      </c>
      <c r="E53" s="3" t="s">
        <v>148</v>
      </c>
      <c r="F53" s="3" t="s">
        <v>149</v>
      </c>
      <c r="G53" s="36"/>
    </row>
    <row r="54" spans="2:9" s="10" customFormat="1" ht="26.45" customHeight="1" x14ac:dyDescent="0.3">
      <c r="C54" s="37" t="s">
        <v>154</v>
      </c>
      <c r="D54" s="37"/>
      <c r="E54" s="37"/>
      <c r="F54" s="37"/>
      <c r="G54" s="38">
        <f>G53</f>
        <v>0</v>
      </c>
      <c r="H54" s="37" t="s">
        <v>11</v>
      </c>
    </row>
    <row r="55" spans="2:9" ht="26.45" customHeight="1" x14ac:dyDescent="0.3">
      <c r="C55" s="3" t="s">
        <v>16</v>
      </c>
      <c r="G55" s="8">
        <f>G54+G52</f>
        <v>480000</v>
      </c>
      <c r="H55" s="3" t="s">
        <v>11</v>
      </c>
    </row>
    <row r="56" spans="2:9" ht="26.45" customHeight="1" x14ac:dyDescent="0.3"/>
    <row r="57" spans="2:9" ht="26.45" customHeight="1" thickBot="1" x14ac:dyDescent="0.35">
      <c r="B57" s="1"/>
      <c r="C57" s="5" t="s">
        <v>18</v>
      </c>
      <c r="D57" s="1"/>
      <c r="E57" s="5"/>
      <c r="F57" s="5"/>
      <c r="G57" s="7"/>
      <c r="H57" s="5"/>
      <c r="I57" s="1"/>
    </row>
    <row r="58" spans="2:9" s="10" customFormat="1" ht="26.45" customHeight="1" x14ac:dyDescent="0.3">
      <c r="C58" s="10" t="s">
        <v>35</v>
      </c>
      <c r="E58" s="10">
        <v>0</v>
      </c>
      <c r="F58" s="10" t="s">
        <v>12</v>
      </c>
      <c r="G58" s="11">
        <v>0</v>
      </c>
      <c r="H58" s="10" t="s">
        <v>11</v>
      </c>
    </row>
    <row r="59" spans="2:9" s="10" customFormat="1" ht="26.45" customHeight="1" x14ac:dyDescent="0.3">
      <c r="C59" s="3" t="s">
        <v>150</v>
      </c>
      <c r="G59" s="11">
        <v>5000</v>
      </c>
      <c r="H59" s="10" t="s">
        <v>11</v>
      </c>
    </row>
    <row r="60" spans="2:9" s="10" customFormat="1" ht="26.45" customHeight="1" x14ac:dyDescent="0.3">
      <c r="C60" s="3" t="s">
        <v>158</v>
      </c>
      <c r="G60" s="11">
        <v>0</v>
      </c>
      <c r="H60" s="10" t="s">
        <v>11</v>
      </c>
    </row>
    <row r="61" spans="2:9" ht="26.45" customHeight="1" x14ac:dyDescent="0.3">
      <c r="C61" s="6" t="s">
        <v>8</v>
      </c>
      <c r="D61" s="2"/>
      <c r="E61" s="6"/>
      <c r="F61" s="6"/>
      <c r="G61" s="9">
        <f>SUM(G58:G60)</f>
        <v>5000</v>
      </c>
      <c r="H61" s="6" t="s">
        <v>11</v>
      </c>
    </row>
    <row r="62" spans="2:9" ht="26.45" customHeight="1" x14ac:dyDescent="0.3">
      <c r="C62" s="3" t="s">
        <v>16</v>
      </c>
      <c r="G62" s="4">
        <f>G61</f>
        <v>5000</v>
      </c>
      <c r="H62" s="3" t="s">
        <v>11</v>
      </c>
    </row>
    <row r="63" spans="2:9" ht="26.45" customHeight="1" thickBot="1" x14ac:dyDescent="0.35">
      <c r="B63" s="1"/>
      <c r="C63" s="5" t="s">
        <v>19</v>
      </c>
      <c r="D63" s="1"/>
      <c r="E63" s="5"/>
      <c r="F63" s="5"/>
      <c r="G63" s="7"/>
      <c r="H63" s="5"/>
      <c r="I63" s="1"/>
    </row>
    <row r="64" spans="2:9" ht="20.25" customHeight="1" x14ac:dyDescent="0.3">
      <c r="C64" s="3" t="s">
        <v>15</v>
      </c>
      <c r="G64" s="4">
        <f>G55-G62</f>
        <v>475000</v>
      </c>
      <c r="H64" s="3" t="s">
        <v>11</v>
      </c>
    </row>
    <row r="65" spans="1:10" ht="20.25" customHeight="1" x14ac:dyDescent="0.3">
      <c r="C65" s="31" t="s">
        <v>137</v>
      </c>
      <c r="G65" s="33">
        <f>G64</f>
        <v>475000</v>
      </c>
      <c r="H65" s="31" t="s">
        <v>11</v>
      </c>
    </row>
    <row r="66" spans="1:10" ht="20.25" customHeight="1" x14ac:dyDescent="0.3">
      <c r="C66" s="31" t="s">
        <v>31</v>
      </c>
      <c r="G66" s="33">
        <f>G65/1.1</f>
        <v>431818.18181818177</v>
      </c>
      <c r="H66" s="31" t="s">
        <v>11</v>
      </c>
    </row>
    <row r="67" spans="1:10" x14ac:dyDescent="0.3">
      <c r="C67" s="31" t="s">
        <v>147</v>
      </c>
      <c r="D67" s="32"/>
      <c r="E67" s="31"/>
      <c r="F67" s="31"/>
      <c r="G67" s="33">
        <f>G65-G66</f>
        <v>43181.818181818235</v>
      </c>
      <c r="H67" s="31" t="s">
        <v>11</v>
      </c>
    </row>
    <row r="68" spans="1:10" x14ac:dyDescent="0.3">
      <c r="B68" s="3" t="s">
        <v>51</v>
      </c>
    </row>
    <row r="70" spans="1:10" s="10" customFormat="1" x14ac:dyDescent="0.3">
      <c r="A70" s="116" t="s">
        <v>157</v>
      </c>
      <c r="B70" s="116"/>
      <c r="C70" s="116"/>
      <c r="D70" s="116"/>
      <c r="E70" s="116"/>
      <c r="F70" s="116"/>
      <c r="G70" s="116"/>
      <c r="H70" s="116"/>
      <c r="I70" s="116"/>
      <c r="J70" s="116"/>
    </row>
    <row r="71" spans="1:10" s="10" customFormat="1" x14ac:dyDescent="0.3">
      <c r="A71" s="116" t="s">
        <v>53</v>
      </c>
      <c r="B71" s="116"/>
      <c r="C71" s="116"/>
      <c r="D71" s="116"/>
      <c r="E71" s="116"/>
      <c r="F71" s="116"/>
      <c r="G71" s="116"/>
      <c r="H71" s="116"/>
      <c r="I71" s="116"/>
      <c r="J71" s="116"/>
    </row>
    <row r="72" spans="1:10" s="10" customFormat="1" x14ac:dyDescent="0.3">
      <c r="C72" s="3"/>
      <c r="E72" s="3"/>
      <c r="F72" s="3"/>
      <c r="G72" s="4"/>
      <c r="H72" s="3"/>
    </row>
    <row r="73" spans="1:10" s="10" customFormat="1" x14ac:dyDescent="0.3">
      <c r="C73" s="3"/>
      <c r="E73" s="3"/>
      <c r="F73" s="3"/>
      <c r="G73" s="4"/>
      <c r="H73" s="3"/>
    </row>
  </sheetData>
  <mergeCells count="9">
    <mergeCell ref="A71:J71"/>
    <mergeCell ref="A70:J70"/>
    <mergeCell ref="A5:J7"/>
    <mergeCell ref="A9:J11"/>
    <mergeCell ref="A25:J25"/>
    <mergeCell ref="A38:J38"/>
    <mergeCell ref="C43:H43"/>
    <mergeCell ref="E47:F47"/>
    <mergeCell ref="A8:J8"/>
  </mergeCells>
  <phoneticPr fontId="2" type="noConversion"/>
  <pageMargins left="0.7" right="0.7" top="0.75" bottom="0.75" header="0.3" footer="0.3"/>
  <pageSetup paperSize="9" scale="99" orientation="portrait" r:id="rId1"/>
  <rowBreaks count="1" manualBreakCount="1">
    <brk id="3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45</vt:i4>
      </vt:variant>
      <vt:variant>
        <vt:lpstr>이름 지정된 범위</vt:lpstr>
      </vt:variant>
      <vt:variant>
        <vt:i4>44</vt:i4>
      </vt:variant>
    </vt:vector>
  </HeadingPairs>
  <TitlesOfParts>
    <vt:vector size="89" baseType="lpstr">
      <vt:lpstr>수분양자 정산 </vt:lpstr>
      <vt:lpstr>월 통합</vt:lpstr>
      <vt:lpstr>303호</vt:lpstr>
      <vt:lpstr>305호</vt:lpstr>
      <vt:lpstr>307호</vt:lpstr>
      <vt:lpstr>308호</vt:lpstr>
      <vt:lpstr>309호</vt:lpstr>
      <vt:lpstr>401호</vt:lpstr>
      <vt:lpstr>404호</vt:lpstr>
      <vt:lpstr>406호</vt:lpstr>
      <vt:lpstr>409호</vt:lpstr>
      <vt:lpstr>501호</vt:lpstr>
      <vt:lpstr>506호</vt:lpstr>
      <vt:lpstr>609호</vt:lpstr>
      <vt:lpstr>615호</vt:lpstr>
      <vt:lpstr>701호</vt:lpstr>
      <vt:lpstr>702호</vt:lpstr>
      <vt:lpstr>705호</vt:lpstr>
      <vt:lpstr>709호</vt:lpstr>
      <vt:lpstr>713호</vt:lpstr>
      <vt:lpstr>715호</vt:lpstr>
      <vt:lpstr>805호</vt:lpstr>
      <vt:lpstr>809호</vt:lpstr>
      <vt:lpstr>811호</vt:lpstr>
      <vt:lpstr>902호</vt:lpstr>
      <vt:lpstr>906호</vt:lpstr>
      <vt:lpstr>907호</vt:lpstr>
      <vt:lpstr>911호</vt:lpstr>
      <vt:lpstr>1004호</vt:lpstr>
      <vt:lpstr>1006호</vt:lpstr>
      <vt:lpstr>1011호</vt:lpstr>
      <vt:lpstr>1105호</vt:lpstr>
      <vt:lpstr>1107호</vt:lpstr>
      <vt:lpstr>1110호</vt:lpstr>
      <vt:lpstr>1111호</vt:lpstr>
      <vt:lpstr>1112호</vt:lpstr>
      <vt:lpstr>1114호</vt:lpstr>
      <vt:lpstr>1115호</vt:lpstr>
      <vt:lpstr>1116호</vt:lpstr>
      <vt:lpstr>1206호</vt:lpstr>
      <vt:lpstr>1208호</vt:lpstr>
      <vt:lpstr>1210호</vt:lpstr>
      <vt:lpstr>1214호</vt:lpstr>
      <vt:lpstr>1215호</vt:lpstr>
      <vt:lpstr>1216호</vt:lpstr>
      <vt:lpstr>'1004호'!Print_Area</vt:lpstr>
      <vt:lpstr>'1006호'!Print_Area</vt:lpstr>
      <vt:lpstr>'1011호'!Print_Area</vt:lpstr>
      <vt:lpstr>'1105호'!Print_Area</vt:lpstr>
      <vt:lpstr>'1107호'!Print_Area</vt:lpstr>
      <vt:lpstr>'1110호'!Print_Area</vt:lpstr>
      <vt:lpstr>'1111호'!Print_Area</vt:lpstr>
      <vt:lpstr>'1112호'!Print_Area</vt:lpstr>
      <vt:lpstr>'1114호'!Print_Area</vt:lpstr>
      <vt:lpstr>'1115호'!Print_Area</vt:lpstr>
      <vt:lpstr>'1116호'!Print_Area</vt:lpstr>
      <vt:lpstr>'1206호'!Print_Area</vt:lpstr>
      <vt:lpstr>'1208호'!Print_Area</vt:lpstr>
      <vt:lpstr>'1210호'!Print_Area</vt:lpstr>
      <vt:lpstr>'1214호'!Print_Area</vt:lpstr>
      <vt:lpstr>'1215호'!Print_Area</vt:lpstr>
      <vt:lpstr>'1216호'!Print_Area</vt:lpstr>
      <vt:lpstr>'303호'!Print_Area</vt:lpstr>
      <vt:lpstr>'305호'!Print_Area</vt:lpstr>
      <vt:lpstr>'307호'!Print_Area</vt:lpstr>
      <vt:lpstr>'308호'!Print_Area</vt:lpstr>
      <vt:lpstr>'309호'!Print_Area</vt:lpstr>
      <vt:lpstr>'401호'!Print_Area</vt:lpstr>
      <vt:lpstr>'404호'!Print_Area</vt:lpstr>
      <vt:lpstr>'406호'!Print_Area</vt:lpstr>
      <vt:lpstr>'409호'!Print_Area</vt:lpstr>
      <vt:lpstr>'501호'!Print_Area</vt:lpstr>
      <vt:lpstr>'506호'!Print_Area</vt:lpstr>
      <vt:lpstr>'609호'!Print_Area</vt:lpstr>
      <vt:lpstr>'615호'!Print_Area</vt:lpstr>
      <vt:lpstr>'701호'!Print_Area</vt:lpstr>
      <vt:lpstr>'702호'!Print_Area</vt:lpstr>
      <vt:lpstr>'705호'!Print_Area</vt:lpstr>
      <vt:lpstr>'709호'!Print_Area</vt:lpstr>
      <vt:lpstr>'713호'!Print_Area</vt:lpstr>
      <vt:lpstr>'715호'!Print_Area</vt:lpstr>
      <vt:lpstr>'805호'!Print_Area</vt:lpstr>
      <vt:lpstr>'809호'!Print_Area</vt:lpstr>
      <vt:lpstr>'811호'!Print_Area</vt:lpstr>
      <vt:lpstr>'902호'!Print_Area</vt:lpstr>
      <vt:lpstr>'906호'!Print_Area</vt:lpstr>
      <vt:lpstr>'907호'!Print_Area</vt:lpstr>
      <vt:lpstr>'911호'!Print_Area</vt:lpstr>
      <vt:lpstr>'월 통합'!Print_Area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sookb</dc:creator>
  <cp:lastModifiedBy>sookb</cp:lastModifiedBy>
  <cp:lastPrinted>2025-10-08T06:55:37Z</cp:lastPrinted>
  <dcterms:created xsi:type="dcterms:W3CDTF">2025-03-26T08:03:04Z</dcterms:created>
  <dcterms:modified xsi:type="dcterms:W3CDTF">2025-10-10T03:41:31Z</dcterms:modified>
</cp:coreProperties>
</file>