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W:\공용 드라이브\스테이지_Work\🏨 프로젝트\ㄱ 프로젝트_공통\매장관리\9월 결산\부산 그라체\CM_작업중\V1\"/>
    </mc:Choice>
  </mc:AlternateContent>
  <xr:revisionPtr revIDLastSave="0" documentId="13_ncr:1_{3424FBA4-18BD-4C80-A6BC-A0A5001990EA}" xr6:coauthVersionLast="47" xr6:coauthVersionMax="47" xr10:uidLastSave="{00000000-0000-0000-0000-000000000000}"/>
  <bookViews>
    <workbookView xWindow="22944" yWindow="2100" windowWidth="21600" windowHeight="11292" activeTab="2" xr2:uid="{00000000-000D-0000-FFFF-FFFF00000000}"/>
  </bookViews>
  <sheets>
    <sheet name="7월" sheetId="21" r:id="rId1"/>
    <sheet name="8월" sheetId="23" r:id="rId2"/>
    <sheet name="9월" sheetId="27" r:id="rId3"/>
    <sheet name="10월" sheetId="24" r:id="rId4"/>
    <sheet name="11월" sheetId="25" r:id="rId5"/>
    <sheet name="12월" sheetId="2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9" i="27" l="1"/>
  <c r="X51" i="27" l="1"/>
  <c r="X41" i="27" a="1"/>
  <c r="X41" i="27" s="1"/>
  <c r="X36" i="27"/>
  <c r="X37" i="27"/>
  <c r="X38" i="27"/>
  <c r="X39" i="27"/>
  <c r="X40" i="27"/>
  <c r="X35" i="27"/>
  <c r="I122" i="27" l="1"/>
  <c r="H122" i="27"/>
  <c r="G122" i="27"/>
  <c r="F122" i="27"/>
  <c r="Q58" i="27"/>
  <c r="P58" i="27"/>
  <c r="O58" i="27"/>
  <c r="Q57" i="27"/>
  <c r="P57" i="27"/>
  <c r="O57" i="27"/>
  <c r="Q56" i="27"/>
  <c r="P56" i="27"/>
  <c r="O56" i="27"/>
  <c r="Q55" i="27"/>
  <c r="P55" i="27"/>
  <c r="O55" i="27"/>
  <c r="Q54" i="27"/>
  <c r="P54" i="27"/>
  <c r="O54" i="27"/>
  <c r="Q53" i="27"/>
  <c r="P53" i="27"/>
  <c r="O53" i="27"/>
  <c r="Q52" i="27"/>
  <c r="P52" i="27"/>
  <c r="O52" i="27"/>
  <c r="Q51" i="27"/>
  <c r="P51" i="27"/>
  <c r="O51" i="27"/>
  <c r="Q50" i="27"/>
  <c r="P50" i="27"/>
  <c r="O50" i="27"/>
  <c r="Q49" i="27"/>
  <c r="P49" i="27"/>
  <c r="O49" i="27"/>
  <c r="Q48" i="27"/>
  <c r="P48" i="27"/>
  <c r="O48" i="27"/>
  <c r="Q47" i="27"/>
  <c r="P47" i="27"/>
  <c r="O47" i="27"/>
  <c r="Q46" i="27"/>
  <c r="P46" i="27"/>
  <c r="O46" i="27"/>
  <c r="Q45" i="27"/>
  <c r="P45" i="27"/>
  <c r="O45" i="27"/>
  <c r="Q44" i="27"/>
  <c r="P44" i="27"/>
  <c r="O44" i="27"/>
  <c r="Q43" i="27"/>
  <c r="P43" i="27"/>
  <c r="O43" i="27"/>
  <c r="Q42" i="27"/>
  <c r="P42" i="27"/>
  <c r="O42" i="27"/>
  <c r="Q41" i="27"/>
  <c r="P41" i="27"/>
  <c r="O41" i="27"/>
  <c r="Q40" i="27"/>
  <c r="P40" i="27"/>
  <c r="O40" i="27"/>
  <c r="Q39" i="27"/>
  <c r="P39" i="27"/>
  <c r="O39" i="27"/>
  <c r="Q38" i="27"/>
  <c r="P38" i="27"/>
  <c r="O38" i="27"/>
  <c r="Q37" i="27"/>
  <c r="P37" i="27"/>
  <c r="O37" i="27"/>
  <c r="Q36" i="27"/>
  <c r="P36" i="27"/>
  <c r="O36" i="27"/>
  <c r="Q35" i="27"/>
  <c r="P35" i="27"/>
  <c r="O35" i="27"/>
  <c r="Q34" i="27"/>
  <c r="P34" i="27"/>
  <c r="O34" i="27"/>
  <c r="Q33" i="27"/>
  <c r="P33" i="27"/>
  <c r="O33" i="27"/>
  <c r="Q32" i="27"/>
  <c r="P32" i="27"/>
  <c r="O32" i="27"/>
  <c r="Q31" i="27"/>
  <c r="P31" i="27"/>
  <c r="O31" i="27"/>
  <c r="Q30" i="27"/>
  <c r="P30" i="27"/>
  <c r="O30" i="27"/>
  <c r="Q29" i="27"/>
  <c r="P29" i="27"/>
  <c r="O29" i="27"/>
  <c r="Q28" i="27"/>
  <c r="P28" i="27"/>
  <c r="O28" i="27"/>
  <c r="Q27" i="27"/>
  <c r="P27" i="27"/>
  <c r="O27" i="27"/>
  <c r="Q26" i="27"/>
  <c r="P26" i="27"/>
  <c r="O26" i="27"/>
  <c r="Q25" i="27"/>
  <c r="P25" i="27"/>
  <c r="O25" i="27"/>
  <c r="Q24" i="27"/>
  <c r="P24" i="27"/>
  <c r="O24" i="27"/>
  <c r="Q23" i="27"/>
  <c r="P23" i="27"/>
  <c r="O23" i="27"/>
  <c r="Q22" i="27"/>
  <c r="P22" i="27"/>
  <c r="O22" i="27"/>
  <c r="Q21" i="27"/>
  <c r="P21" i="27"/>
  <c r="O21" i="27"/>
  <c r="Q20" i="27"/>
  <c r="P20" i="27"/>
  <c r="O20" i="27"/>
  <c r="Q19" i="27"/>
  <c r="P19" i="27"/>
  <c r="O19" i="27"/>
  <c r="Q18" i="27"/>
  <c r="P18" i="27"/>
  <c r="O18" i="27"/>
  <c r="Q17" i="27"/>
  <c r="P17" i="27"/>
  <c r="O17" i="27"/>
  <c r="Q16" i="27"/>
  <c r="P16" i="27"/>
  <c r="O16" i="27"/>
  <c r="Q15" i="27"/>
  <c r="P15" i="27"/>
  <c r="O15" i="27"/>
  <c r="Q14" i="27"/>
  <c r="P14" i="27"/>
  <c r="O14" i="27"/>
  <c r="Q13" i="27"/>
  <c r="P13" i="27"/>
  <c r="O13" i="27"/>
  <c r="Q12" i="27"/>
  <c r="P12" i="27"/>
  <c r="O12" i="27"/>
  <c r="Q11" i="27"/>
  <c r="P11" i="27"/>
  <c r="O11" i="27"/>
  <c r="Q10" i="27"/>
  <c r="P10" i="27"/>
  <c r="O10" i="27"/>
  <c r="Q9" i="27"/>
  <c r="P9" i="27"/>
  <c r="O9" i="27"/>
  <c r="Q8" i="27"/>
  <c r="P8" i="27"/>
  <c r="O8" i="27"/>
  <c r="Q7" i="27"/>
  <c r="P7" i="27"/>
  <c r="O7" i="27"/>
  <c r="Q6" i="27"/>
  <c r="P6" i="27"/>
  <c r="O6" i="27"/>
  <c r="J122" i="27" l="1"/>
  <c r="U10" i="27"/>
  <c r="U18" i="27"/>
  <c r="U29" i="27"/>
  <c r="U8" i="27"/>
  <c r="U16" i="27"/>
  <c r="U24" i="27"/>
  <c r="U32" i="27"/>
  <c r="U40" i="27"/>
  <c r="U48" i="27"/>
  <c r="U56" i="27"/>
  <c r="U26" i="27"/>
  <c r="U34" i="27"/>
  <c r="U42" i="27"/>
  <c r="U50" i="27"/>
  <c r="U58" i="27"/>
  <c r="U17" i="27"/>
  <c r="U27" i="27"/>
  <c r="U39" i="27"/>
  <c r="U23" i="27"/>
  <c r="U45" i="27"/>
  <c r="U53" i="27"/>
  <c r="U21" i="27"/>
  <c r="U14" i="27"/>
  <c r="U22" i="27"/>
  <c r="U30" i="27"/>
  <c r="U35" i="27"/>
  <c r="U38" i="27"/>
  <c r="U43" i="27"/>
  <c r="U46" i="27"/>
  <c r="U51" i="27"/>
  <c r="U54" i="27"/>
  <c r="U31" i="27"/>
  <c r="U47" i="27"/>
  <c r="U55" i="27"/>
  <c r="Q59" i="27"/>
  <c r="U15" i="27"/>
  <c r="U37" i="27"/>
  <c r="U13" i="27"/>
  <c r="O59" i="27"/>
  <c r="U11" i="27"/>
  <c r="U19" i="27"/>
  <c r="U25" i="27"/>
  <c r="U7" i="27"/>
  <c r="U9" i="27"/>
  <c r="U12" i="27"/>
  <c r="U20" i="27"/>
  <c r="U28" i="27"/>
  <c r="U33" i="27"/>
  <c r="U36" i="27"/>
  <c r="U41" i="27"/>
  <c r="U44" i="27"/>
  <c r="U49" i="27"/>
  <c r="U52" i="27"/>
  <c r="U57" i="27"/>
  <c r="P59" i="27"/>
  <c r="U6" i="27"/>
  <c r="W14" i="27" l="1"/>
  <c r="W24" i="27"/>
  <c r="S59" i="27"/>
  <c r="I119" i="23"/>
  <c r="H119" i="23"/>
  <c r="G119" i="23"/>
  <c r="F119" i="23"/>
  <c r="J119" i="23" l="1"/>
  <c r="Q58" i="26"/>
  <c r="P58" i="26"/>
  <c r="O58" i="26"/>
  <c r="Q57" i="26"/>
  <c r="P57" i="26"/>
  <c r="O57" i="26"/>
  <c r="Q56" i="26"/>
  <c r="P56" i="26"/>
  <c r="O56" i="26"/>
  <c r="Q55" i="26"/>
  <c r="P55" i="26"/>
  <c r="O55" i="26"/>
  <c r="Q54" i="26"/>
  <c r="P54" i="26"/>
  <c r="O54" i="26"/>
  <c r="Q53" i="26"/>
  <c r="P53" i="26"/>
  <c r="O53" i="26"/>
  <c r="Q52" i="26"/>
  <c r="P52" i="26"/>
  <c r="O52" i="26"/>
  <c r="Q51" i="26"/>
  <c r="P51" i="26"/>
  <c r="O51" i="26"/>
  <c r="Q50" i="26"/>
  <c r="P50" i="26"/>
  <c r="O50" i="26"/>
  <c r="Q49" i="26"/>
  <c r="P49" i="26"/>
  <c r="O49" i="26"/>
  <c r="Q48" i="26"/>
  <c r="P48" i="26"/>
  <c r="O48" i="26"/>
  <c r="Q47" i="26"/>
  <c r="P47" i="26"/>
  <c r="O47" i="26"/>
  <c r="Q46" i="26"/>
  <c r="P46" i="26"/>
  <c r="O46" i="26"/>
  <c r="Q45" i="26"/>
  <c r="P45" i="26"/>
  <c r="O45" i="26"/>
  <c r="Q44" i="26"/>
  <c r="P44" i="26"/>
  <c r="O44" i="26"/>
  <c r="Q43" i="26"/>
  <c r="P43" i="26"/>
  <c r="O43" i="26"/>
  <c r="Q42" i="26"/>
  <c r="P42" i="26"/>
  <c r="O42" i="26"/>
  <c r="Q41" i="26"/>
  <c r="P41" i="26"/>
  <c r="O41" i="26"/>
  <c r="Q40" i="26"/>
  <c r="P40" i="26"/>
  <c r="O40" i="26"/>
  <c r="Q39" i="26"/>
  <c r="P39" i="26"/>
  <c r="O39" i="26"/>
  <c r="Q38" i="26"/>
  <c r="P38" i="26"/>
  <c r="O38" i="26"/>
  <c r="Q37" i="26"/>
  <c r="P37" i="26"/>
  <c r="O37" i="26"/>
  <c r="Q36" i="26"/>
  <c r="P36" i="26"/>
  <c r="O36" i="26"/>
  <c r="Q35" i="26"/>
  <c r="P35" i="26"/>
  <c r="O35" i="26"/>
  <c r="Q34" i="26"/>
  <c r="P34" i="26"/>
  <c r="O34" i="26"/>
  <c r="Q33" i="26"/>
  <c r="P33" i="26"/>
  <c r="O33" i="26"/>
  <c r="Q32" i="26"/>
  <c r="P32" i="26"/>
  <c r="O32" i="26"/>
  <c r="Q31" i="26"/>
  <c r="P31" i="26"/>
  <c r="O31" i="26"/>
  <c r="Q30" i="26"/>
  <c r="P30" i="26"/>
  <c r="O30" i="26"/>
  <c r="Q29" i="26"/>
  <c r="P29" i="26"/>
  <c r="O29" i="26"/>
  <c r="Q28" i="26"/>
  <c r="P28" i="26"/>
  <c r="O28" i="26"/>
  <c r="Q27" i="26"/>
  <c r="P27" i="26"/>
  <c r="O27" i="26"/>
  <c r="Q26" i="26"/>
  <c r="P26" i="26"/>
  <c r="O26" i="26"/>
  <c r="Q25" i="26"/>
  <c r="P25" i="26"/>
  <c r="O25" i="26"/>
  <c r="Q24" i="26"/>
  <c r="P24" i="26"/>
  <c r="O24" i="26"/>
  <c r="Q23" i="26"/>
  <c r="P23" i="26"/>
  <c r="O23" i="26"/>
  <c r="Q22" i="26"/>
  <c r="P22" i="26"/>
  <c r="O22" i="26"/>
  <c r="Q21" i="26"/>
  <c r="P21" i="26"/>
  <c r="O21" i="26"/>
  <c r="Q20" i="26"/>
  <c r="P20" i="26"/>
  <c r="O20" i="26"/>
  <c r="Q19" i="26"/>
  <c r="P19" i="26"/>
  <c r="O19" i="26"/>
  <c r="Q18" i="26"/>
  <c r="P18" i="26"/>
  <c r="O18" i="26"/>
  <c r="Q17" i="26"/>
  <c r="P17" i="26"/>
  <c r="O17" i="26"/>
  <c r="Q16" i="26"/>
  <c r="P16" i="26"/>
  <c r="O16" i="26"/>
  <c r="Q15" i="26"/>
  <c r="P15" i="26"/>
  <c r="O15" i="26"/>
  <c r="Q14" i="26"/>
  <c r="P14" i="26"/>
  <c r="O14" i="26"/>
  <c r="Q13" i="26"/>
  <c r="P13" i="26"/>
  <c r="O13" i="26"/>
  <c r="Q12" i="26"/>
  <c r="P12" i="26"/>
  <c r="O12" i="26"/>
  <c r="Q11" i="26"/>
  <c r="P11" i="26"/>
  <c r="O11" i="26"/>
  <c r="Q10" i="26"/>
  <c r="P10" i="26"/>
  <c r="O10" i="26"/>
  <c r="Q9" i="26"/>
  <c r="P9" i="26"/>
  <c r="O9" i="26"/>
  <c r="Q8" i="26"/>
  <c r="P8" i="26"/>
  <c r="O8" i="26"/>
  <c r="Q7" i="26"/>
  <c r="P7" i="26"/>
  <c r="O7" i="26"/>
  <c r="Q6" i="26"/>
  <c r="P6" i="26"/>
  <c r="O6" i="26"/>
  <c r="Q58" i="25"/>
  <c r="P58" i="25"/>
  <c r="O58" i="25"/>
  <c r="Q57" i="25"/>
  <c r="P57" i="25"/>
  <c r="O57" i="25"/>
  <c r="Q56" i="25"/>
  <c r="P56" i="25"/>
  <c r="O56" i="25"/>
  <c r="Q55" i="25"/>
  <c r="P55" i="25"/>
  <c r="O55" i="25"/>
  <c r="Q54" i="25"/>
  <c r="P54" i="25"/>
  <c r="O54" i="25"/>
  <c r="Q53" i="25"/>
  <c r="P53" i="25"/>
  <c r="O53" i="25"/>
  <c r="Q52" i="25"/>
  <c r="P52" i="25"/>
  <c r="O52" i="25"/>
  <c r="Q51" i="25"/>
  <c r="P51" i="25"/>
  <c r="O51" i="25"/>
  <c r="Q50" i="25"/>
  <c r="P50" i="25"/>
  <c r="O50" i="25"/>
  <c r="Q49" i="25"/>
  <c r="P49" i="25"/>
  <c r="O49" i="25"/>
  <c r="Q48" i="25"/>
  <c r="P48" i="25"/>
  <c r="O48" i="25"/>
  <c r="Q47" i="25"/>
  <c r="P47" i="25"/>
  <c r="O47" i="25"/>
  <c r="Q46" i="25"/>
  <c r="P46" i="25"/>
  <c r="O46" i="25"/>
  <c r="Q45" i="25"/>
  <c r="P45" i="25"/>
  <c r="O45" i="25"/>
  <c r="Q44" i="25"/>
  <c r="P44" i="25"/>
  <c r="O44" i="25"/>
  <c r="Q43" i="25"/>
  <c r="P43" i="25"/>
  <c r="O43" i="25"/>
  <c r="Q42" i="25"/>
  <c r="P42" i="25"/>
  <c r="O42" i="25"/>
  <c r="Q41" i="25"/>
  <c r="P41" i="25"/>
  <c r="O41" i="25"/>
  <c r="Q40" i="25"/>
  <c r="P40" i="25"/>
  <c r="O40" i="25"/>
  <c r="Q39" i="25"/>
  <c r="P39" i="25"/>
  <c r="O39" i="25"/>
  <c r="Q38" i="25"/>
  <c r="P38" i="25"/>
  <c r="O38" i="25"/>
  <c r="Q37" i="25"/>
  <c r="P37" i="25"/>
  <c r="O37" i="25"/>
  <c r="Q36" i="25"/>
  <c r="P36" i="25"/>
  <c r="O36" i="25"/>
  <c r="Q35" i="25"/>
  <c r="P35" i="25"/>
  <c r="O35" i="25"/>
  <c r="Q34" i="25"/>
  <c r="P34" i="25"/>
  <c r="O34" i="25"/>
  <c r="Q33" i="25"/>
  <c r="P33" i="25"/>
  <c r="O33" i="25"/>
  <c r="Q32" i="25"/>
  <c r="P32" i="25"/>
  <c r="O32" i="25"/>
  <c r="Q31" i="25"/>
  <c r="P31" i="25"/>
  <c r="O31" i="25"/>
  <c r="Q30" i="25"/>
  <c r="P30" i="25"/>
  <c r="O30" i="25"/>
  <c r="Q29" i="25"/>
  <c r="P29" i="25"/>
  <c r="O29" i="25"/>
  <c r="Q28" i="25"/>
  <c r="P28" i="25"/>
  <c r="O28" i="25"/>
  <c r="Q27" i="25"/>
  <c r="P27" i="25"/>
  <c r="O27" i="25"/>
  <c r="Q26" i="25"/>
  <c r="P26" i="25"/>
  <c r="O26" i="25"/>
  <c r="Q25" i="25"/>
  <c r="P25" i="25"/>
  <c r="O25" i="25"/>
  <c r="Q24" i="25"/>
  <c r="P24" i="25"/>
  <c r="O24" i="25"/>
  <c r="Q23" i="25"/>
  <c r="P23" i="25"/>
  <c r="O23" i="25"/>
  <c r="Q22" i="25"/>
  <c r="P22" i="25"/>
  <c r="O22" i="25"/>
  <c r="Q21" i="25"/>
  <c r="P21" i="25"/>
  <c r="O21" i="25"/>
  <c r="Q20" i="25"/>
  <c r="P20" i="25"/>
  <c r="O20" i="25"/>
  <c r="Q19" i="25"/>
  <c r="P19" i="25"/>
  <c r="O19" i="25"/>
  <c r="Q18" i="25"/>
  <c r="P18" i="25"/>
  <c r="O18" i="25"/>
  <c r="Q17" i="25"/>
  <c r="P17" i="25"/>
  <c r="O17" i="25"/>
  <c r="Q16" i="25"/>
  <c r="P16" i="25"/>
  <c r="O16" i="25"/>
  <c r="Q15" i="25"/>
  <c r="P15" i="25"/>
  <c r="O15" i="25"/>
  <c r="Q14" i="25"/>
  <c r="P14" i="25"/>
  <c r="O14" i="25"/>
  <c r="Q13" i="25"/>
  <c r="P13" i="25"/>
  <c r="O13" i="25"/>
  <c r="Q12" i="25"/>
  <c r="P12" i="25"/>
  <c r="O12" i="25"/>
  <c r="Q11" i="25"/>
  <c r="P11" i="25"/>
  <c r="O11" i="25"/>
  <c r="Q10" i="25"/>
  <c r="P10" i="25"/>
  <c r="O10" i="25"/>
  <c r="Q9" i="25"/>
  <c r="P9" i="25"/>
  <c r="O9" i="25"/>
  <c r="Q8" i="25"/>
  <c r="P8" i="25"/>
  <c r="O8" i="25"/>
  <c r="Q7" i="25"/>
  <c r="P7" i="25"/>
  <c r="O7" i="25"/>
  <c r="Q6" i="25"/>
  <c r="Q59" i="25" s="1"/>
  <c r="P6" i="25"/>
  <c r="O6" i="25"/>
  <c r="Q58" i="24"/>
  <c r="P58" i="24"/>
  <c r="O58" i="24"/>
  <c r="Q57" i="24"/>
  <c r="P57" i="24"/>
  <c r="O57" i="24"/>
  <c r="Q56" i="24"/>
  <c r="P56" i="24"/>
  <c r="O56" i="24"/>
  <c r="Q55" i="24"/>
  <c r="P55" i="24"/>
  <c r="O55" i="24"/>
  <c r="Q54" i="24"/>
  <c r="P54" i="24"/>
  <c r="O54" i="24"/>
  <c r="Q53" i="24"/>
  <c r="P53" i="24"/>
  <c r="O53" i="24"/>
  <c r="Q52" i="24"/>
  <c r="P52" i="24"/>
  <c r="O52" i="24"/>
  <c r="Q51" i="24"/>
  <c r="P51" i="24"/>
  <c r="O51" i="24"/>
  <c r="Q50" i="24"/>
  <c r="P50" i="24"/>
  <c r="O50" i="24"/>
  <c r="Q49" i="24"/>
  <c r="P49" i="24"/>
  <c r="O49" i="24"/>
  <c r="Q48" i="24"/>
  <c r="P48" i="24"/>
  <c r="O48" i="24"/>
  <c r="Q47" i="24"/>
  <c r="P47" i="24"/>
  <c r="O47" i="24"/>
  <c r="Q46" i="24"/>
  <c r="P46" i="24"/>
  <c r="O46" i="24"/>
  <c r="Q45" i="24"/>
  <c r="P45" i="24"/>
  <c r="O45" i="24"/>
  <c r="Q44" i="24"/>
  <c r="P44" i="24"/>
  <c r="O44" i="24"/>
  <c r="Q43" i="24"/>
  <c r="P43" i="24"/>
  <c r="O43" i="24"/>
  <c r="Q42" i="24"/>
  <c r="P42" i="24"/>
  <c r="O42" i="24"/>
  <c r="Q41" i="24"/>
  <c r="P41" i="24"/>
  <c r="O41" i="24"/>
  <c r="Q40" i="24"/>
  <c r="P40" i="24"/>
  <c r="O40" i="24"/>
  <c r="Q39" i="24"/>
  <c r="P39" i="24"/>
  <c r="O39" i="24"/>
  <c r="Q38" i="24"/>
  <c r="P38" i="24"/>
  <c r="O38" i="24"/>
  <c r="Q37" i="24"/>
  <c r="P37" i="24"/>
  <c r="O37" i="24"/>
  <c r="Q36" i="24"/>
  <c r="P36" i="24"/>
  <c r="O36" i="24"/>
  <c r="Q35" i="24"/>
  <c r="P35" i="24"/>
  <c r="O35" i="24"/>
  <c r="Q34" i="24"/>
  <c r="P34" i="24"/>
  <c r="O34" i="24"/>
  <c r="Q33" i="24"/>
  <c r="P33" i="24"/>
  <c r="O33" i="24"/>
  <c r="Q32" i="24"/>
  <c r="P32" i="24"/>
  <c r="O32" i="24"/>
  <c r="Q31" i="24"/>
  <c r="P31" i="24"/>
  <c r="O31" i="24"/>
  <c r="Q30" i="24"/>
  <c r="P30" i="24"/>
  <c r="O30" i="24"/>
  <c r="Q29" i="24"/>
  <c r="P29" i="24"/>
  <c r="O29" i="24"/>
  <c r="Q28" i="24"/>
  <c r="P28" i="24"/>
  <c r="O28" i="24"/>
  <c r="Q27" i="24"/>
  <c r="P27" i="24"/>
  <c r="O27" i="24"/>
  <c r="Q26" i="24"/>
  <c r="P26" i="24"/>
  <c r="O26" i="24"/>
  <c r="Q25" i="24"/>
  <c r="P25" i="24"/>
  <c r="O25" i="24"/>
  <c r="Q24" i="24"/>
  <c r="P24" i="24"/>
  <c r="O24" i="24"/>
  <c r="Q23" i="24"/>
  <c r="P23" i="24"/>
  <c r="O23" i="24"/>
  <c r="Q22" i="24"/>
  <c r="P22" i="24"/>
  <c r="O22" i="24"/>
  <c r="Q21" i="24"/>
  <c r="P21" i="24"/>
  <c r="O21" i="24"/>
  <c r="Q20" i="24"/>
  <c r="P20" i="24"/>
  <c r="O20" i="24"/>
  <c r="Q19" i="24"/>
  <c r="P19" i="24"/>
  <c r="O19" i="24"/>
  <c r="Q18" i="24"/>
  <c r="P18" i="24"/>
  <c r="O18" i="24"/>
  <c r="Q17" i="24"/>
  <c r="P17" i="24"/>
  <c r="O17" i="24"/>
  <c r="Q16" i="24"/>
  <c r="P16" i="24"/>
  <c r="O16" i="24"/>
  <c r="Q15" i="24"/>
  <c r="P15" i="24"/>
  <c r="O15" i="24"/>
  <c r="Q14" i="24"/>
  <c r="P14" i="24"/>
  <c r="O14" i="24"/>
  <c r="Q13" i="24"/>
  <c r="P13" i="24"/>
  <c r="O13" i="24"/>
  <c r="Q12" i="24"/>
  <c r="P12" i="24"/>
  <c r="O12" i="24"/>
  <c r="Q11" i="24"/>
  <c r="P11" i="24"/>
  <c r="O11" i="24"/>
  <c r="Q10" i="24"/>
  <c r="P10" i="24"/>
  <c r="O10" i="24"/>
  <c r="Q9" i="24"/>
  <c r="P9" i="24"/>
  <c r="O9" i="24"/>
  <c r="Q8" i="24"/>
  <c r="P8" i="24"/>
  <c r="O8" i="24"/>
  <c r="Q7" i="24"/>
  <c r="P7" i="24"/>
  <c r="O7" i="24"/>
  <c r="Q6" i="24"/>
  <c r="P6" i="24"/>
  <c r="O6" i="24"/>
  <c r="Q58" i="23"/>
  <c r="P58" i="23"/>
  <c r="O58" i="23"/>
  <c r="Q57" i="23"/>
  <c r="P57" i="23"/>
  <c r="O57" i="23"/>
  <c r="Q56" i="23"/>
  <c r="P56" i="23"/>
  <c r="O56" i="23"/>
  <c r="Q55" i="23"/>
  <c r="P55" i="23"/>
  <c r="O55" i="23"/>
  <c r="Q54" i="23"/>
  <c r="P54" i="23"/>
  <c r="O54" i="23"/>
  <c r="Q53" i="23"/>
  <c r="P53" i="23"/>
  <c r="O53" i="23"/>
  <c r="Q52" i="23"/>
  <c r="P52" i="23"/>
  <c r="O52" i="23"/>
  <c r="Q51" i="23"/>
  <c r="P51" i="23"/>
  <c r="O51" i="23"/>
  <c r="Q50" i="23"/>
  <c r="P50" i="23"/>
  <c r="O50" i="23"/>
  <c r="Q49" i="23"/>
  <c r="P49" i="23"/>
  <c r="O49" i="23"/>
  <c r="Q48" i="23"/>
  <c r="P48" i="23"/>
  <c r="O48" i="23"/>
  <c r="Q47" i="23"/>
  <c r="P47" i="23"/>
  <c r="O47" i="23"/>
  <c r="Q46" i="23"/>
  <c r="P46" i="23"/>
  <c r="O46" i="23"/>
  <c r="Q45" i="23"/>
  <c r="P45" i="23"/>
  <c r="O45" i="23"/>
  <c r="Q44" i="23"/>
  <c r="P44" i="23"/>
  <c r="O44" i="23"/>
  <c r="Q43" i="23"/>
  <c r="P43" i="23"/>
  <c r="O43" i="23"/>
  <c r="Q42" i="23"/>
  <c r="P42" i="23"/>
  <c r="O42" i="23"/>
  <c r="Q41" i="23"/>
  <c r="P41" i="23"/>
  <c r="O41" i="23"/>
  <c r="Q40" i="23"/>
  <c r="P40" i="23"/>
  <c r="O40" i="23"/>
  <c r="Q39" i="23"/>
  <c r="P39" i="23"/>
  <c r="O39" i="23"/>
  <c r="Q38" i="23"/>
  <c r="P38" i="23"/>
  <c r="O38" i="23"/>
  <c r="Q37" i="23"/>
  <c r="P37" i="23"/>
  <c r="O37" i="23"/>
  <c r="Q36" i="23"/>
  <c r="P36" i="23"/>
  <c r="O36" i="23"/>
  <c r="Q35" i="23"/>
  <c r="P35" i="23"/>
  <c r="O35" i="23"/>
  <c r="Q34" i="23"/>
  <c r="P34" i="23"/>
  <c r="O34" i="23"/>
  <c r="Q33" i="23"/>
  <c r="P33" i="23"/>
  <c r="O33" i="23"/>
  <c r="Q32" i="23"/>
  <c r="P32" i="23"/>
  <c r="O32" i="23"/>
  <c r="Q31" i="23"/>
  <c r="P31" i="23"/>
  <c r="O31" i="23"/>
  <c r="Q30" i="23"/>
  <c r="P30" i="23"/>
  <c r="O30" i="23"/>
  <c r="Q29" i="23"/>
  <c r="P29" i="23"/>
  <c r="O29" i="23"/>
  <c r="Q28" i="23"/>
  <c r="P28" i="23"/>
  <c r="O28" i="23"/>
  <c r="Q27" i="23"/>
  <c r="P27" i="23"/>
  <c r="O27" i="23"/>
  <c r="Q26" i="23"/>
  <c r="P26" i="23"/>
  <c r="O26" i="23"/>
  <c r="Q25" i="23"/>
  <c r="P25" i="23"/>
  <c r="O25" i="23"/>
  <c r="Q24" i="23"/>
  <c r="P24" i="23"/>
  <c r="O24" i="23"/>
  <c r="Q23" i="23"/>
  <c r="P23" i="23"/>
  <c r="O23" i="23"/>
  <c r="Q22" i="23"/>
  <c r="P22" i="23"/>
  <c r="O22" i="23"/>
  <c r="Q21" i="23"/>
  <c r="P21" i="23"/>
  <c r="O21" i="23"/>
  <c r="Q20" i="23"/>
  <c r="P20" i="23"/>
  <c r="O20" i="23"/>
  <c r="Q19" i="23"/>
  <c r="P19" i="23"/>
  <c r="O19" i="23"/>
  <c r="Q18" i="23"/>
  <c r="P18" i="23"/>
  <c r="O18" i="23"/>
  <c r="Q17" i="23"/>
  <c r="P17" i="23"/>
  <c r="O17" i="23"/>
  <c r="Q16" i="23"/>
  <c r="P16" i="23"/>
  <c r="O16" i="23"/>
  <c r="Q15" i="23"/>
  <c r="P15" i="23"/>
  <c r="O15" i="23"/>
  <c r="Q14" i="23"/>
  <c r="P14" i="23"/>
  <c r="O14" i="23"/>
  <c r="Q13" i="23"/>
  <c r="P13" i="23"/>
  <c r="O13" i="23"/>
  <c r="Q12" i="23"/>
  <c r="P12" i="23"/>
  <c r="O12" i="23"/>
  <c r="Q11" i="23"/>
  <c r="P11" i="23"/>
  <c r="O11" i="23"/>
  <c r="Q10" i="23"/>
  <c r="P10" i="23"/>
  <c r="O10" i="23"/>
  <c r="Q9" i="23"/>
  <c r="P9" i="23"/>
  <c r="O9" i="23"/>
  <c r="Q8" i="23"/>
  <c r="P8" i="23"/>
  <c r="O8" i="23"/>
  <c r="Q7" i="23"/>
  <c r="P7" i="23"/>
  <c r="O7" i="23"/>
  <c r="Q6" i="23"/>
  <c r="P6" i="23"/>
  <c r="O6" i="23"/>
  <c r="Q58" i="21"/>
  <c r="P58" i="21"/>
  <c r="O58" i="21"/>
  <c r="Q57" i="21"/>
  <c r="P57" i="21"/>
  <c r="O57" i="21"/>
  <c r="Q56" i="21"/>
  <c r="P56" i="21"/>
  <c r="O56" i="21"/>
  <c r="Q55" i="21"/>
  <c r="P55" i="21"/>
  <c r="O55" i="21"/>
  <c r="Q54" i="21"/>
  <c r="P54" i="21"/>
  <c r="O54" i="21"/>
  <c r="Q53" i="21"/>
  <c r="P53" i="21"/>
  <c r="O53" i="21"/>
  <c r="Q52" i="21"/>
  <c r="P52" i="21"/>
  <c r="O52" i="21"/>
  <c r="Q51" i="21"/>
  <c r="P51" i="21"/>
  <c r="O51" i="21"/>
  <c r="Q50" i="21"/>
  <c r="P50" i="21"/>
  <c r="O50" i="21"/>
  <c r="Q49" i="21"/>
  <c r="P49" i="21"/>
  <c r="O49" i="21"/>
  <c r="Q48" i="21"/>
  <c r="P48" i="21"/>
  <c r="O48" i="21"/>
  <c r="Q47" i="21"/>
  <c r="P47" i="21"/>
  <c r="O47" i="21"/>
  <c r="Q46" i="21"/>
  <c r="P46" i="21"/>
  <c r="O46" i="21"/>
  <c r="Q45" i="21"/>
  <c r="P45" i="21"/>
  <c r="O45" i="21"/>
  <c r="Q44" i="21"/>
  <c r="P44" i="21"/>
  <c r="O44" i="21"/>
  <c r="Q43" i="21"/>
  <c r="P43" i="21"/>
  <c r="O43" i="21"/>
  <c r="Q42" i="21"/>
  <c r="P42" i="21"/>
  <c r="O42" i="21"/>
  <c r="Q41" i="21"/>
  <c r="P41" i="21"/>
  <c r="O41" i="21"/>
  <c r="Q40" i="21"/>
  <c r="P40" i="21"/>
  <c r="O40" i="21"/>
  <c r="Q39" i="21"/>
  <c r="P39" i="21"/>
  <c r="O39" i="21"/>
  <c r="Q38" i="21"/>
  <c r="P38" i="21"/>
  <c r="O38" i="21"/>
  <c r="Q37" i="21"/>
  <c r="P37" i="21"/>
  <c r="O37" i="21"/>
  <c r="Q36" i="21"/>
  <c r="P36" i="21"/>
  <c r="O36" i="21"/>
  <c r="Q35" i="21"/>
  <c r="P35" i="21"/>
  <c r="O35" i="21"/>
  <c r="Q34" i="21"/>
  <c r="P34" i="21"/>
  <c r="O34" i="21"/>
  <c r="Q33" i="21"/>
  <c r="P33" i="21"/>
  <c r="O33" i="21"/>
  <c r="Q32" i="21"/>
  <c r="P32" i="21"/>
  <c r="O32" i="21"/>
  <c r="Q31" i="21"/>
  <c r="P31" i="21"/>
  <c r="O31" i="21"/>
  <c r="Q30" i="21"/>
  <c r="P30" i="21"/>
  <c r="O30" i="21"/>
  <c r="Q29" i="21"/>
  <c r="P29" i="21"/>
  <c r="O29" i="21"/>
  <c r="Q28" i="21"/>
  <c r="P28" i="21"/>
  <c r="O28" i="21"/>
  <c r="Q27" i="21"/>
  <c r="P27" i="21"/>
  <c r="O27" i="21"/>
  <c r="Q26" i="21"/>
  <c r="P26" i="21"/>
  <c r="O26" i="21"/>
  <c r="Q25" i="21"/>
  <c r="P25" i="21"/>
  <c r="O25" i="21"/>
  <c r="Q24" i="21"/>
  <c r="P24" i="21"/>
  <c r="O24" i="21"/>
  <c r="Q23" i="21"/>
  <c r="P23" i="21"/>
  <c r="O23" i="21"/>
  <c r="Q22" i="21"/>
  <c r="P22" i="21"/>
  <c r="O22" i="21"/>
  <c r="Q21" i="21"/>
  <c r="P21" i="21"/>
  <c r="O21" i="21"/>
  <c r="Q20" i="21"/>
  <c r="P20" i="21"/>
  <c r="O20" i="21"/>
  <c r="Q19" i="21"/>
  <c r="P19" i="21"/>
  <c r="O19" i="21"/>
  <c r="Q18" i="21"/>
  <c r="P18" i="21"/>
  <c r="O18" i="21"/>
  <c r="Q17" i="21"/>
  <c r="P17" i="21"/>
  <c r="O17" i="21"/>
  <c r="Q16" i="21"/>
  <c r="P16" i="21"/>
  <c r="O16" i="21"/>
  <c r="Q15" i="21"/>
  <c r="P15" i="21"/>
  <c r="O15" i="21"/>
  <c r="Q14" i="21"/>
  <c r="P14" i="21"/>
  <c r="O14" i="21"/>
  <c r="Q13" i="21"/>
  <c r="P13" i="21"/>
  <c r="O13" i="21"/>
  <c r="Q12" i="21"/>
  <c r="P12" i="21"/>
  <c r="O12" i="21"/>
  <c r="Q11" i="21"/>
  <c r="P11" i="21"/>
  <c r="O11" i="21"/>
  <c r="Q10" i="21"/>
  <c r="P10" i="21"/>
  <c r="O10" i="21"/>
  <c r="Q9" i="21"/>
  <c r="P9" i="21"/>
  <c r="O9" i="21"/>
  <c r="Q8" i="21"/>
  <c r="P8" i="21"/>
  <c r="O8" i="21"/>
  <c r="Q7" i="21"/>
  <c r="P7" i="21"/>
  <c r="O7" i="21"/>
  <c r="Q6" i="21"/>
  <c r="P6" i="21"/>
  <c r="O6" i="21"/>
  <c r="U6" i="24" l="1"/>
  <c r="U10" i="24"/>
  <c r="U14" i="24"/>
  <c r="U18" i="24"/>
  <c r="U22" i="24"/>
  <c r="U26" i="24"/>
  <c r="U30" i="24"/>
  <c r="U34" i="24"/>
  <c r="U38" i="24"/>
  <c r="U42" i="24"/>
  <c r="U46" i="24"/>
  <c r="U50" i="24"/>
  <c r="U54" i="24"/>
  <c r="U58" i="24"/>
  <c r="U9" i="25"/>
  <c r="U13" i="25"/>
  <c r="U17" i="25"/>
  <c r="U21" i="25"/>
  <c r="U25" i="25"/>
  <c r="U29" i="25"/>
  <c r="U33" i="25"/>
  <c r="U37" i="25"/>
  <c r="U41" i="25"/>
  <c r="U45" i="25"/>
  <c r="U49" i="25"/>
  <c r="U53" i="25"/>
  <c r="U57" i="25"/>
  <c r="U8" i="26"/>
  <c r="U12" i="26"/>
  <c r="U16" i="26"/>
  <c r="U20" i="26"/>
  <c r="U24" i="26"/>
  <c r="U28" i="26"/>
  <c r="U32" i="26"/>
  <c r="U36" i="26"/>
  <c r="U40" i="26"/>
  <c r="U44" i="26"/>
  <c r="U48" i="26"/>
  <c r="U52" i="26"/>
  <c r="U56" i="26"/>
  <c r="U8" i="24"/>
  <c r="U12" i="24"/>
  <c r="U16" i="24"/>
  <c r="U20" i="24"/>
  <c r="U24" i="24"/>
  <c r="U28" i="24"/>
  <c r="U32" i="24"/>
  <c r="U36" i="24"/>
  <c r="U40" i="24"/>
  <c r="U44" i="24"/>
  <c r="U48" i="24"/>
  <c r="U52" i="24"/>
  <c r="U56" i="24"/>
  <c r="U7" i="25"/>
  <c r="U11" i="25"/>
  <c r="U15" i="25"/>
  <c r="U19" i="25"/>
  <c r="U23" i="25"/>
  <c r="U27" i="25"/>
  <c r="U31" i="25"/>
  <c r="U35" i="25"/>
  <c r="U39" i="25"/>
  <c r="U43" i="25"/>
  <c r="U47" i="25"/>
  <c r="U51" i="25"/>
  <c r="U55" i="25"/>
  <c r="O59" i="26"/>
  <c r="S59" i="26" s="1"/>
  <c r="U10" i="26"/>
  <c r="U14" i="26"/>
  <c r="U18" i="26"/>
  <c r="U22" i="26"/>
  <c r="U26" i="26"/>
  <c r="U30" i="26"/>
  <c r="U34" i="26"/>
  <c r="U38" i="26"/>
  <c r="U42" i="26"/>
  <c r="U46" i="26"/>
  <c r="U50" i="26"/>
  <c r="U54" i="26"/>
  <c r="U58" i="26"/>
  <c r="U9" i="23"/>
  <c r="U13" i="23"/>
  <c r="U21" i="23"/>
  <c r="U29" i="23"/>
  <c r="U41" i="23"/>
  <c r="U45" i="23"/>
  <c r="U49" i="23"/>
  <c r="U57" i="23"/>
  <c r="U37" i="23"/>
  <c r="U53" i="23"/>
  <c r="U17" i="23"/>
  <c r="U33" i="23"/>
  <c r="U25" i="23"/>
  <c r="U7" i="23"/>
  <c r="U11" i="23"/>
  <c r="U15" i="23"/>
  <c r="U19" i="23"/>
  <c r="U23" i="23"/>
  <c r="U27" i="23"/>
  <c r="U31" i="23"/>
  <c r="U35" i="23"/>
  <c r="U39" i="23"/>
  <c r="U43" i="23"/>
  <c r="U47" i="23"/>
  <c r="U51" i="23"/>
  <c r="U55" i="23"/>
  <c r="P59" i="26"/>
  <c r="Q59" i="26"/>
  <c r="U10" i="23"/>
  <c r="U14" i="23"/>
  <c r="U18" i="23"/>
  <c r="U22" i="23"/>
  <c r="U26" i="23"/>
  <c r="U30" i="23"/>
  <c r="U34" i="23"/>
  <c r="U38" i="23"/>
  <c r="U42" i="23"/>
  <c r="U46" i="23"/>
  <c r="U50" i="23"/>
  <c r="U54" i="23"/>
  <c r="U58" i="23"/>
  <c r="U9" i="24"/>
  <c r="U13" i="24"/>
  <c r="U17" i="24"/>
  <c r="U21" i="24"/>
  <c r="U25" i="24"/>
  <c r="U29" i="24"/>
  <c r="U33" i="24"/>
  <c r="U37" i="24"/>
  <c r="U41" i="24"/>
  <c r="U45" i="24"/>
  <c r="U49" i="24"/>
  <c r="U53" i="24"/>
  <c r="U57" i="24"/>
  <c r="U8" i="25"/>
  <c r="U12" i="25"/>
  <c r="U16" i="25"/>
  <c r="U20" i="25"/>
  <c r="U24" i="25"/>
  <c r="U28" i="25"/>
  <c r="U32" i="25"/>
  <c r="U36" i="25"/>
  <c r="U40" i="25"/>
  <c r="U44" i="25"/>
  <c r="U48" i="25"/>
  <c r="U52" i="25"/>
  <c r="U56" i="25"/>
  <c r="U7" i="26"/>
  <c r="U11" i="26"/>
  <c r="U15" i="26"/>
  <c r="U19" i="26"/>
  <c r="U23" i="26"/>
  <c r="U27" i="26"/>
  <c r="U31" i="26"/>
  <c r="U35" i="26"/>
  <c r="U39" i="26"/>
  <c r="U43" i="26"/>
  <c r="U47" i="26"/>
  <c r="U51" i="26"/>
  <c r="U55" i="26"/>
  <c r="P59" i="24"/>
  <c r="Q59" i="24"/>
  <c r="U8" i="23"/>
  <c r="U12" i="23"/>
  <c r="U16" i="23"/>
  <c r="U20" i="23"/>
  <c r="U24" i="23"/>
  <c r="U28" i="23"/>
  <c r="U32" i="23"/>
  <c r="U36" i="23"/>
  <c r="U40" i="23"/>
  <c r="U44" i="23"/>
  <c r="U48" i="23"/>
  <c r="U52" i="23"/>
  <c r="U56" i="23"/>
  <c r="U7" i="24"/>
  <c r="U11" i="24"/>
  <c r="U15" i="24"/>
  <c r="U19" i="24"/>
  <c r="U23" i="24"/>
  <c r="U27" i="24"/>
  <c r="U31" i="24"/>
  <c r="U35" i="24"/>
  <c r="U39" i="24"/>
  <c r="U43" i="24"/>
  <c r="U47" i="24"/>
  <c r="U51" i="24"/>
  <c r="U55" i="24"/>
  <c r="O59" i="25"/>
  <c r="S59" i="25" s="1"/>
  <c r="U10" i="25"/>
  <c r="U14" i="25"/>
  <c r="U18" i="25"/>
  <c r="U22" i="25"/>
  <c r="U26" i="25"/>
  <c r="U30" i="25"/>
  <c r="U34" i="25"/>
  <c r="U38" i="25"/>
  <c r="U42" i="25"/>
  <c r="U46" i="25"/>
  <c r="U50" i="25"/>
  <c r="U54" i="25"/>
  <c r="U58" i="25"/>
  <c r="U9" i="26"/>
  <c r="U13" i="26"/>
  <c r="U17" i="26"/>
  <c r="U21" i="26"/>
  <c r="U25" i="26"/>
  <c r="U29" i="26"/>
  <c r="U33" i="26"/>
  <c r="U37" i="26"/>
  <c r="U41" i="26"/>
  <c r="U45" i="26"/>
  <c r="U49" i="26"/>
  <c r="U53" i="26"/>
  <c r="U57" i="26"/>
  <c r="P59" i="25"/>
  <c r="Q59" i="23"/>
  <c r="O59" i="23"/>
  <c r="P59" i="23"/>
  <c r="U36" i="21"/>
  <c r="U40" i="21"/>
  <c r="U44" i="21"/>
  <c r="U48" i="21"/>
  <c r="U8" i="21"/>
  <c r="U12" i="21"/>
  <c r="U16" i="21"/>
  <c r="U20" i="21"/>
  <c r="U24" i="21"/>
  <c r="U28" i="21"/>
  <c r="U32" i="21"/>
  <c r="U52" i="21"/>
  <c r="U9" i="21"/>
  <c r="U10" i="21"/>
  <c r="U14" i="21"/>
  <c r="U18" i="21"/>
  <c r="U22" i="21"/>
  <c r="U26" i="21"/>
  <c r="U30" i="21"/>
  <c r="U34" i="21"/>
  <c r="U38" i="21"/>
  <c r="U42" i="21"/>
  <c r="U46" i="21"/>
  <c r="U50" i="21"/>
  <c r="U54" i="21"/>
  <c r="U58" i="21"/>
  <c r="U7" i="21"/>
  <c r="U11" i="21"/>
  <c r="U15" i="21"/>
  <c r="U19" i="21"/>
  <c r="U23" i="21"/>
  <c r="U27" i="21"/>
  <c r="U31" i="21"/>
  <c r="U35" i="21"/>
  <c r="U39" i="21"/>
  <c r="U43" i="21"/>
  <c r="U47" i="21"/>
  <c r="U51" i="21"/>
  <c r="U55" i="21"/>
  <c r="U56" i="21"/>
  <c r="U13" i="21"/>
  <c r="U17" i="21"/>
  <c r="U21" i="21"/>
  <c r="U25" i="21"/>
  <c r="U29" i="21"/>
  <c r="U33" i="21"/>
  <c r="U37" i="21"/>
  <c r="U41" i="21"/>
  <c r="U45" i="21"/>
  <c r="U49" i="21"/>
  <c r="U53" i="21"/>
  <c r="U57" i="21"/>
  <c r="O59" i="21"/>
  <c r="P59" i="21"/>
  <c r="Q59" i="21"/>
  <c r="U6" i="23"/>
  <c r="U6" i="25"/>
  <c r="U6" i="26"/>
  <c r="O59" i="24"/>
  <c r="U6" i="21"/>
  <c r="W24" i="23" l="1"/>
  <c r="S59" i="24"/>
  <c r="S59" i="23"/>
  <c r="S59" i="2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<sst xmlns="http://schemas.openxmlformats.org/spreadsheetml/2006/main" count="1090" uniqueCount="319">
  <si>
    <t>경비 사용 내역서 현황</t>
    <phoneticPr fontId="3" type="noConversion"/>
  </si>
  <si>
    <t>결 재</t>
    <phoneticPr fontId="3" type="noConversion"/>
  </si>
  <si>
    <t>대표</t>
    <phoneticPr fontId="8" type="noConversion"/>
  </si>
  <si>
    <t>항목</t>
    <phoneticPr fontId="3" type="noConversion"/>
  </si>
  <si>
    <t>내역</t>
    <phoneticPr fontId="3" type="noConversion"/>
  </si>
  <si>
    <t>원가 현황 (단위: 원)</t>
    <phoneticPr fontId="3" type="noConversion"/>
  </si>
  <si>
    <t>소계</t>
    <phoneticPr fontId="3" type="noConversion"/>
  </si>
  <si>
    <t>번호</t>
  </si>
  <si>
    <t>날짜</t>
  </si>
  <si>
    <t>업체명</t>
  </si>
  <si>
    <t>적요</t>
    <phoneticPr fontId="8" type="noConversion"/>
  </si>
  <si>
    <t>내용</t>
  </si>
  <si>
    <t>현금</t>
    <phoneticPr fontId="3" type="noConversion"/>
  </si>
  <si>
    <t>카드</t>
    <phoneticPr fontId="3" type="noConversion"/>
  </si>
  <si>
    <t>이체</t>
    <phoneticPr fontId="3" type="noConversion"/>
  </si>
  <si>
    <t>부가세 납부 유무</t>
  </si>
  <si>
    <t>비고</t>
  </si>
  <si>
    <t>비용항목</t>
    <phoneticPr fontId="3" type="noConversion"/>
  </si>
  <si>
    <t>적요</t>
    <phoneticPr fontId="3" type="noConversion"/>
  </si>
  <si>
    <t>비고</t>
    <phoneticPr fontId="3" type="noConversion"/>
  </si>
  <si>
    <t>급료 및 임금</t>
    <phoneticPr fontId="3" type="noConversion"/>
  </si>
  <si>
    <t>급여</t>
    <phoneticPr fontId="3" type="noConversion"/>
  </si>
  <si>
    <t>당번, 청소팀</t>
    <phoneticPr fontId="3" type="noConversion"/>
  </si>
  <si>
    <t>청소 아르바이트</t>
    <phoneticPr fontId="3" type="noConversion"/>
  </si>
  <si>
    <t>당번 아르바이트</t>
    <phoneticPr fontId="3" type="noConversion"/>
  </si>
  <si>
    <t>주차알바</t>
    <phoneticPr fontId="3" type="noConversion"/>
  </si>
  <si>
    <t>월 추가 수당</t>
    <phoneticPr fontId="3" type="noConversion"/>
  </si>
  <si>
    <t>청소팀 휴무수당, 배팅비 등</t>
    <phoneticPr fontId="3" type="noConversion"/>
  </si>
  <si>
    <t>복리후생비</t>
    <phoneticPr fontId="3" type="noConversion"/>
  </si>
  <si>
    <t>청소팀 알바 식대</t>
    <phoneticPr fontId="3" type="noConversion"/>
  </si>
  <si>
    <t>직원 간식대</t>
    <phoneticPr fontId="3" type="noConversion"/>
  </si>
  <si>
    <t>수선비</t>
    <phoneticPr fontId="3" type="noConversion"/>
  </si>
  <si>
    <t>소모품비</t>
    <phoneticPr fontId="3" type="noConversion"/>
  </si>
  <si>
    <t>각종 소모품 비</t>
    <phoneticPr fontId="3" type="noConversion"/>
  </si>
  <si>
    <t>기타</t>
    <phoneticPr fontId="3" type="noConversion"/>
  </si>
  <si>
    <t>지급 수수료</t>
    <phoneticPr fontId="3" type="noConversion"/>
  </si>
  <si>
    <t>웅진코웨이</t>
    <phoneticPr fontId="3" type="noConversion"/>
  </si>
  <si>
    <t>세스코</t>
    <phoneticPr fontId="3" type="noConversion"/>
  </si>
  <si>
    <t>자동이체</t>
    <phoneticPr fontId="3" type="noConversion"/>
  </si>
  <si>
    <t>여기어때 수수료</t>
    <phoneticPr fontId="3" type="noConversion"/>
  </si>
  <si>
    <t>야놀자 수수료</t>
    <phoneticPr fontId="3" type="noConversion"/>
  </si>
  <si>
    <t>각종 플랫폼 수수료</t>
    <phoneticPr fontId="3" type="noConversion"/>
  </si>
  <si>
    <t>음료 및 린넨등</t>
    <phoneticPr fontId="3" type="noConversion"/>
  </si>
  <si>
    <t>PC 관리비</t>
    <phoneticPr fontId="3" type="noConversion"/>
  </si>
  <si>
    <t>SW 솔류션</t>
    <phoneticPr fontId="3" type="noConversion"/>
  </si>
  <si>
    <t>기타 지급 수수료</t>
    <phoneticPr fontId="3" type="noConversion"/>
  </si>
  <si>
    <t>카드매출 수수료</t>
    <phoneticPr fontId="3" type="noConversion"/>
  </si>
  <si>
    <t>넷플릿스 요금</t>
    <phoneticPr fontId="3" type="noConversion"/>
  </si>
  <si>
    <t>차량 리스료</t>
    <phoneticPr fontId="3" type="noConversion"/>
  </si>
  <si>
    <t>통신비</t>
    <phoneticPr fontId="3" type="noConversion"/>
  </si>
  <si>
    <t>핸드폰 요금</t>
    <phoneticPr fontId="3" type="noConversion"/>
  </si>
  <si>
    <t>KT 인터넷 요금</t>
    <phoneticPr fontId="3" type="noConversion"/>
  </si>
  <si>
    <t>전화 요금</t>
    <phoneticPr fontId="3" type="noConversion"/>
  </si>
  <si>
    <t>동력용수 광열비</t>
    <phoneticPr fontId="3" type="noConversion"/>
  </si>
  <si>
    <t>가스 요금</t>
    <phoneticPr fontId="3" type="noConversion"/>
  </si>
  <si>
    <t>객실 난방.온수</t>
    <phoneticPr fontId="3" type="noConversion"/>
  </si>
  <si>
    <t>교통유발부담금</t>
    <phoneticPr fontId="3" type="noConversion"/>
  </si>
  <si>
    <t>광고비용</t>
    <phoneticPr fontId="3" type="noConversion"/>
  </si>
  <si>
    <t>각종 광고</t>
    <phoneticPr fontId="3" type="noConversion"/>
  </si>
  <si>
    <t>잠자리</t>
    <phoneticPr fontId="3" type="noConversion"/>
  </si>
  <si>
    <t>세금과 공과</t>
    <phoneticPr fontId="3" type="noConversion"/>
  </si>
  <si>
    <t>자동차 세</t>
    <phoneticPr fontId="3" type="noConversion"/>
  </si>
  <si>
    <t>주민세</t>
    <phoneticPr fontId="3" type="noConversion"/>
  </si>
  <si>
    <t>재산세</t>
    <phoneticPr fontId="3" type="noConversion"/>
  </si>
  <si>
    <t>소득세</t>
    <phoneticPr fontId="3" type="noConversion"/>
  </si>
  <si>
    <t>전체 원가 7% 적용</t>
    <phoneticPr fontId="3" type="noConversion"/>
  </si>
  <si>
    <t>합계</t>
    <phoneticPr fontId="3" type="noConversion"/>
  </si>
  <si>
    <t>총계</t>
    <phoneticPr fontId="3" type="noConversion"/>
  </si>
  <si>
    <t>지방소득세</t>
    <phoneticPr fontId="3" type="noConversion"/>
  </si>
  <si>
    <t>근로 소득세</t>
    <phoneticPr fontId="3" type="noConversion"/>
  </si>
  <si>
    <t>퇴직금</t>
    <phoneticPr fontId="3" type="noConversion"/>
  </si>
  <si>
    <t>등록면허세</t>
    <phoneticPr fontId="3" type="noConversion"/>
  </si>
  <si>
    <t>기타잡비</t>
    <phoneticPr fontId="3" type="noConversion"/>
  </si>
  <si>
    <t>수도 요금</t>
    <phoneticPr fontId="3" type="noConversion"/>
  </si>
  <si>
    <t>전기 요금</t>
    <phoneticPr fontId="3" type="noConversion"/>
  </si>
  <si>
    <t>엘리베이터 수수료</t>
    <phoneticPr fontId="3" type="noConversion"/>
  </si>
  <si>
    <t>무선 단말기</t>
    <phoneticPr fontId="3" type="noConversion"/>
  </si>
  <si>
    <t>세무 기장료</t>
    <phoneticPr fontId="3" type="noConversion"/>
  </si>
  <si>
    <t>노무 대행료</t>
    <phoneticPr fontId="3" type="noConversion"/>
  </si>
  <si>
    <t>VR사용료</t>
    <phoneticPr fontId="3" type="noConversion"/>
  </si>
  <si>
    <t>도시가스 요금</t>
    <phoneticPr fontId="3" type="noConversion"/>
  </si>
  <si>
    <t>여기어때 광고</t>
    <phoneticPr fontId="3" type="noConversion"/>
  </si>
  <si>
    <t>야놀자 광고</t>
    <phoneticPr fontId="3" type="noConversion"/>
  </si>
  <si>
    <t>스낵바(마트)</t>
    <phoneticPr fontId="3" type="noConversion"/>
  </si>
  <si>
    <t>부가세</t>
    <phoneticPr fontId="3" type="noConversion"/>
  </si>
  <si>
    <t>택배</t>
    <phoneticPr fontId="3" type="noConversion"/>
  </si>
  <si>
    <t>세탁비</t>
    <phoneticPr fontId="3" type="noConversion"/>
  </si>
  <si>
    <t>소방관리비</t>
    <phoneticPr fontId="3" type="noConversion"/>
  </si>
  <si>
    <t>건물/ 인테리어 수선비</t>
    <phoneticPr fontId="3" type="noConversion"/>
  </si>
  <si>
    <t>구인광고</t>
    <phoneticPr fontId="3" type="noConversion"/>
  </si>
  <si>
    <t>직원 식대</t>
    <phoneticPr fontId="3" type="noConversion"/>
  </si>
  <si>
    <t>4대보험</t>
    <phoneticPr fontId="3" type="noConversion"/>
  </si>
  <si>
    <t>소모품(마트)</t>
    <phoneticPr fontId="3" type="noConversion"/>
  </si>
  <si>
    <t>스낵바/소모품 (쿠팡)</t>
    <phoneticPr fontId="3" type="noConversion"/>
  </si>
  <si>
    <t>유통비용</t>
    <phoneticPr fontId="3" type="noConversion"/>
  </si>
  <si>
    <t>주차알바 식대</t>
    <phoneticPr fontId="3" type="noConversion"/>
  </si>
  <si>
    <t>호텔 손익 분석 현황</t>
    <phoneticPr fontId="3" type="noConversion"/>
  </si>
  <si>
    <t>이사</t>
    <phoneticPr fontId="8" type="noConversion"/>
  </si>
  <si>
    <t>티</t>
    <phoneticPr fontId="8" type="noConversion"/>
  </si>
  <si>
    <t>팀장</t>
    <phoneticPr fontId="3" type="noConversion"/>
  </si>
  <si>
    <t>원탑부동산</t>
    <phoneticPr fontId="3" type="noConversion"/>
  </si>
  <si>
    <t>244호 중개수수료</t>
    <phoneticPr fontId="3" type="noConversion"/>
  </si>
  <si>
    <t>244호 소유주</t>
    <phoneticPr fontId="3" type="noConversion"/>
  </si>
  <si>
    <t>보증금</t>
    <phoneticPr fontId="3" type="noConversion"/>
  </si>
  <si>
    <t>월차임선불</t>
    <phoneticPr fontId="3" type="noConversion"/>
  </si>
  <si>
    <t>시타딘호텔</t>
    <phoneticPr fontId="3" type="noConversion"/>
  </si>
  <si>
    <t>대체숙소제공</t>
    <phoneticPr fontId="3" type="noConversion"/>
  </si>
  <si>
    <t>여기어때</t>
    <phoneticPr fontId="3" type="noConversion"/>
  </si>
  <si>
    <t>7월 광고료 31일</t>
    <phoneticPr fontId="3" type="noConversion"/>
  </si>
  <si>
    <t>비즈하우스</t>
    <phoneticPr fontId="3" type="noConversion"/>
  </si>
  <si>
    <t>sign물</t>
    <phoneticPr fontId="3" type="noConversion"/>
  </si>
  <si>
    <t>j유통</t>
    <phoneticPr fontId="3" type="noConversion"/>
  </si>
  <si>
    <t>초기 물량</t>
    <phoneticPr fontId="3" type="noConversion"/>
  </si>
  <si>
    <t>토탈 비품</t>
    <phoneticPr fontId="3" type="noConversion"/>
  </si>
  <si>
    <t>린넨</t>
    <phoneticPr fontId="3" type="noConversion"/>
  </si>
  <si>
    <t>주방용품</t>
    <phoneticPr fontId="3" type="noConversion"/>
  </si>
  <si>
    <t>온라인주문</t>
    <phoneticPr fontId="3" type="noConversion"/>
  </si>
  <si>
    <t>오프라인</t>
    <phoneticPr fontId="3" type="noConversion"/>
  </si>
  <si>
    <t>PC,콘센트등</t>
    <phoneticPr fontId="3" type="noConversion"/>
  </si>
  <si>
    <t>사무실 집기류</t>
    <phoneticPr fontId="3" type="noConversion"/>
  </si>
  <si>
    <t>쿠팡</t>
    <phoneticPr fontId="3" type="noConversion"/>
  </si>
  <si>
    <t>서원유통</t>
    <phoneticPr fontId="3" type="noConversion"/>
  </si>
  <si>
    <t>청소용품</t>
    <phoneticPr fontId="3" type="noConversion"/>
  </si>
  <si>
    <t>청소팀 용품</t>
    <phoneticPr fontId="3" type="noConversion"/>
  </si>
  <si>
    <t>티앤에이치</t>
    <phoneticPr fontId="3" type="noConversion"/>
  </si>
  <si>
    <t>종량제 75L</t>
    <phoneticPr fontId="3" type="noConversion"/>
  </si>
  <si>
    <t>중개수수료</t>
    <phoneticPr fontId="3" type="noConversion"/>
  </si>
  <si>
    <t>월차임</t>
    <phoneticPr fontId="3" type="noConversion"/>
  </si>
  <si>
    <t>영업신고증</t>
    <phoneticPr fontId="3" type="noConversion"/>
  </si>
  <si>
    <t>영도구청</t>
    <phoneticPr fontId="3" type="noConversion"/>
  </si>
  <si>
    <t>당근 수납장</t>
    <phoneticPr fontId="3" type="noConversion"/>
  </si>
  <si>
    <t>호텔용품</t>
    <phoneticPr fontId="3" type="noConversion"/>
  </si>
  <si>
    <t>다이소</t>
    <phoneticPr fontId="3" type="noConversion"/>
  </si>
  <si>
    <t>사무용품</t>
    <phoneticPr fontId="3" type="noConversion"/>
  </si>
  <si>
    <t>KT 인터넷 객실</t>
    <phoneticPr fontId="3" type="noConversion"/>
  </si>
  <si>
    <t>KT 인터넷 244</t>
    <phoneticPr fontId="3" type="noConversion"/>
  </si>
  <si>
    <t>관리비</t>
    <phoneticPr fontId="3" type="noConversion"/>
  </si>
  <si>
    <t xml:space="preserve">경동택배 </t>
    <phoneticPr fontId="3" type="noConversion"/>
  </si>
  <si>
    <t>롯데슈퍼</t>
    <phoneticPr fontId="3" type="noConversion"/>
  </si>
  <si>
    <t>종량제 75L*20장</t>
    <phoneticPr fontId="3" type="noConversion"/>
  </si>
  <si>
    <t>하나방역</t>
    <phoneticPr fontId="3" type="noConversion"/>
  </si>
  <si>
    <t>하나방역</t>
    <phoneticPr fontId="3" type="noConversion"/>
  </si>
  <si>
    <t>객실 방역</t>
    <phoneticPr fontId="3" type="noConversion"/>
  </si>
  <si>
    <t>방역</t>
    <phoneticPr fontId="3" type="noConversion"/>
  </si>
  <si>
    <t>쿠팡</t>
    <phoneticPr fontId="3" type="noConversion"/>
  </si>
  <si>
    <t>사무용품 집기류</t>
    <phoneticPr fontId="3" type="noConversion"/>
  </si>
  <si>
    <t>외주업체</t>
    <phoneticPr fontId="3" type="noConversion"/>
  </si>
  <si>
    <t xml:space="preserve">페인트 작업 </t>
    <phoneticPr fontId="3" type="noConversion"/>
  </si>
  <si>
    <t xml:space="preserve">객실 카드키 관리 </t>
    <phoneticPr fontId="3" type="noConversion"/>
  </si>
  <si>
    <t>㈜더엠알네트웍스</t>
    <phoneticPr fontId="3" type="noConversion"/>
  </si>
  <si>
    <t>RF 도어락,객실키</t>
    <phoneticPr fontId="3" type="noConversion"/>
  </si>
  <si>
    <t>㈜ 호텔스토리</t>
    <phoneticPr fontId="3" type="noConversion"/>
  </si>
  <si>
    <t>카드키 발급</t>
    <phoneticPr fontId="3" type="noConversion"/>
  </si>
  <si>
    <t>채널매니저 월이용료</t>
    <phoneticPr fontId="3" type="noConversion"/>
  </si>
  <si>
    <t>CMS 구축비용(1회성)</t>
    <phoneticPr fontId="3" type="noConversion"/>
  </si>
  <si>
    <t xml:space="preserve">RF카드키 발급 </t>
    <phoneticPr fontId="3" type="noConversion"/>
  </si>
  <si>
    <t>태양물류</t>
    <phoneticPr fontId="3" type="noConversion"/>
  </si>
  <si>
    <t>물류 배송비</t>
    <phoneticPr fontId="3" type="noConversion"/>
  </si>
  <si>
    <t>S.J 크리스탈네트웍스</t>
    <phoneticPr fontId="3" type="noConversion"/>
  </si>
  <si>
    <t>도어락 /게이트웨이</t>
    <phoneticPr fontId="3" type="noConversion"/>
  </si>
  <si>
    <t>푸르지오호텔상가</t>
    <phoneticPr fontId="3" type="noConversion"/>
  </si>
  <si>
    <t>경남크린산업</t>
    <phoneticPr fontId="3" type="noConversion"/>
  </si>
  <si>
    <t>세탁관리</t>
    <phoneticPr fontId="3" type="noConversion"/>
  </si>
  <si>
    <t>7월 세탁비용</t>
    <phoneticPr fontId="3" type="noConversion"/>
  </si>
  <si>
    <t>CMS 관리</t>
    <phoneticPr fontId="3" type="noConversion"/>
  </si>
  <si>
    <t>황경현 팀장</t>
    <phoneticPr fontId="3" type="noConversion"/>
  </si>
  <si>
    <t>이정경 주간매니저</t>
    <phoneticPr fontId="3" type="noConversion"/>
  </si>
  <si>
    <t>박민지 야간매니저</t>
    <phoneticPr fontId="3" type="noConversion"/>
  </si>
  <si>
    <t>22일 근무</t>
    <phoneticPr fontId="3" type="noConversion"/>
  </si>
  <si>
    <t>21일 근무</t>
    <phoneticPr fontId="3" type="noConversion"/>
  </si>
  <si>
    <t>프런트 7월급여</t>
    <phoneticPr fontId="3" type="noConversion"/>
  </si>
  <si>
    <t>다힘</t>
    <phoneticPr fontId="3" type="noConversion"/>
  </si>
  <si>
    <t>청소용역</t>
    <phoneticPr fontId="3" type="noConversion"/>
  </si>
  <si>
    <t>청소용역업체</t>
    <phoneticPr fontId="3" type="noConversion"/>
  </si>
  <si>
    <t>대체근무자</t>
    <phoneticPr fontId="3" type="noConversion"/>
  </si>
  <si>
    <t>대체근무자</t>
    <phoneticPr fontId="3" type="noConversion"/>
  </si>
  <si>
    <t>주/야/팀장 휴무대체</t>
    <phoneticPr fontId="3" type="noConversion"/>
  </si>
  <si>
    <t>9일근무</t>
    <phoneticPr fontId="3" type="noConversion"/>
  </si>
  <si>
    <t>재활용봉투 75리터</t>
    <phoneticPr fontId="3" type="noConversion"/>
  </si>
  <si>
    <t>프런트 물품</t>
    <phoneticPr fontId="3" type="noConversion"/>
  </si>
  <si>
    <t>GS25</t>
    <phoneticPr fontId="3" type="noConversion"/>
  </si>
  <si>
    <t>상비약 구입</t>
    <phoneticPr fontId="3" type="noConversion"/>
  </si>
  <si>
    <t>홈플러스</t>
    <phoneticPr fontId="3" type="noConversion"/>
  </si>
  <si>
    <t>세탁세제구입</t>
    <phoneticPr fontId="3" type="noConversion"/>
  </si>
  <si>
    <t>탑마트</t>
    <phoneticPr fontId="3" type="noConversion"/>
  </si>
  <si>
    <t>맘스터치</t>
    <phoneticPr fontId="3" type="noConversion"/>
  </si>
  <si>
    <t>메이드 식사</t>
    <phoneticPr fontId="3" type="noConversion"/>
  </si>
  <si>
    <t>프런트 간식</t>
    <phoneticPr fontId="3" type="noConversion"/>
  </si>
  <si>
    <t>명신약국</t>
    <phoneticPr fontId="3" type="noConversion"/>
  </si>
  <si>
    <t>롯데리아</t>
    <phoneticPr fontId="3" type="noConversion"/>
  </si>
  <si>
    <t>호텔스토리</t>
    <phoneticPr fontId="3" type="noConversion"/>
  </si>
  <si>
    <t>채널매니저 월이용료</t>
    <phoneticPr fontId="3" type="noConversion"/>
  </si>
  <si>
    <t>객실방역</t>
    <phoneticPr fontId="3" type="noConversion"/>
  </si>
  <si>
    <t>황경현</t>
    <phoneticPr fontId="3" type="noConversion"/>
  </si>
  <si>
    <t>급여 프런트</t>
    <phoneticPr fontId="3" type="noConversion"/>
  </si>
  <si>
    <t>윤재평</t>
    <phoneticPr fontId="3" type="noConversion"/>
  </si>
  <si>
    <t>8월분</t>
    <phoneticPr fontId="3" type="noConversion"/>
  </si>
  <si>
    <t>급여 메이드</t>
    <phoneticPr fontId="3" type="noConversion"/>
  </si>
  <si>
    <t xml:space="preserve">손혜빈 </t>
    <phoneticPr fontId="3" type="noConversion"/>
  </si>
  <si>
    <t>8/2 객실차액 환불</t>
    <phoneticPr fontId="3" type="noConversion"/>
  </si>
  <si>
    <t>8/1 3시간 연장</t>
    <phoneticPr fontId="3" type="noConversion"/>
  </si>
  <si>
    <t>시타딘방제실</t>
    <phoneticPr fontId="3" type="noConversion"/>
  </si>
  <si>
    <t>메이드카드 수리비용</t>
    <phoneticPr fontId="3" type="noConversion"/>
  </si>
  <si>
    <t>8시간근무</t>
    <phoneticPr fontId="3" type="noConversion"/>
  </si>
  <si>
    <t>물류배송 착불비용</t>
    <phoneticPr fontId="3" type="noConversion"/>
  </si>
  <si>
    <t>수분양자 임대료</t>
    <phoneticPr fontId="3" type="noConversion"/>
  </si>
  <si>
    <t>8/6 5시간근무</t>
    <phoneticPr fontId="3" type="noConversion"/>
  </si>
  <si>
    <t>8/6 8시간근무</t>
    <phoneticPr fontId="3" type="noConversion"/>
  </si>
  <si>
    <t>비품주문</t>
    <phoneticPr fontId="3" type="noConversion"/>
  </si>
  <si>
    <t>8/11 7시간근무</t>
    <phoneticPr fontId="3" type="noConversion"/>
  </si>
  <si>
    <t>㈜선포탈</t>
    <phoneticPr fontId="3" type="noConversion"/>
  </si>
  <si>
    <t>블라인드 A/S</t>
    <phoneticPr fontId="3" type="noConversion"/>
  </si>
  <si>
    <t>㈜ 토탈엠알오</t>
    <phoneticPr fontId="3" type="noConversion"/>
  </si>
  <si>
    <t xml:space="preserve">7~8월 </t>
    <phoneticPr fontId="3" type="noConversion"/>
  </si>
  <si>
    <t>2명 / 1시간연장</t>
    <phoneticPr fontId="3" type="noConversion"/>
  </si>
  <si>
    <t>부산도시가스</t>
    <phoneticPr fontId="3" type="noConversion"/>
  </si>
  <si>
    <t>추가객실정산</t>
    <phoneticPr fontId="3" type="noConversion"/>
  </si>
  <si>
    <t>한신유리금속</t>
    <phoneticPr fontId="3" type="noConversion"/>
  </si>
  <si>
    <t>4층 린넨실 유리파손</t>
    <phoneticPr fontId="3" type="noConversion"/>
  </si>
  <si>
    <t>8/15~17 10h/9h/8h</t>
    <phoneticPr fontId="3" type="noConversion"/>
  </si>
  <si>
    <t>8/16 10시간</t>
    <phoneticPr fontId="3" type="noConversion"/>
  </si>
  <si>
    <t>프런트 의자 구매</t>
    <phoneticPr fontId="3" type="noConversion"/>
  </si>
  <si>
    <t>1명 / 3시간 연장</t>
    <phoneticPr fontId="3" type="noConversion"/>
  </si>
  <si>
    <t>2명 / 2시간연장</t>
    <phoneticPr fontId="3" type="noConversion"/>
  </si>
  <si>
    <t>푸리지오 관리단</t>
    <phoneticPr fontId="3" type="noConversion"/>
  </si>
  <si>
    <t>8월관리비(7월사용분)</t>
    <phoneticPr fontId="3" type="noConversion"/>
  </si>
  <si>
    <t xml:space="preserve">8월분 </t>
    <phoneticPr fontId="3" type="noConversion"/>
  </si>
  <si>
    <t>6시간 / 5시간 근무</t>
    <phoneticPr fontId="3" type="noConversion"/>
  </si>
  <si>
    <t>야놀자</t>
    <phoneticPr fontId="3" type="noConversion"/>
  </si>
  <si>
    <t>박민지</t>
    <phoneticPr fontId="3" type="noConversion"/>
  </si>
  <si>
    <t>이정경</t>
    <phoneticPr fontId="3" type="noConversion"/>
  </si>
  <si>
    <t>김선우</t>
    <phoneticPr fontId="3" type="noConversion"/>
  </si>
  <si>
    <t>양동건</t>
    <phoneticPr fontId="3" type="noConversion"/>
  </si>
  <si>
    <t>수분양자</t>
    <phoneticPr fontId="3" type="noConversion"/>
  </si>
  <si>
    <t>SK인터넷/TV</t>
    <phoneticPr fontId="3" type="noConversion"/>
  </si>
  <si>
    <t>KT인터넷/TV</t>
    <phoneticPr fontId="3" type="noConversion"/>
  </si>
  <si>
    <t>FM전진정보통신</t>
    <phoneticPr fontId="3" type="noConversion"/>
  </si>
  <si>
    <t>카드단말기임대표</t>
    <phoneticPr fontId="3" type="noConversion"/>
  </si>
  <si>
    <t>업무폰요금</t>
    <phoneticPr fontId="3" type="noConversion"/>
  </si>
  <si>
    <t>cms</t>
    <phoneticPr fontId="3" type="noConversion"/>
  </si>
  <si>
    <t>프런트임대료</t>
    <phoneticPr fontId="3" type="noConversion"/>
  </si>
  <si>
    <t>아고다 수수료</t>
    <phoneticPr fontId="3" type="noConversion"/>
  </si>
  <si>
    <t>부킫닷컴 수수료</t>
    <phoneticPr fontId="3" type="noConversion"/>
  </si>
  <si>
    <t>익스피디아 수수료</t>
    <phoneticPr fontId="3" type="noConversion"/>
  </si>
  <si>
    <t>GS25 영도푸르지오점</t>
    <phoneticPr fontId="3" type="noConversion"/>
  </si>
  <si>
    <t>직원간식대</t>
    <phoneticPr fontId="3" type="noConversion"/>
  </si>
  <si>
    <t>컵라면 구입</t>
    <phoneticPr fontId="3" type="noConversion"/>
  </si>
  <si>
    <t>커피 구입</t>
    <phoneticPr fontId="3" type="noConversion"/>
  </si>
  <si>
    <t>프런트비품</t>
    <phoneticPr fontId="3" type="noConversion"/>
  </si>
  <si>
    <t>쓰레기봉투 75L 20장</t>
    <phoneticPr fontId="3" type="noConversion"/>
  </si>
  <si>
    <t>객실보수물품</t>
    <phoneticPr fontId="3" type="noConversion"/>
  </si>
  <si>
    <t>멀티콘센트외</t>
    <phoneticPr fontId="3" type="noConversion"/>
  </si>
  <si>
    <t>경동나비엔</t>
    <phoneticPr fontId="3" type="noConversion"/>
  </si>
  <si>
    <t>보일러 출장비</t>
    <phoneticPr fontId="3" type="noConversion"/>
  </si>
  <si>
    <t xml:space="preserve">701호 </t>
    <phoneticPr fontId="3" type="noConversion"/>
  </si>
  <si>
    <t>메이드 간식</t>
    <phoneticPr fontId="3" type="noConversion"/>
  </si>
  <si>
    <t>쓰레기봉투 75L 10장</t>
    <phoneticPr fontId="3" type="noConversion"/>
  </si>
  <si>
    <t>객실/프런트물품</t>
    <phoneticPr fontId="3" type="noConversion"/>
  </si>
  <si>
    <t xml:space="preserve">보이차외 </t>
    <phoneticPr fontId="3" type="noConversion"/>
  </si>
  <si>
    <t>청소기외</t>
    <phoneticPr fontId="3" type="noConversion"/>
  </si>
  <si>
    <t>섬유유연제외</t>
    <phoneticPr fontId="3" type="noConversion"/>
  </si>
  <si>
    <t>캔디(홍보용)</t>
    <phoneticPr fontId="3" type="noConversion"/>
  </si>
  <si>
    <t>호텔스토리 9월분</t>
    <phoneticPr fontId="3" type="noConversion"/>
  </si>
  <si>
    <t>선불</t>
    <phoneticPr fontId="3" type="noConversion"/>
  </si>
  <si>
    <t>244호 월차임선불</t>
    <phoneticPr fontId="3" type="noConversion"/>
  </si>
  <si>
    <t>9월분</t>
    <phoneticPr fontId="3" type="noConversion"/>
  </si>
  <si>
    <t>오션시티푸르지오</t>
    <phoneticPr fontId="3" type="noConversion"/>
  </si>
  <si>
    <t>8월사용분</t>
    <phoneticPr fontId="3" type="noConversion"/>
  </si>
  <si>
    <t>244호 및 43객실</t>
    <phoneticPr fontId="3" type="noConversion"/>
  </si>
  <si>
    <t>플랜형울트라</t>
    <phoneticPr fontId="3" type="noConversion"/>
  </si>
  <si>
    <t>㈜에스알코리아</t>
    <phoneticPr fontId="3" type="noConversion"/>
  </si>
  <si>
    <t>청소카트2대</t>
    <phoneticPr fontId="3" type="noConversion"/>
  </si>
  <si>
    <t>FM정진정보통신</t>
    <phoneticPr fontId="3" type="noConversion"/>
  </si>
  <si>
    <t>카드 단말기</t>
    <phoneticPr fontId="3" type="noConversion"/>
  </si>
  <si>
    <t>하나방역</t>
    <phoneticPr fontId="3" type="noConversion"/>
  </si>
  <si>
    <t>객실방역</t>
    <phoneticPr fontId="3" type="noConversion"/>
  </si>
  <si>
    <t>황경현 팀장</t>
    <phoneticPr fontId="3" type="noConversion"/>
  </si>
  <si>
    <t>이정경 주간</t>
    <phoneticPr fontId="3" type="noConversion"/>
  </si>
  <si>
    <t>김선우 야간</t>
    <phoneticPr fontId="3" type="noConversion"/>
  </si>
  <si>
    <t>메이드 하사랑</t>
    <phoneticPr fontId="3" type="noConversion"/>
  </si>
  <si>
    <t>메이드 알레샤</t>
    <phoneticPr fontId="3" type="noConversion"/>
  </si>
  <si>
    <t>메이드 알도</t>
    <phoneticPr fontId="3" type="noConversion"/>
  </si>
  <si>
    <t>대체근무자</t>
    <phoneticPr fontId="3" type="noConversion"/>
  </si>
  <si>
    <t>양동건 대체</t>
    <phoneticPr fontId="3" type="noConversion"/>
  </si>
  <si>
    <t>9월 급여</t>
    <phoneticPr fontId="3" type="noConversion"/>
  </si>
  <si>
    <t>10월 광고</t>
    <phoneticPr fontId="3" type="noConversion"/>
  </si>
  <si>
    <t>9월 여기어때 광고</t>
    <phoneticPr fontId="3" type="noConversion"/>
  </si>
  <si>
    <t>sign</t>
    <phoneticPr fontId="3" type="noConversion"/>
  </si>
  <si>
    <t>1층/엘베 내외부</t>
    <phoneticPr fontId="3" type="noConversion"/>
  </si>
  <si>
    <t>합의금</t>
    <phoneticPr fontId="3" type="noConversion"/>
  </si>
  <si>
    <t>화재 보상금</t>
    <phoneticPr fontId="3" type="noConversion"/>
  </si>
  <si>
    <t>휴대폰</t>
    <phoneticPr fontId="3" type="noConversion"/>
  </si>
  <si>
    <t>cctv</t>
    <phoneticPr fontId="3" type="noConversion"/>
  </si>
  <si>
    <t>객실</t>
    <phoneticPr fontId="3" type="noConversion"/>
  </si>
  <si>
    <t>고정</t>
    <phoneticPr fontId="3" type="noConversion"/>
  </si>
  <si>
    <t>일시</t>
    <phoneticPr fontId="3" type="noConversion"/>
  </si>
  <si>
    <t>사업자분</t>
    <phoneticPr fontId="3" type="noConversion"/>
  </si>
  <si>
    <t>연차 수당</t>
    <phoneticPr fontId="3" type="noConversion"/>
  </si>
  <si>
    <t>퇴직금 적립</t>
    <phoneticPr fontId="3" type="noConversion"/>
  </si>
  <si>
    <t>1,449,420</t>
  </si>
  <si>
    <t>누락</t>
    <phoneticPr fontId="3" type="noConversion"/>
  </si>
  <si>
    <t xml:space="preserve">모텔,호텔 </t>
    <phoneticPr fontId="3" type="noConversion"/>
  </si>
  <si>
    <t>네이버,아고다.트립</t>
    <phoneticPr fontId="3" type="noConversion"/>
  </si>
  <si>
    <t>모텔</t>
    <phoneticPr fontId="3" type="noConversion"/>
  </si>
  <si>
    <t>비품</t>
    <phoneticPr fontId="3" type="noConversion"/>
  </si>
  <si>
    <t>토탈MRO</t>
    <phoneticPr fontId="3" type="noConversion"/>
  </si>
  <si>
    <t>추가 린넨류</t>
    <phoneticPr fontId="3" type="noConversion"/>
  </si>
  <si>
    <t>세탁 9월분</t>
    <phoneticPr fontId="3" type="noConversion"/>
  </si>
  <si>
    <t>SJ산업</t>
    <phoneticPr fontId="3" type="noConversion"/>
  </si>
  <si>
    <t>9월보장액</t>
    <phoneticPr fontId="3" type="noConversion"/>
  </si>
  <si>
    <t>본사 인건비</t>
    <phoneticPr fontId="3" type="noConversion"/>
  </si>
  <si>
    <t>ota 매출,지출 운영관리비</t>
    <phoneticPr fontId="3" type="noConversion"/>
  </si>
  <si>
    <t>매월 기재</t>
    <phoneticPr fontId="3" type="noConversion"/>
  </si>
  <si>
    <t>직원고용</t>
    <phoneticPr fontId="3" type="noConversion"/>
  </si>
  <si>
    <t>복리후생</t>
    <phoneticPr fontId="3" type="noConversion"/>
  </si>
  <si>
    <t>마케팅</t>
    <phoneticPr fontId="3" type="noConversion"/>
  </si>
  <si>
    <t>수수료</t>
    <phoneticPr fontId="3" type="noConversion"/>
  </si>
  <si>
    <t>1회성</t>
    <phoneticPr fontId="3" type="noConversion"/>
  </si>
  <si>
    <t>본사 지원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</si>
</sst>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₩&quot;#,##0;[Red]\-&quot;₩&quot;#,##0"/>
    <numFmt numFmtId="42" formatCode="_-&quot;₩&quot;* #,##0_-;\-&quot;₩&quot;* #,##0_-;_-&quot;₩&quot;* &quot;-&quot;_-;_-@_-"/>
    <numFmt numFmtId="41" formatCode="_-* #,##0_-;\-* #,##0_-;_-* &quot;-&quot;_-;_-@_-"/>
    <numFmt numFmtId="176" formatCode="#,##0_ "/>
    <numFmt numFmtId="177" formatCode="mm&quot;월&quot;\ dd&quot;일&quot;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8"/>
      <color rgb="FF000000"/>
      <name val="굴림"/>
      <family val="3"/>
      <charset val="129"/>
    </font>
    <font>
      <sz val="8"/>
      <name val="맑은 고딕"/>
      <family val="2"/>
      <charset val="129"/>
      <scheme val="minor"/>
    </font>
    <font>
      <sz val="11"/>
      <color rgb="FF000000"/>
      <name val="굴림"/>
      <family val="3"/>
      <charset val="129"/>
    </font>
    <font>
      <sz val="11"/>
      <color theme="1"/>
      <name val="굴림"/>
      <family val="3"/>
      <charset val="129"/>
    </font>
    <font>
      <b/>
      <sz val="24"/>
      <color theme="1"/>
      <name val="굴림"/>
      <family val="3"/>
      <charset val="129"/>
    </font>
    <font>
      <sz val="12"/>
      <color rgb="FF000000"/>
      <name val="굴림"/>
      <family val="3"/>
      <charset val="129"/>
    </font>
    <font>
      <sz val="8"/>
      <name val="돋움"/>
      <family val="3"/>
      <charset val="129"/>
    </font>
    <font>
      <sz val="11"/>
      <color theme="0"/>
      <name val="굴림"/>
      <family val="3"/>
      <charset val="129"/>
    </font>
    <font>
      <sz val="11"/>
      <color rgb="FFFFFFFF"/>
      <name val="굴림"/>
      <family val="3"/>
      <charset val="129"/>
    </font>
    <font>
      <sz val="12"/>
      <color theme="1"/>
      <name val="굴림"/>
      <family val="3"/>
      <charset val="129"/>
    </font>
    <font>
      <sz val="12"/>
      <color rgb="FFFF0000"/>
      <name val="굴림"/>
      <family val="3"/>
      <charset val="129"/>
    </font>
    <font>
      <b/>
      <sz val="12"/>
      <color rgb="FFFF0000"/>
      <name val="굴림"/>
      <family val="3"/>
      <charset val="129"/>
    </font>
    <font>
      <sz val="28"/>
      <color rgb="FF000000"/>
      <name val="굴림"/>
      <family val="3"/>
      <charset val="129"/>
    </font>
    <font>
      <sz val="10"/>
      <color rgb="FF000000"/>
      <name val="굴림"/>
      <family val="3"/>
      <charset val="129"/>
    </font>
    <font>
      <sz val="11"/>
      <name val="굴림"/>
      <family val="3"/>
      <charset val="129"/>
    </font>
    <font>
      <sz val="12"/>
      <name val="굴림"/>
      <family val="3"/>
      <charset val="129"/>
    </font>
    <font>
      <sz val="11"/>
      <color rgb="FFFF0000"/>
      <name val="굴림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203A7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16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14" fontId="10" fillId="3" borderId="4" xfId="0" applyNumberFormat="1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42" fontId="10" fillId="3" borderId="4" xfId="0" applyNumberFormat="1" applyFont="1" applyFill="1" applyBorder="1" applyAlignment="1">
      <alignment horizontal="center" vertical="center"/>
    </xf>
    <xf numFmtId="42" fontId="10" fillId="3" borderId="4" xfId="1" applyNumberFormat="1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42" fontId="9" fillId="2" borderId="1" xfId="0" applyNumberFormat="1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2" fontId="7" fillId="0" borderId="1" xfId="0" applyNumberFormat="1" applyFont="1" applyBorder="1" applyAlignment="1">
      <alignment horizontal="center" vertical="center"/>
    </xf>
    <xf numFmtId="42" fontId="7" fillId="4" borderId="1" xfId="1" applyNumberFormat="1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42" fontId="11" fillId="0" borderId="1" xfId="0" applyNumberFormat="1" applyFont="1" applyBorder="1" applyAlignment="1">
      <alignment horizontal="center" vertical="center"/>
    </xf>
    <xf numFmtId="42" fontId="11" fillId="0" borderId="7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42" fontId="7" fillId="0" borderId="1" xfId="1" applyNumberFormat="1" applyFont="1" applyFill="1" applyBorder="1" applyAlignment="1">
      <alignment horizontal="center" vertical="center"/>
    </xf>
    <xf numFmtId="42" fontId="7" fillId="0" borderId="1" xfId="1" applyNumberFormat="1" applyFont="1" applyBorder="1" applyAlignment="1">
      <alignment horizontal="center" vertical="center"/>
    </xf>
    <xf numFmtId="42" fontId="11" fillId="0" borderId="0" xfId="0" applyNumberFormat="1" applyFont="1" applyAlignment="1">
      <alignment horizontal="center" vertical="center"/>
    </xf>
    <xf numFmtId="177" fontId="7" fillId="0" borderId="1" xfId="0" applyNumberFormat="1" applyFont="1" applyBorder="1" applyAlignment="1">
      <alignment horizontal="center" vertical="center"/>
    </xf>
    <xf numFmtId="14" fontId="7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42" fontId="7" fillId="0" borderId="2" xfId="0" applyNumberFormat="1" applyFont="1" applyBorder="1" applyAlignment="1">
      <alignment horizontal="center" vertical="center"/>
    </xf>
    <xf numFmtId="42" fontId="7" fillId="0" borderId="2" xfId="1" applyNumberFormat="1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42" fontId="5" fillId="0" borderId="0" xfId="0" applyNumberFormat="1" applyFont="1" applyAlignment="1">
      <alignment horizontal="center" vertical="center"/>
    </xf>
    <xf numFmtId="6" fontId="7" fillId="0" borderId="1" xfId="0" applyNumberFormat="1" applyFont="1" applyBorder="1" applyAlignment="1">
      <alignment horizontal="center" vertical="center"/>
    </xf>
    <xf numFmtId="6" fontId="0" fillId="0" borderId="13" xfId="0" applyNumberFormat="1" applyBorder="1">
      <alignment vertical="center"/>
    </xf>
    <xf numFmtId="0" fontId="2" fillId="0" borderId="0" xfId="0" applyFont="1">
      <alignment vertical="center"/>
    </xf>
    <xf numFmtId="42" fontId="10" fillId="3" borderId="14" xfId="1" applyNumberFormat="1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 wrapText="1"/>
    </xf>
    <xf numFmtId="0" fontId="10" fillId="3" borderId="15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/>
    </xf>
    <xf numFmtId="42" fontId="16" fillId="4" borderId="14" xfId="0" applyNumberFormat="1" applyFont="1" applyFill="1" applyBorder="1" applyAlignment="1">
      <alignment horizontal="center" vertical="center"/>
    </xf>
    <xf numFmtId="42" fontId="16" fillId="4" borderId="14" xfId="1" applyNumberFormat="1" applyFont="1" applyFill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14" fontId="17" fillId="4" borderId="14" xfId="0" applyNumberFormat="1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42" fontId="7" fillId="5" borderId="1" xfId="0" applyNumberFormat="1" applyFont="1" applyFill="1" applyBorder="1" applyAlignment="1">
      <alignment horizontal="center" vertical="center"/>
    </xf>
    <xf numFmtId="42" fontId="7" fillId="5" borderId="1" xfId="1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42" fontId="7" fillId="4" borderId="1" xfId="1" applyNumberFormat="1" applyFont="1" applyFill="1" applyBorder="1" applyAlignment="1">
      <alignment horizontal="center" vertical="center" wrapText="1"/>
    </xf>
    <xf numFmtId="42" fontId="11" fillId="5" borderId="7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42" fontId="4" fillId="4" borderId="1" xfId="0" applyNumberFormat="1" applyFont="1" applyFill="1" applyBorder="1" applyAlignment="1">
      <alignment horizontal="center" vertical="center"/>
    </xf>
    <xf numFmtId="14" fontId="16" fillId="4" borderId="14" xfId="0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14" fontId="4" fillId="4" borderId="1" xfId="0" applyNumberFormat="1" applyFont="1" applyFill="1" applyBorder="1" applyAlignment="1">
      <alignment horizontal="center" vertical="center"/>
    </xf>
    <xf numFmtId="42" fontId="4" fillId="4" borderId="1" xfId="1" applyNumberFormat="1" applyFont="1" applyFill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42" fontId="18" fillId="4" borderId="1" xfId="0" applyNumberFormat="1" applyFont="1" applyFill="1" applyBorder="1" applyAlignment="1">
      <alignment horizontal="center" vertical="center"/>
    </xf>
    <xf numFmtId="42" fontId="18" fillId="0" borderId="0" xfId="0" applyNumberFormat="1" applyFont="1" applyAlignment="1">
      <alignment horizontal="center" vertical="center"/>
    </xf>
    <xf numFmtId="42" fontId="18" fillId="4" borderId="1" xfId="1" applyNumberFormat="1" applyFont="1" applyFill="1" applyBorder="1" applyAlignment="1">
      <alignment horizontal="center" vertical="center"/>
    </xf>
    <xf numFmtId="42" fontId="12" fillId="4" borderId="1" xfId="0" applyNumberFormat="1" applyFont="1" applyFill="1" applyBorder="1" applyAlignment="1">
      <alignment horizontal="center" vertical="center"/>
    </xf>
    <xf numFmtId="42" fontId="12" fillId="4" borderId="1" xfId="1" applyNumberFormat="1" applyFont="1" applyFill="1" applyBorder="1" applyAlignment="1">
      <alignment horizontal="center" vertical="center"/>
    </xf>
    <xf numFmtId="42" fontId="12" fillId="0" borderId="1" xfId="0" applyNumberFormat="1" applyFont="1" applyBorder="1" applyAlignment="1">
      <alignment horizontal="center" vertical="center"/>
    </xf>
    <xf numFmtId="14" fontId="18" fillId="4" borderId="1" xfId="0" applyNumberFormat="1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6" fontId="18" fillId="4" borderId="1" xfId="0" applyNumberFormat="1" applyFont="1" applyFill="1" applyBorder="1" applyAlignment="1">
      <alignment horizontal="center" vertical="center"/>
    </xf>
    <xf numFmtId="14" fontId="12" fillId="4" borderId="1" xfId="0" applyNumberFormat="1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6" fontId="12" fillId="4" borderId="1" xfId="0" applyNumberFormat="1" applyFont="1" applyFill="1" applyBorder="1" applyAlignment="1">
      <alignment horizontal="center" vertical="center"/>
    </xf>
    <xf numFmtId="14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42" fontId="18" fillId="4" borderId="1" xfId="1" applyNumberFormat="1" applyFont="1" applyFill="1" applyBorder="1" applyAlignment="1">
      <alignment horizontal="center" vertical="center" wrapText="1"/>
    </xf>
    <xf numFmtId="42" fontId="12" fillId="0" borderId="1" xfId="1" applyNumberFormat="1" applyFont="1" applyBorder="1" applyAlignment="1">
      <alignment horizontal="center" vertical="center"/>
    </xf>
    <xf numFmtId="14" fontId="4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42" fontId="4" fillId="5" borderId="1" xfId="0" applyNumberFormat="1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41" fontId="5" fillId="0" borderId="0" xfId="1" applyFont="1" applyAlignment="1">
      <alignment horizontal="center" vertical="center"/>
    </xf>
    <xf numFmtId="41" fontId="5" fillId="5" borderId="0" xfId="1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42" fontId="16" fillId="5" borderId="14" xfId="0" applyNumberFormat="1" applyFont="1" applyFill="1" applyBorder="1" applyAlignment="1">
      <alignment horizontal="center" vertical="center"/>
    </xf>
    <xf numFmtId="41" fontId="5" fillId="0" borderId="0" xfId="0" applyNumberFormat="1" applyFont="1" applyAlignment="1">
      <alignment horizontal="center" vertical="center"/>
    </xf>
    <xf numFmtId="42" fontId="4" fillId="0" borderId="7" xfId="0" applyNumberFormat="1" applyFont="1" applyBorder="1" applyAlignment="1">
      <alignment horizontal="center" vertical="center"/>
    </xf>
    <xf numFmtId="176" fontId="11" fillId="0" borderId="1" xfId="0" applyNumberFormat="1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42" fontId="11" fillId="0" borderId="1" xfId="0" applyNumberFormat="1" applyFont="1" applyBorder="1" applyAlignment="1">
      <alignment horizontal="center" vertical="center"/>
    </xf>
    <xf numFmtId="42" fontId="11" fillId="0" borderId="2" xfId="0" applyNumberFormat="1" applyFont="1" applyBorder="1" applyAlignment="1">
      <alignment horizontal="center" vertical="center"/>
    </xf>
    <xf numFmtId="176" fontId="11" fillId="0" borderId="2" xfId="0" applyNumberFormat="1" applyFont="1" applyBorder="1" applyAlignment="1">
      <alignment horizontal="center" vertical="center"/>
    </xf>
    <xf numFmtId="42" fontId="13" fillId="0" borderId="1" xfId="0" applyNumberFormat="1" applyFont="1" applyBorder="1" applyAlignment="1">
      <alignment horizontal="center" vertical="center"/>
    </xf>
    <xf numFmtId="42" fontId="13" fillId="0" borderId="7" xfId="0" applyNumberFormat="1" applyFont="1" applyBorder="1" applyAlignment="1">
      <alignment horizontal="center" vertical="center"/>
    </xf>
    <xf numFmtId="42" fontId="13" fillId="0" borderId="2" xfId="0" applyNumberFormat="1" applyFont="1" applyBorder="1" applyAlignment="1">
      <alignment horizontal="center" vertical="center"/>
    </xf>
    <xf numFmtId="42" fontId="13" fillId="0" borderId="12" xfId="0" applyNumberFormat="1" applyFont="1" applyBorder="1" applyAlignment="1">
      <alignment horizontal="center" vertical="center"/>
    </xf>
    <xf numFmtId="176" fontId="11" fillId="0" borderId="8" xfId="0" applyNumberFormat="1" applyFont="1" applyBorder="1" applyAlignment="1">
      <alignment horizontal="center" vertical="center"/>
    </xf>
    <xf numFmtId="176" fontId="11" fillId="0" borderId="9" xfId="0" applyNumberFormat="1" applyFont="1" applyBorder="1" applyAlignment="1">
      <alignment horizontal="center" vertical="center"/>
    </xf>
    <xf numFmtId="176" fontId="11" fillId="0" borderId="10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42" fontId="9" fillId="2" borderId="5" xfId="0" applyNumberFormat="1" applyFont="1" applyFill="1" applyBorder="1" applyAlignment="1">
      <alignment horizontal="center" vertical="center"/>
    </xf>
    <xf numFmtId="42" fontId="9" fillId="2" borderId="7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638C4-4590-4C20-8424-DF7107D124AF}">
  <sheetPr>
    <tabColor theme="0" tint="-0.14999847407452621"/>
  </sheetPr>
  <dimension ref="A1:V115"/>
  <sheetViews>
    <sheetView zoomScale="80" zoomScaleNormal="80" workbookViewId="0">
      <pane ySplit="5" topLeftCell="A25" activePane="bottomLeft" state="frozen"/>
      <selection activeCell="H29" sqref="H29"/>
      <selection pane="bottomLeft" activeCell="F46" sqref="F46"/>
    </sheetView>
  </sheetViews>
  <sheetFormatPr defaultColWidth="9" defaultRowHeight="13.5" x14ac:dyDescent="0.3"/>
  <cols>
    <col min="1" max="1" width="7.75" style="2" bestFit="1" customWidth="1"/>
    <col min="2" max="2" width="16.625" style="2" bestFit="1" customWidth="1"/>
    <col min="3" max="3" width="18" style="2" customWidth="1"/>
    <col min="4" max="4" width="23.75" style="2" bestFit="1" customWidth="1"/>
    <col min="5" max="5" width="22" style="2" bestFit="1" customWidth="1"/>
    <col min="6" max="8" width="18.5" style="36" customWidth="1"/>
    <col min="9" max="10" width="18.5" style="2" customWidth="1"/>
    <col min="11" max="11" width="9" style="2"/>
    <col min="12" max="12" width="17.125" style="2" bestFit="1" customWidth="1"/>
    <col min="13" max="13" width="23.375" style="2" bestFit="1" customWidth="1"/>
    <col min="14" max="14" width="28" style="2" bestFit="1" customWidth="1"/>
    <col min="15" max="17" width="18.25" style="2" customWidth="1"/>
    <col min="18" max="20" width="13.25" style="2" customWidth="1"/>
    <col min="21" max="21" width="19.125" style="36" customWidth="1"/>
    <col min="22" max="16384" width="9" style="2"/>
  </cols>
  <sheetData>
    <row r="1" spans="1:22" ht="13.5" customHeight="1" x14ac:dyDescent="0.3">
      <c r="A1" s="107" t="s">
        <v>0</v>
      </c>
      <c r="B1" s="107"/>
      <c r="C1" s="107"/>
      <c r="D1" s="107"/>
      <c r="E1" s="107"/>
      <c r="F1" s="107"/>
      <c r="G1" s="107"/>
      <c r="H1" s="39"/>
      <c r="I1" s="1"/>
      <c r="J1" s="1"/>
      <c r="L1" s="109" t="s">
        <v>96</v>
      </c>
      <c r="M1" s="109"/>
      <c r="N1" s="109"/>
      <c r="O1" s="109"/>
      <c r="P1" s="109"/>
      <c r="Q1" s="109"/>
      <c r="R1" s="109"/>
      <c r="S1" s="109"/>
      <c r="T1" s="109"/>
      <c r="U1" s="109"/>
    </row>
    <row r="2" spans="1:22" ht="31.5" customHeight="1" x14ac:dyDescent="0.3">
      <c r="A2" s="107"/>
      <c r="B2" s="107"/>
      <c r="C2" s="107"/>
      <c r="D2" s="107"/>
      <c r="E2" s="107"/>
      <c r="F2" s="107"/>
      <c r="G2" s="107"/>
      <c r="H2" s="110" t="s">
        <v>1</v>
      </c>
      <c r="I2" s="110"/>
      <c r="J2" s="110"/>
      <c r="L2" s="109"/>
      <c r="M2" s="109"/>
      <c r="N2" s="109"/>
      <c r="O2" s="109"/>
      <c r="P2" s="109"/>
      <c r="Q2" s="109"/>
      <c r="R2" s="109"/>
      <c r="S2" s="109"/>
      <c r="T2" s="109"/>
      <c r="U2" s="109"/>
    </row>
    <row r="3" spans="1:22" ht="31.5" customHeight="1" thickBot="1" x14ac:dyDescent="0.35">
      <c r="A3" s="107"/>
      <c r="B3" s="107"/>
      <c r="C3" s="107"/>
      <c r="D3" s="107"/>
      <c r="E3" s="107"/>
      <c r="F3" s="107"/>
      <c r="G3" s="107"/>
      <c r="H3" s="3" t="s">
        <v>99</v>
      </c>
      <c r="I3" s="3" t="s">
        <v>97</v>
      </c>
      <c r="J3" s="3" t="s">
        <v>2</v>
      </c>
      <c r="L3" s="109"/>
      <c r="M3" s="109"/>
      <c r="N3" s="109"/>
      <c r="O3" s="109"/>
      <c r="P3" s="109"/>
      <c r="Q3" s="109"/>
      <c r="R3" s="109"/>
      <c r="S3" s="109"/>
      <c r="T3" s="109"/>
      <c r="U3" s="109"/>
    </row>
    <row r="4" spans="1:22" ht="31.5" customHeight="1" thickBot="1" x14ac:dyDescent="0.35">
      <c r="A4" s="108"/>
      <c r="B4" s="108"/>
      <c r="C4" s="108"/>
      <c r="D4" s="108"/>
      <c r="E4" s="108"/>
      <c r="F4" s="108"/>
      <c r="G4" s="108"/>
      <c r="H4" s="43"/>
      <c r="I4" s="3"/>
      <c r="J4" s="3"/>
      <c r="L4" s="111" t="s">
        <v>3</v>
      </c>
      <c r="M4" s="112"/>
      <c r="N4" s="112" t="s">
        <v>4</v>
      </c>
      <c r="O4" s="112" t="s">
        <v>5</v>
      </c>
      <c r="P4" s="112"/>
      <c r="Q4" s="112"/>
      <c r="R4" s="112"/>
      <c r="S4" s="112"/>
      <c r="T4" s="112"/>
      <c r="U4" s="114" t="s">
        <v>6</v>
      </c>
    </row>
    <row r="5" spans="1:22" ht="18" customHeight="1" x14ac:dyDescent="0.3">
      <c r="A5" s="5" t="s">
        <v>7</v>
      </c>
      <c r="B5" s="6" t="s">
        <v>8</v>
      </c>
      <c r="C5" s="7" t="s">
        <v>9</v>
      </c>
      <c r="D5" s="7" t="s">
        <v>10</v>
      </c>
      <c r="E5" s="7" t="s">
        <v>11</v>
      </c>
      <c r="F5" s="8" t="s">
        <v>12</v>
      </c>
      <c r="G5" s="8" t="s">
        <v>13</v>
      </c>
      <c r="H5" s="40" t="s">
        <v>14</v>
      </c>
      <c r="I5" s="41" t="s">
        <v>15</v>
      </c>
      <c r="J5" s="42" t="s">
        <v>16</v>
      </c>
      <c r="L5" s="12" t="s">
        <v>17</v>
      </c>
      <c r="M5" s="13" t="s">
        <v>18</v>
      </c>
      <c r="N5" s="113"/>
      <c r="O5" s="14" t="s">
        <v>12</v>
      </c>
      <c r="P5" s="13" t="s">
        <v>13</v>
      </c>
      <c r="Q5" s="13" t="s">
        <v>14</v>
      </c>
      <c r="R5" s="113" t="s">
        <v>19</v>
      </c>
      <c r="S5" s="113"/>
      <c r="T5" s="113"/>
      <c r="U5" s="115"/>
    </row>
    <row r="6" spans="1:22" ht="18" customHeight="1" x14ac:dyDescent="0.3">
      <c r="A6" s="15">
        <v>1</v>
      </c>
      <c r="B6" s="16">
        <v>45833</v>
      </c>
      <c r="C6" s="3" t="s">
        <v>100</v>
      </c>
      <c r="D6" s="17" t="s">
        <v>126</v>
      </c>
      <c r="E6" s="3" t="s">
        <v>101</v>
      </c>
      <c r="F6" s="18"/>
      <c r="G6" s="18"/>
      <c r="H6" s="19">
        <v>297000</v>
      </c>
      <c r="I6" s="3"/>
      <c r="J6" s="20"/>
      <c r="K6" s="21"/>
      <c r="L6" s="93" t="s">
        <v>20</v>
      </c>
      <c r="M6" s="17" t="s">
        <v>21</v>
      </c>
      <c r="N6" s="17" t="s">
        <v>22</v>
      </c>
      <c r="O6" s="22">
        <f t="shared" ref="O6:O58" si="0">SUMIF($D$6:$D$130,$M6,$F$6:$F$130)</f>
        <v>0</v>
      </c>
      <c r="P6" s="22">
        <f t="shared" ref="P6:P58" si="1">SUMIF($D$6:$D$130,$M6,$G$6:$G$130)</f>
        <v>0</v>
      </c>
      <c r="Q6" s="22">
        <f t="shared" ref="Q6:Q58" si="2">SUMIF($D$6:$D$130,$M6,$H$6:$H$130)</f>
        <v>7737084</v>
      </c>
      <c r="R6" s="92"/>
      <c r="S6" s="92"/>
      <c r="T6" s="92"/>
      <c r="U6" s="23">
        <f t="shared" ref="U6:U58" si="3">SUM(O6:Q6)</f>
        <v>7737084</v>
      </c>
      <c r="V6" s="21"/>
    </row>
    <row r="7" spans="1:22" ht="18" customHeight="1" x14ac:dyDescent="0.3">
      <c r="A7" s="15">
        <v>2</v>
      </c>
      <c r="B7" s="16">
        <v>45833</v>
      </c>
      <c r="C7" s="3" t="s">
        <v>102</v>
      </c>
      <c r="D7" s="17" t="s">
        <v>103</v>
      </c>
      <c r="E7" s="3" t="s">
        <v>103</v>
      </c>
      <c r="F7" s="18"/>
      <c r="G7" s="18"/>
      <c r="H7" s="19">
        <v>5000000</v>
      </c>
      <c r="I7" s="3"/>
      <c r="J7" s="20"/>
      <c r="K7" s="21"/>
      <c r="L7" s="93"/>
      <c r="M7" s="17" t="s">
        <v>70</v>
      </c>
      <c r="N7" s="17"/>
      <c r="O7" s="22">
        <f t="shared" si="0"/>
        <v>0</v>
      </c>
      <c r="P7" s="22">
        <f t="shared" si="1"/>
        <v>0</v>
      </c>
      <c r="Q7" s="22">
        <f t="shared" si="2"/>
        <v>0</v>
      </c>
      <c r="R7" s="92"/>
      <c r="S7" s="92"/>
      <c r="T7" s="92"/>
      <c r="U7" s="23">
        <f t="shared" si="3"/>
        <v>0</v>
      </c>
      <c r="V7" s="21"/>
    </row>
    <row r="8" spans="1:22" ht="18" customHeight="1" x14ac:dyDescent="0.3">
      <c r="A8" s="15">
        <v>3</v>
      </c>
      <c r="B8" s="16">
        <v>45839</v>
      </c>
      <c r="C8" s="3" t="s">
        <v>102</v>
      </c>
      <c r="D8" s="17" t="s">
        <v>127</v>
      </c>
      <c r="E8" s="3" t="s">
        <v>104</v>
      </c>
      <c r="F8" s="18"/>
      <c r="G8" s="18"/>
      <c r="H8" s="19">
        <v>440000</v>
      </c>
      <c r="I8" s="3"/>
      <c r="J8" s="20"/>
      <c r="K8" s="21"/>
      <c r="L8" s="93"/>
      <c r="M8" s="17" t="s">
        <v>91</v>
      </c>
      <c r="N8" s="17"/>
      <c r="O8" s="22">
        <f t="shared" si="0"/>
        <v>0</v>
      </c>
      <c r="P8" s="22">
        <f t="shared" si="1"/>
        <v>0</v>
      </c>
      <c r="Q8" s="22">
        <f t="shared" si="2"/>
        <v>0</v>
      </c>
      <c r="R8" s="92"/>
      <c r="S8" s="92"/>
      <c r="T8" s="92"/>
      <c r="U8" s="23">
        <f t="shared" si="3"/>
        <v>0</v>
      </c>
      <c r="V8" s="21"/>
    </row>
    <row r="9" spans="1:22" ht="18" customHeight="1" x14ac:dyDescent="0.3">
      <c r="A9" s="15">
        <v>4</v>
      </c>
      <c r="B9" s="16">
        <v>45841</v>
      </c>
      <c r="C9" s="3" t="s">
        <v>105</v>
      </c>
      <c r="D9" s="17" t="s">
        <v>45</v>
      </c>
      <c r="E9" s="3" t="s">
        <v>106</v>
      </c>
      <c r="F9" s="18"/>
      <c r="G9" s="18"/>
      <c r="H9" s="19">
        <v>176000</v>
      </c>
      <c r="I9" s="3"/>
      <c r="J9" s="20"/>
      <c r="K9" s="21"/>
      <c r="L9" s="93"/>
      <c r="M9" s="17" t="s">
        <v>173</v>
      </c>
      <c r="N9" s="17"/>
      <c r="O9" s="22">
        <f t="shared" si="0"/>
        <v>0</v>
      </c>
      <c r="P9" s="22">
        <f t="shared" si="1"/>
        <v>0</v>
      </c>
      <c r="Q9" s="22">
        <f t="shared" si="2"/>
        <v>6400000</v>
      </c>
      <c r="R9" s="92"/>
      <c r="S9" s="92"/>
      <c r="T9" s="92"/>
      <c r="U9" s="23">
        <f t="shared" si="3"/>
        <v>6400000</v>
      </c>
      <c r="V9" s="21"/>
    </row>
    <row r="10" spans="1:22" ht="18" customHeight="1" x14ac:dyDescent="0.3">
      <c r="A10" s="15">
        <v>5</v>
      </c>
      <c r="B10" s="16">
        <v>45841</v>
      </c>
      <c r="C10" s="3" t="s">
        <v>107</v>
      </c>
      <c r="D10" s="17" t="s">
        <v>81</v>
      </c>
      <c r="E10" s="17" t="s">
        <v>108</v>
      </c>
      <c r="F10" s="18"/>
      <c r="G10" s="18"/>
      <c r="H10" s="19">
        <v>2934508</v>
      </c>
      <c r="I10" s="3"/>
      <c r="J10" s="20"/>
      <c r="K10" s="21"/>
      <c r="L10" s="93"/>
      <c r="M10" s="17" t="s">
        <v>24</v>
      </c>
      <c r="N10" s="17" t="s">
        <v>174</v>
      </c>
      <c r="O10" s="22">
        <f t="shared" si="0"/>
        <v>0</v>
      </c>
      <c r="P10" s="22">
        <f t="shared" si="1"/>
        <v>0</v>
      </c>
      <c r="Q10" s="22">
        <f t="shared" si="2"/>
        <v>1080000</v>
      </c>
      <c r="R10" s="92"/>
      <c r="S10" s="92"/>
      <c r="T10" s="92"/>
      <c r="U10" s="23">
        <f t="shared" si="3"/>
        <v>1080000</v>
      </c>
      <c r="V10" s="21"/>
    </row>
    <row r="11" spans="1:22" ht="18" customHeight="1" x14ac:dyDescent="0.3">
      <c r="A11" s="15">
        <v>6</v>
      </c>
      <c r="B11" s="16">
        <v>45833</v>
      </c>
      <c r="C11" s="3" t="s">
        <v>109</v>
      </c>
      <c r="D11" s="17" t="s">
        <v>88</v>
      </c>
      <c r="E11" s="3" t="s">
        <v>110</v>
      </c>
      <c r="F11" s="18"/>
      <c r="G11" s="18"/>
      <c r="H11" s="19">
        <v>735810</v>
      </c>
      <c r="I11" s="3"/>
      <c r="J11" s="20"/>
      <c r="K11" s="21"/>
      <c r="L11" s="93"/>
      <c r="M11" s="17" t="s">
        <v>26</v>
      </c>
      <c r="N11" s="17" t="s">
        <v>27</v>
      </c>
      <c r="O11" s="22">
        <f t="shared" si="0"/>
        <v>0</v>
      </c>
      <c r="P11" s="22">
        <f t="shared" si="1"/>
        <v>0</v>
      </c>
      <c r="Q11" s="22">
        <f t="shared" si="2"/>
        <v>0</v>
      </c>
      <c r="R11" s="92"/>
      <c r="S11" s="92"/>
      <c r="T11" s="92"/>
      <c r="U11" s="23">
        <f t="shared" si="3"/>
        <v>0</v>
      </c>
      <c r="V11" s="21"/>
    </row>
    <row r="12" spans="1:22" ht="18" customHeight="1" x14ac:dyDescent="0.3">
      <c r="A12" s="15">
        <v>7</v>
      </c>
      <c r="B12" s="16">
        <v>45841</v>
      </c>
      <c r="C12" s="3" t="s">
        <v>111</v>
      </c>
      <c r="D12" s="17" t="s">
        <v>94</v>
      </c>
      <c r="E12" s="3" t="s">
        <v>112</v>
      </c>
      <c r="F12" s="18"/>
      <c r="G12" s="18"/>
      <c r="H12" s="19">
        <v>1147000</v>
      </c>
      <c r="I12" s="3"/>
      <c r="J12" s="20"/>
      <c r="K12" s="21"/>
      <c r="L12" s="93" t="s">
        <v>28</v>
      </c>
      <c r="M12" s="24" t="s">
        <v>90</v>
      </c>
      <c r="N12" s="17"/>
      <c r="O12" s="22">
        <f t="shared" si="0"/>
        <v>0</v>
      </c>
      <c r="P12" s="22">
        <f t="shared" si="1"/>
        <v>0</v>
      </c>
      <c r="Q12" s="22">
        <f t="shared" si="2"/>
        <v>0</v>
      </c>
      <c r="R12" s="104"/>
      <c r="S12" s="105"/>
      <c r="T12" s="106"/>
      <c r="U12" s="23">
        <f t="shared" si="3"/>
        <v>0</v>
      </c>
      <c r="V12" s="21"/>
    </row>
    <row r="13" spans="1:22" ht="18" customHeight="1" x14ac:dyDescent="0.3">
      <c r="A13" s="15">
        <v>8</v>
      </c>
      <c r="B13" s="16">
        <v>45841</v>
      </c>
      <c r="C13" s="3" t="s">
        <v>113</v>
      </c>
      <c r="D13" s="17" t="s">
        <v>94</v>
      </c>
      <c r="E13" s="3" t="s">
        <v>112</v>
      </c>
      <c r="F13" s="18"/>
      <c r="G13" s="18"/>
      <c r="H13" s="19">
        <v>469200</v>
      </c>
      <c r="I13" s="3"/>
      <c r="J13" s="20"/>
      <c r="K13" s="21"/>
      <c r="L13" s="93"/>
      <c r="M13" s="17" t="s">
        <v>29</v>
      </c>
      <c r="N13" s="17"/>
      <c r="O13" s="22">
        <f t="shared" si="0"/>
        <v>0</v>
      </c>
      <c r="P13" s="22">
        <f t="shared" si="1"/>
        <v>0</v>
      </c>
      <c r="Q13" s="22">
        <f t="shared" si="2"/>
        <v>0</v>
      </c>
      <c r="R13" s="104"/>
      <c r="S13" s="105"/>
      <c r="T13" s="106"/>
      <c r="U13" s="23">
        <f t="shared" si="3"/>
        <v>0</v>
      </c>
      <c r="V13" s="21"/>
    </row>
    <row r="14" spans="1:22" ht="18" customHeight="1" x14ac:dyDescent="0.3">
      <c r="A14" s="15">
        <v>9</v>
      </c>
      <c r="B14" s="16">
        <v>45841</v>
      </c>
      <c r="C14" s="3" t="s">
        <v>113</v>
      </c>
      <c r="D14" s="17" t="s">
        <v>94</v>
      </c>
      <c r="E14" s="17" t="s">
        <v>114</v>
      </c>
      <c r="F14" s="18"/>
      <c r="G14" s="18"/>
      <c r="H14" s="19">
        <v>8470000</v>
      </c>
      <c r="I14" s="3"/>
      <c r="J14" s="20"/>
      <c r="K14" s="21"/>
      <c r="L14" s="93"/>
      <c r="M14" s="17" t="s">
        <v>95</v>
      </c>
      <c r="N14" s="17"/>
      <c r="O14" s="22">
        <f t="shared" si="0"/>
        <v>0</v>
      </c>
      <c r="P14" s="22">
        <f t="shared" si="1"/>
        <v>0</v>
      </c>
      <c r="Q14" s="22">
        <f t="shared" si="2"/>
        <v>0</v>
      </c>
      <c r="R14" s="104"/>
      <c r="S14" s="105"/>
      <c r="T14" s="106"/>
      <c r="U14" s="23">
        <f t="shared" si="3"/>
        <v>0</v>
      </c>
      <c r="V14" s="21"/>
    </row>
    <row r="15" spans="1:22" ht="18" customHeight="1" x14ac:dyDescent="0.3">
      <c r="A15" s="15">
        <v>10</v>
      </c>
      <c r="B15" s="16">
        <v>45833</v>
      </c>
      <c r="C15" s="3" t="s">
        <v>116</v>
      </c>
      <c r="D15" s="17" t="s">
        <v>88</v>
      </c>
      <c r="E15" s="17" t="s">
        <v>115</v>
      </c>
      <c r="F15" s="18"/>
      <c r="G15" s="18"/>
      <c r="H15" s="19">
        <v>4956570</v>
      </c>
      <c r="I15" s="3"/>
      <c r="J15" s="20"/>
      <c r="K15" s="21"/>
      <c r="L15" s="93"/>
      <c r="M15" s="17" t="s">
        <v>92</v>
      </c>
      <c r="N15" s="17"/>
      <c r="O15" s="22">
        <f t="shared" si="0"/>
        <v>0</v>
      </c>
      <c r="P15" s="22">
        <f t="shared" si="1"/>
        <v>29200</v>
      </c>
      <c r="Q15" s="22">
        <f t="shared" si="2"/>
        <v>132600</v>
      </c>
      <c r="R15" s="104"/>
      <c r="S15" s="105"/>
      <c r="T15" s="106"/>
      <c r="U15" s="23">
        <f t="shared" si="3"/>
        <v>161800</v>
      </c>
      <c r="V15" s="21"/>
    </row>
    <row r="16" spans="1:22" ht="18" customHeight="1" x14ac:dyDescent="0.3">
      <c r="A16" s="15">
        <v>11</v>
      </c>
      <c r="B16" s="16">
        <v>45841</v>
      </c>
      <c r="C16" s="3" t="s">
        <v>117</v>
      </c>
      <c r="D16" s="17" t="s">
        <v>88</v>
      </c>
      <c r="E16" s="17" t="s">
        <v>118</v>
      </c>
      <c r="F16" s="18"/>
      <c r="G16" s="18"/>
      <c r="H16" s="19">
        <v>806650</v>
      </c>
      <c r="I16" s="3"/>
      <c r="J16" s="20"/>
      <c r="K16" s="21"/>
      <c r="L16" s="93"/>
      <c r="M16" s="17" t="s">
        <v>83</v>
      </c>
      <c r="N16" s="17" t="s">
        <v>30</v>
      </c>
      <c r="O16" s="22">
        <f t="shared" si="0"/>
        <v>0</v>
      </c>
      <c r="P16" s="22">
        <f t="shared" si="1"/>
        <v>61600</v>
      </c>
      <c r="Q16" s="22">
        <f t="shared" si="2"/>
        <v>0</v>
      </c>
      <c r="R16" s="92"/>
      <c r="S16" s="92"/>
      <c r="T16" s="92"/>
      <c r="U16" s="23">
        <f t="shared" si="3"/>
        <v>61600</v>
      </c>
      <c r="V16" s="21"/>
    </row>
    <row r="17" spans="1:22" ht="18" customHeight="1" x14ac:dyDescent="0.3">
      <c r="A17" s="15">
        <v>12</v>
      </c>
      <c r="B17" s="16">
        <v>45841</v>
      </c>
      <c r="C17" s="3" t="s">
        <v>120</v>
      </c>
      <c r="D17" s="17" t="s">
        <v>88</v>
      </c>
      <c r="E17" s="3" t="s">
        <v>119</v>
      </c>
      <c r="F17" s="18"/>
      <c r="G17" s="18"/>
      <c r="H17" s="19">
        <v>258840</v>
      </c>
      <c r="I17" s="3"/>
      <c r="J17" s="20"/>
      <c r="K17" s="21"/>
      <c r="L17" s="93"/>
      <c r="M17" s="17" t="s">
        <v>93</v>
      </c>
      <c r="N17" s="17"/>
      <c r="O17" s="22">
        <f t="shared" si="0"/>
        <v>0</v>
      </c>
      <c r="P17" s="22">
        <f t="shared" si="1"/>
        <v>0</v>
      </c>
      <c r="Q17" s="22">
        <f t="shared" si="2"/>
        <v>674100</v>
      </c>
      <c r="R17" s="92"/>
      <c r="S17" s="92"/>
      <c r="T17" s="92"/>
      <c r="U17" s="23">
        <f t="shared" si="3"/>
        <v>674100</v>
      </c>
      <c r="V17" s="21"/>
    </row>
    <row r="18" spans="1:22" ht="18" customHeight="1" x14ac:dyDescent="0.3">
      <c r="A18" s="15">
        <v>13</v>
      </c>
      <c r="B18" s="16">
        <v>45841</v>
      </c>
      <c r="C18" s="3" t="s">
        <v>121</v>
      </c>
      <c r="D18" s="17" t="s">
        <v>92</v>
      </c>
      <c r="E18" s="3" t="s">
        <v>122</v>
      </c>
      <c r="F18" s="18"/>
      <c r="G18" s="18"/>
      <c r="H18" s="19">
        <v>15400</v>
      </c>
      <c r="I18" s="3"/>
      <c r="J18" s="20"/>
      <c r="K18" s="21"/>
      <c r="L18" s="25" t="s">
        <v>31</v>
      </c>
      <c r="M18" s="17" t="s">
        <v>88</v>
      </c>
      <c r="N18" s="17"/>
      <c r="O18" s="22">
        <f t="shared" si="0"/>
        <v>0</v>
      </c>
      <c r="P18" s="22">
        <f t="shared" si="1"/>
        <v>0</v>
      </c>
      <c r="Q18" s="22">
        <f t="shared" si="2"/>
        <v>7357170</v>
      </c>
      <c r="R18" s="92"/>
      <c r="S18" s="92"/>
      <c r="T18" s="92"/>
      <c r="U18" s="23">
        <f t="shared" si="3"/>
        <v>7357170</v>
      </c>
      <c r="V18" s="21"/>
    </row>
    <row r="19" spans="1:22" ht="18" customHeight="1" x14ac:dyDescent="0.3">
      <c r="A19" s="15">
        <v>14</v>
      </c>
      <c r="B19" s="16">
        <v>45841</v>
      </c>
      <c r="C19" s="3" t="s">
        <v>124</v>
      </c>
      <c r="D19" s="17" t="s">
        <v>88</v>
      </c>
      <c r="E19" s="3" t="s">
        <v>123</v>
      </c>
      <c r="F19" s="37"/>
      <c r="G19" s="18"/>
      <c r="H19" s="19">
        <v>135000</v>
      </c>
      <c r="I19" s="3"/>
      <c r="J19" s="20"/>
      <c r="K19" s="21"/>
      <c r="L19" s="25" t="s">
        <v>32</v>
      </c>
      <c r="M19" s="17" t="s">
        <v>33</v>
      </c>
      <c r="N19" s="17"/>
      <c r="O19" s="22">
        <f t="shared" si="0"/>
        <v>0</v>
      </c>
      <c r="P19" s="22">
        <f t="shared" si="1"/>
        <v>0</v>
      </c>
      <c r="Q19" s="22">
        <f t="shared" si="2"/>
        <v>0</v>
      </c>
      <c r="R19" s="92"/>
      <c r="S19" s="92"/>
      <c r="T19" s="92"/>
      <c r="U19" s="23">
        <f t="shared" si="3"/>
        <v>0</v>
      </c>
      <c r="V19" s="21"/>
    </row>
    <row r="20" spans="1:22" ht="18" customHeight="1" x14ac:dyDescent="0.3">
      <c r="A20" s="15">
        <v>15</v>
      </c>
      <c r="B20" s="16">
        <v>45841</v>
      </c>
      <c r="C20" s="3" t="s">
        <v>121</v>
      </c>
      <c r="D20" s="17" t="s">
        <v>92</v>
      </c>
      <c r="E20" s="3" t="s">
        <v>125</v>
      </c>
      <c r="F20" s="18"/>
      <c r="G20" s="18"/>
      <c r="H20" s="19">
        <v>35000</v>
      </c>
      <c r="I20" s="3"/>
      <c r="J20" s="20"/>
      <c r="K20" s="21"/>
      <c r="L20" s="25" t="s">
        <v>34</v>
      </c>
      <c r="M20" s="17" t="s">
        <v>72</v>
      </c>
      <c r="N20" s="17" t="s">
        <v>157</v>
      </c>
      <c r="O20" s="22">
        <f t="shared" si="0"/>
        <v>6000</v>
      </c>
      <c r="P20" s="22">
        <f t="shared" si="1"/>
        <v>0</v>
      </c>
      <c r="Q20" s="22">
        <f t="shared" si="2"/>
        <v>42800</v>
      </c>
      <c r="R20" s="104"/>
      <c r="S20" s="105"/>
      <c r="T20" s="106"/>
      <c r="U20" s="23">
        <f t="shared" si="3"/>
        <v>48800</v>
      </c>
      <c r="V20" s="21"/>
    </row>
    <row r="21" spans="1:22" ht="18" customHeight="1" x14ac:dyDescent="0.3">
      <c r="A21" s="15">
        <v>16</v>
      </c>
      <c r="B21" s="16">
        <v>45841</v>
      </c>
      <c r="C21" s="3" t="s">
        <v>129</v>
      </c>
      <c r="D21" s="17" t="s">
        <v>71</v>
      </c>
      <c r="E21" s="3" t="s">
        <v>128</v>
      </c>
      <c r="F21" s="18"/>
      <c r="G21" s="19"/>
      <c r="H21" s="19">
        <v>54000</v>
      </c>
      <c r="I21" s="3"/>
      <c r="J21" s="20"/>
      <c r="K21" s="21"/>
      <c r="L21" s="93" t="s">
        <v>35</v>
      </c>
      <c r="M21" s="17" t="s">
        <v>162</v>
      </c>
      <c r="N21" s="17"/>
      <c r="O21" s="22">
        <f t="shared" si="0"/>
        <v>0</v>
      </c>
      <c r="P21" s="22">
        <f t="shared" si="1"/>
        <v>0</v>
      </c>
      <c r="Q21" s="22">
        <f t="shared" si="2"/>
        <v>1273448</v>
      </c>
      <c r="R21" s="92"/>
      <c r="S21" s="92"/>
      <c r="T21" s="92"/>
      <c r="U21" s="23">
        <f t="shared" si="3"/>
        <v>1273448</v>
      </c>
      <c r="V21" s="21"/>
    </row>
    <row r="22" spans="1:22" ht="18" customHeight="1" x14ac:dyDescent="0.3">
      <c r="A22" s="15">
        <v>17</v>
      </c>
      <c r="B22" s="16">
        <v>45840</v>
      </c>
      <c r="C22" s="3" t="s">
        <v>130</v>
      </c>
      <c r="D22" s="17" t="s">
        <v>88</v>
      </c>
      <c r="E22" s="3" t="s">
        <v>119</v>
      </c>
      <c r="F22" s="18"/>
      <c r="G22" s="18"/>
      <c r="H22" s="19">
        <v>100000</v>
      </c>
      <c r="I22" s="3"/>
      <c r="J22" s="20"/>
      <c r="K22" s="21"/>
      <c r="L22" s="93"/>
      <c r="M22" s="17" t="s">
        <v>141</v>
      </c>
      <c r="N22" s="17" t="s">
        <v>142</v>
      </c>
      <c r="O22" s="22">
        <f t="shared" si="0"/>
        <v>0</v>
      </c>
      <c r="P22" s="22">
        <f t="shared" si="1"/>
        <v>0</v>
      </c>
      <c r="Q22" s="22">
        <f t="shared" si="2"/>
        <v>180000</v>
      </c>
      <c r="R22" s="92"/>
      <c r="S22" s="92"/>
      <c r="T22" s="92"/>
      <c r="U22" s="23">
        <f t="shared" si="3"/>
        <v>180000</v>
      </c>
      <c r="V22" s="21"/>
    </row>
    <row r="23" spans="1:22" ht="18" customHeight="1" x14ac:dyDescent="0.3">
      <c r="A23" s="15">
        <v>18</v>
      </c>
      <c r="B23" s="16">
        <v>45843</v>
      </c>
      <c r="C23" s="3" t="s">
        <v>120</v>
      </c>
      <c r="D23" s="17" t="s">
        <v>93</v>
      </c>
      <c r="E23" s="3" t="s">
        <v>131</v>
      </c>
      <c r="F23" s="18"/>
      <c r="G23" s="19"/>
      <c r="H23" s="19">
        <v>45910</v>
      </c>
      <c r="I23" s="3"/>
      <c r="J23" s="20"/>
      <c r="K23" s="21"/>
      <c r="L23" s="93"/>
      <c r="M23" s="17" t="s">
        <v>75</v>
      </c>
      <c r="N23" s="17"/>
      <c r="O23" s="22">
        <f t="shared" si="0"/>
        <v>0</v>
      </c>
      <c r="P23" s="22">
        <f t="shared" si="1"/>
        <v>0</v>
      </c>
      <c r="Q23" s="22">
        <f t="shared" si="2"/>
        <v>0</v>
      </c>
      <c r="R23" s="92"/>
      <c r="S23" s="92"/>
      <c r="T23" s="92"/>
      <c r="U23" s="23">
        <f t="shared" si="3"/>
        <v>0</v>
      </c>
      <c r="V23" s="21"/>
    </row>
    <row r="24" spans="1:22" ht="18" customHeight="1" x14ac:dyDescent="0.3">
      <c r="A24" s="15">
        <v>19</v>
      </c>
      <c r="B24" s="16">
        <v>45843</v>
      </c>
      <c r="C24" s="3" t="s">
        <v>121</v>
      </c>
      <c r="D24" s="17" t="s">
        <v>92</v>
      </c>
      <c r="E24" s="3" t="s">
        <v>125</v>
      </c>
      <c r="F24" s="18"/>
      <c r="G24" s="18"/>
      <c r="H24" s="19">
        <v>35000</v>
      </c>
      <c r="I24" s="3"/>
      <c r="J24" s="20"/>
      <c r="K24" s="21"/>
      <c r="L24" s="93"/>
      <c r="M24" s="17" t="s">
        <v>39</v>
      </c>
      <c r="N24" s="17"/>
      <c r="O24" s="22">
        <f t="shared" si="0"/>
        <v>0</v>
      </c>
      <c r="P24" s="22">
        <f t="shared" si="1"/>
        <v>0</v>
      </c>
      <c r="Q24" s="22">
        <f t="shared" si="2"/>
        <v>0</v>
      </c>
      <c r="R24" s="92"/>
      <c r="S24" s="92"/>
      <c r="T24" s="92"/>
      <c r="U24" s="23">
        <f t="shared" si="3"/>
        <v>0</v>
      </c>
      <c r="V24" s="21"/>
    </row>
    <row r="25" spans="1:22" ht="18" customHeight="1" x14ac:dyDescent="0.3">
      <c r="A25" s="15">
        <v>20</v>
      </c>
      <c r="B25" s="16">
        <v>45843</v>
      </c>
      <c r="C25" s="3" t="s">
        <v>132</v>
      </c>
      <c r="D25" s="17" t="s">
        <v>92</v>
      </c>
      <c r="E25" s="3" t="s">
        <v>133</v>
      </c>
      <c r="F25" s="18"/>
      <c r="G25" s="19"/>
      <c r="H25" s="19">
        <v>10000</v>
      </c>
      <c r="I25" s="3"/>
      <c r="J25" s="20"/>
      <c r="K25" s="21"/>
      <c r="L25" s="93"/>
      <c r="M25" s="17" t="s">
        <v>40</v>
      </c>
      <c r="N25" s="17"/>
      <c r="O25" s="22">
        <f t="shared" si="0"/>
        <v>0</v>
      </c>
      <c r="P25" s="22">
        <f t="shared" si="1"/>
        <v>0</v>
      </c>
      <c r="Q25" s="22">
        <f t="shared" si="2"/>
        <v>0</v>
      </c>
      <c r="R25" s="92"/>
      <c r="S25" s="92"/>
      <c r="T25" s="92"/>
      <c r="U25" s="23">
        <f t="shared" si="3"/>
        <v>0</v>
      </c>
      <c r="V25" s="21"/>
    </row>
    <row r="26" spans="1:22" ht="18" customHeight="1" x14ac:dyDescent="0.3">
      <c r="A26" s="15">
        <v>21</v>
      </c>
      <c r="B26" s="16">
        <v>45843</v>
      </c>
      <c r="C26" s="3" t="s">
        <v>132</v>
      </c>
      <c r="D26" s="17" t="s">
        <v>92</v>
      </c>
      <c r="E26" s="17" t="s">
        <v>122</v>
      </c>
      <c r="F26" s="18"/>
      <c r="G26" s="19"/>
      <c r="H26" s="19">
        <v>29200</v>
      </c>
      <c r="I26" s="3"/>
      <c r="J26" s="20"/>
      <c r="K26" s="21"/>
      <c r="L26" s="93"/>
      <c r="M26" s="17" t="s">
        <v>41</v>
      </c>
      <c r="N26" s="17"/>
      <c r="O26" s="22">
        <f t="shared" si="0"/>
        <v>0</v>
      </c>
      <c r="P26" s="22">
        <f t="shared" si="1"/>
        <v>0</v>
      </c>
      <c r="Q26" s="22">
        <f t="shared" si="2"/>
        <v>0</v>
      </c>
      <c r="R26" s="92"/>
      <c r="S26" s="92"/>
      <c r="T26" s="92"/>
      <c r="U26" s="23">
        <f t="shared" si="3"/>
        <v>0</v>
      </c>
      <c r="V26" s="21"/>
    </row>
    <row r="27" spans="1:22" ht="18" customHeight="1" x14ac:dyDescent="0.3">
      <c r="A27" s="15">
        <v>22</v>
      </c>
      <c r="B27" s="16">
        <v>45843</v>
      </c>
      <c r="C27" s="3" t="s">
        <v>120</v>
      </c>
      <c r="D27" s="17" t="s">
        <v>93</v>
      </c>
      <c r="E27" s="3" t="s">
        <v>133</v>
      </c>
      <c r="F27" s="18"/>
      <c r="G27" s="19"/>
      <c r="H27" s="19">
        <v>30800</v>
      </c>
      <c r="I27" s="3"/>
      <c r="J27" s="20"/>
      <c r="K27" s="21"/>
      <c r="L27" s="93"/>
      <c r="M27" s="17" t="s">
        <v>126</v>
      </c>
      <c r="N27" s="17"/>
      <c r="O27" s="22">
        <f t="shared" si="0"/>
        <v>0</v>
      </c>
      <c r="P27" s="22">
        <f t="shared" si="1"/>
        <v>0</v>
      </c>
      <c r="Q27" s="22">
        <f t="shared" si="2"/>
        <v>297000</v>
      </c>
      <c r="R27" s="92"/>
      <c r="S27" s="92"/>
      <c r="T27" s="92"/>
      <c r="U27" s="23">
        <f t="shared" si="3"/>
        <v>297000</v>
      </c>
      <c r="V27" s="21"/>
    </row>
    <row r="28" spans="1:22" ht="18" customHeight="1" x14ac:dyDescent="0.3">
      <c r="A28" s="15">
        <v>23</v>
      </c>
      <c r="B28" s="16">
        <v>45843</v>
      </c>
      <c r="C28" s="3" t="s">
        <v>120</v>
      </c>
      <c r="D28" s="17" t="s">
        <v>93</v>
      </c>
      <c r="E28" s="3" t="s">
        <v>133</v>
      </c>
      <c r="F28" s="18"/>
      <c r="G28" s="19"/>
      <c r="H28" s="19">
        <v>34100</v>
      </c>
      <c r="I28" s="3"/>
      <c r="J28" s="20"/>
      <c r="K28" s="21"/>
      <c r="L28" s="93"/>
      <c r="M28" s="17" t="s">
        <v>103</v>
      </c>
      <c r="N28" s="17"/>
      <c r="O28" s="22">
        <f t="shared" si="0"/>
        <v>0</v>
      </c>
      <c r="P28" s="22">
        <f t="shared" si="1"/>
        <v>0</v>
      </c>
      <c r="Q28" s="22">
        <f t="shared" si="2"/>
        <v>5000000</v>
      </c>
      <c r="R28" s="92"/>
      <c r="S28" s="92"/>
      <c r="T28" s="92"/>
      <c r="U28" s="23">
        <f t="shared" si="3"/>
        <v>5000000</v>
      </c>
      <c r="V28" s="21"/>
    </row>
    <row r="29" spans="1:22" ht="18" customHeight="1" x14ac:dyDescent="0.3">
      <c r="A29" s="15">
        <v>24</v>
      </c>
      <c r="B29" s="16">
        <v>45844</v>
      </c>
      <c r="C29" s="3" t="s">
        <v>132</v>
      </c>
      <c r="D29" s="17" t="s">
        <v>92</v>
      </c>
      <c r="E29" s="17" t="s">
        <v>122</v>
      </c>
      <c r="F29" s="19"/>
      <c r="G29" s="18"/>
      <c r="H29" s="19">
        <v>8000</v>
      </c>
      <c r="I29" s="3"/>
      <c r="J29" s="20"/>
      <c r="K29" s="21"/>
      <c r="L29" s="93"/>
      <c r="M29" s="17" t="s">
        <v>127</v>
      </c>
      <c r="N29" s="17"/>
      <c r="O29" s="22">
        <f t="shared" si="0"/>
        <v>0</v>
      </c>
      <c r="P29" s="22">
        <f t="shared" si="1"/>
        <v>0</v>
      </c>
      <c r="Q29" s="22">
        <f t="shared" si="2"/>
        <v>440000</v>
      </c>
      <c r="R29" s="92"/>
      <c r="S29" s="92"/>
      <c r="T29" s="92"/>
      <c r="U29" s="23">
        <f t="shared" si="3"/>
        <v>440000</v>
      </c>
      <c r="V29" s="21"/>
    </row>
    <row r="30" spans="1:22" ht="18" customHeight="1" x14ac:dyDescent="0.3">
      <c r="A30" s="15">
        <v>25</v>
      </c>
      <c r="B30" s="16">
        <v>45843</v>
      </c>
      <c r="C30" s="3" t="s">
        <v>130</v>
      </c>
      <c r="D30" s="17" t="s">
        <v>88</v>
      </c>
      <c r="E30" s="3" t="s">
        <v>119</v>
      </c>
      <c r="F30" s="19"/>
      <c r="G30" s="18"/>
      <c r="H30" s="19">
        <v>45000</v>
      </c>
      <c r="I30" s="3"/>
      <c r="J30" s="20"/>
      <c r="K30" s="21"/>
      <c r="L30" s="93"/>
      <c r="M30" s="17" t="s">
        <v>94</v>
      </c>
      <c r="N30" s="17" t="s">
        <v>42</v>
      </c>
      <c r="O30" s="22">
        <f t="shared" si="0"/>
        <v>0</v>
      </c>
      <c r="P30" s="22">
        <f t="shared" si="1"/>
        <v>0</v>
      </c>
      <c r="Q30" s="22">
        <f t="shared" si="2"/>
        <v>10086200</v>
      </c>
      <c r="R30" s="92"/>
      <c r="S30" s="92"/>
      <c r="T30" s="92"/>
      <c r="U30" s="23">
        <f t="shared" si="3"/>
        <v>10086200</v>
      </c>
      <c r="V30" s="21"/>
    </row>
    <row r="31" spans="1:22" ht="18" customHeight="1" x14ac:dyDescent="0.3">
      <c r="A31" s="15">
        <v>26</v>
      </c>
      <c r="B31" s="16">
        <v>45848</v>
      </c>
      <c r="C31" s="3" t="s">
        <v>137</v>
      </c>
      <c r="D31" s="17" t="s">
        <v>72</v>
      </c>
      <c r="E31" s="17" t="s">
        <v>157</v>
      </c>
      <c r="F31" s="19">
        <v>6000</v>
      </c>
      <c r="G31" s="18"/>
      <c r="H31" s="19"/>
      <c r="I31" s="3"/>
      <c r="J31" s="20"/>
      <c r="K31" s="21"/>
      <c r="L31" s="93"/>
      <c r="M31" s="17" t="s">
        <v>43</v>
      </c>
      <c r="N31" s="17" t="s">
        <v>44</v>
      </c>
      <c r="O31" s="22">
        <f t="shared" si="0"/>
        <v>0</v>
      </c>
      <c r="P31" s="22">
        <f t="shared" si="1"/>
        <v>0</v>
      </c>
      <c r="Q31" s="22">
        <f t="shared" si="2"/>
        <v>0</v>
      </c>
      <c r="R31" s="92"/>
      <c r="S31" s="92"/>
      <c r="T31" s="92"/>
      <c r="U31" s="23">
        <f t="shared" si="3"/>
        <v>0</v>
      </c>
      <c r="V31" s="21"/>
    </row>
    <row r="32" spans="1:22" ht="18" customHeight="1" x14ac:dyDescent="0.3">
      <c r="A32" s="15">
        <v>27</v>
      </c>
      <c r="B32" s="16">
        <v>45848</v>
      </c>
      <c r="C32" s="3" t="s">
        <v>149</v>
      </c>
      <c r="D32" s="17" t="s">
        <v>150</v>
      </c>
      <c r="E32" s="17" t="s">
        <v>152</v>
      </c>
      <c r="F32" s="18"/>
      <c r="G32" s="19"/>
      <c r="H32" s="19">
        <v>550000</v>
      </c>
      <c r="I32" s="3"/>
      <c r="J32" s="20"/>
      <c r="K32" s="21"/>
      <c r="L32" s="93"/>
      <c r="M32" s="17" t="s">
        <v>45</v>
      </c>
      <c r="N32" s="17" t="s">
        <v>46</v>
      </c>
      <c r="O32" s="22">
        <f>SUMIF($D$6:$D$130,$M32,$F$6:$F$130)</f>
        <v>0</v>
      </c>
      <c r="P32" s="22">
        <f t="shared" si="1"/>
        <v>0</v>
      </c>
      <c r="Q32" s="22">
        <f t="shared" si="2"/>
        <v>176000</v>
      </c>
      <c r="R32" s="92"/>
      <c r="S32" s="92"/>
      <c r="T32" s="92"/>
      <c r="U32" s="23">
        <f t="shared" si="3"/>
        <v>176000</v>
      </c>
      <c r="V32" s="21"/>
    </row>
    <row r="33" spans="1:22" ht="18" customHeight="1" x14ac:dyDescent="0.3">
      <c r="A33" s="15">
        <v>28</v>
      </c>
      <c r="B33" s="16">
        <v>45849</v>
      </c>
      <c r="C33" s="3" t="s">
        <v>151</v>
      </c>
      <c r="D33" s="17" t="s">
        <v>164</v>
      </c>
      <c r="E33" s="17" t="s">
        <v>153</v>
      </c>
      <c r="F33" s="18"/>
      <c r="G33" s="19"/>
      <c r="H33" s="19">
        <v>220000</v>
      </c>
      <c r="I33" s="3"/>
      <c r="J33" s="20"/>
      <c r="K33" s="21"/>
      <c r="L33" s="93"/>
      <c r="M33" s="17" t="s">
        <v>164</v>
      </c>
      <c r="N33" s="17" t="s">
        <v>191</v>
      </c>
      <c r="O33" s="22">
        <f t="shared" si="0"/>
        <v>0</v>
      </c>
      <c r="P33" s="22">
        <f t="shared" si="1"/>
        <v>0</v>
      </c>
      <c r="Q33" s="22">
        <f t="shared" si="2"/>
        <v>770000</v>
      </c>
      <c r="R33" s="92"/>
      <c r="S33" s="92"/>
      <c r="T33" s="92"/>
      <c r="U33" s="23">
        <f t="shared" si="3"/>
        <v>770000</v>
      </c>
      <c r="V33" s="21"/>
    </row>
    <row r="34" spans="1:22" ht="18" customHeight="1" x14ac:dyDescent="0.3">
      <c r="A34" s="15">
        <v>29</v>
      </c>
      <c r="B34" s="16">
        <v>45849</v>
      </c>
      <c r="C34" s="3" t="s">
        <v>151</v>
      </c>
      <c r="D34" s="17" t="s">
        <v>164</v>
      </c>
      <c r="E34" s="3" t="s">
        <v>154</v>
      </c>
      <c r="F34" s="18"/>
      <c r="G34" s="19"/>
      <c r="H34" s="19">
        <v>550000</v>
      </c>
      <c r="I34" s="3"/>
      <c r="J34" s="20"/>
      <c r="K34" s="21"/>
      <c r="L34" s="93"/>
      <c r="M34" s="17" t="s">
        <v>150</v>
      </c>
      <c r="N34" s="17" t="s">
        <v>148</v>
      </c>
      <c r="O34" s="22">
        <f t="shared" si="0"/>
        <v>0</v>
      </c>
      <c r="P34" s="22">
        <f t="shared" si="1"/>
        <v>0</v>
      </c>
      <c r="Q34" s="22">
        <f t="shared" si="2"/>
        <v>2024000</v>
      </c>
      <c r="R34" s="92"/>
      <c r="S34" s="92"/>
      <c r="T34" s="92"/>
      <c r="U34" s="23">
        <f t="shared" si="3"/>
        <v>2024000</v>
      </c>
      <c r="V34" s="21"/>
    </row>
    <row r="35" spans="1:22" ht="18" customHeight="1" x14ac:dyDescent="0.3">
      <c r="A35" s="15">
        <v>30</v>
      </c>
      <c r="B35" s="16">
        <v>45849</v>
      </c>
      <c r="C35" s="3" t="s">
        <v>105</v>
      </c>
      <c r="D35" s="17" t="s">
        <v>150</v>
      </c>
      <c r="E35" s="3" t="s">
        <v>155</v>
      </c>
      <c r="F35" s="18"/>
      <c r="G35" s="19"/>
      <c r="H35" s="19">
        <v>770000</v>
      </c>
      <c r="I35" s="3"/>
      <c r="J35" s="20"/>
      <c r="K35" s="21"/>
      <c r="L35" s="93" t="s">
        <v>49</v>
      </c>
      <c r="M35" s="17" t="s">
        <v>50</v>
      </c>
      <c r="N35" s="17"/>
      <c r="O35" s="22">
        <f t="shared" si="0"/>
        <v>0</v>
      </c>
      <c r="P35" s="22">
        <f t="shared" si="1"/>
        <v>0</v>
      </c>
      <c r="Q35" s="22">
        <f t="shared" si="2"/>
        <v>0</v>
      </c>
      <c r="R35" s="92"/>
      <c r="S35" s="92"/>
      <c r="T35" s="92"/>
      <c r="U35" s="23">
        <f t="shared" si="3"/>
        <v>0</v>
      </c>
      <c r="V35" s="21"/>
    </row>
    <row r="36" spans="1:22" ht="18" customHeight="1" x14ac:dyDescent="0.3">
      <c r="A36" s="15">
        <v>31</v>
      </c>
      <c r="B36" s="16">
        <v>45853</v>
      </c>
      <c r="C36" s="3" t="s">
        <v>144</v>
      </c>
      <c r="D36" s="17" t="s">
        <v>93</v>
      </c>
      <c r="E36" s="17" t="s">
        <v>145</v>
      </c>
      <c r="F36" s="18"/>
      <c r="G36" s="19"/>
      <c r="H36" s="19">
        <v>563290</v>
      </c>
      <c r="I36" s="3"/>
      <c r="J36" s="20"/>
      <c r="K36" s="21"/>
      <c r="L36" s="93"/>
      <c r="M36" s="17" t="s">
        <v>76</v>
      </c>
      <c r="N36" s="17"/>
      <c r="O36" s="22">
        <f t="shared" si="0"/>
        <v>0</v>
      </c>
      <c r="P36" s="22">
        <f t="shared" si="1"/>
        <v>0</v>
      </c>
      <c r="Q36" s="22">
        <f t="shared" si="2"/>
        <v>0</v>
      </c>
      <c r="R36" s="92"/>
      <c r="S36" s="92"/>
      <c r="T36" s="92"/>
      <c r="U36" s="23">
        <f t="shared" si="3"/>
        <v>0</v>
      </c>
      <c r="V36" s="21"/>
    </row>
    <row r="37" spans="1:22" ht="18" customHeight="1" x14ac:dyDescent="0.3">
      <c r="A37" s="15">
        <v>32</v>
      </c>
      <c r="B37" s="16">
        <v>45856</v>
      </c>
      <c r="C37" s="3" t="s">
        <v>156</v>
      </c>
      <c r="D37" s="17" t="s">
        <v>72</v>
      </c>
      <c r="E37" s="17" t="s">
        <v>157</v>
      </c>
      <c r="F37" s="18"/>
      <c r="G37" s="19"/>
      <c r="H37" s="19">
        <v>42800</v>
      </c>
      <c r="I37" s="3"/>
      <c r="J37" s="20"/>
      <c r="K37" s="21"/>
      <c r="L37" s="93"/>
      <c r="M37" s="17" t="s">
        <v>85</v>
      </c>
      <c r="N37" s="17"/>
      <c r="O37" s="22">
        <f t="shared" si="0"/>
        <v>0</v>
      </c>
      <c r="P37" s="22">
        <f t="shared" si="1"/>
        <v>0</v>
      </c>
      <c r="Q37" s="22">
        <f t="shared" si="2"/>
        <v>0</v>
      </c>
      <c r="R37" s="92"/>
      <c r="S37" s="92"/>
      <c r="T37" s="92"/>
      <c r="U37" s="23">
        <f t="shared" si="3"/>
        <v>0</v>
      </c>
      <c r="V37" s="21"/>
    </row>
    <row r="38" spans="1:22" ht="18" customHeight="1" x14ac:dyDescent="0.3">
      <c r="A38" s="15">
        <v>33</v>
      </c>
      <c r="B38" s="16">
        <v>45856</v>
      </c>
      <c r="C38" s="3" t="s">
        <v>146</v>
      </c>
      <c r="D38" s="17" t="s">
        <v>88</v>
      </c>
      <c r="E38" s="3" t="s">
        <v>147</v>
      </c>
      <c r="F38" s="18"/>
      <c r="G38" s="19"/>
      <c r="H38" s="19">
        <v>319300</v>
      </c>
      <c r="I38" s="3"/>
      <c r="J38" s="26"/>
      <c r="K38" s="21"/>
      <c r="L38" s="93"/>
      <c r="M38" s="17" t="s">
        <v>134</v>
      </c>
      <c r="N38" s="17"/>
      <c r="O38" s="22">
        <f t="shared" si="0"/>
        <v>0</v>
      </c>
      <c r="P38" s="22">
        <f t="shared" si="1"/>
        <v>0</v>
      </c>
      <c r="Q38" s="22">
        <f t="shared" si="2"/>
        <v>0</v>
      </c>
      <c r="R38" s="92"/>
      <c r="S38" s="92"/>
      <c r="T38" s="92"/>
      <c r="U38" s="23">
        <f t="shared" si="3"/>
        <v>0</v>
      </c>
      <c r="V38" s="21"/>
    </row>
    <row r="39" spans="1:22" ht="18" customHeight="1" x14ac:dyDescent="0.3">
      <c r="A39" s="15">
        <v>34</v>
      </c>
      <c r="B39" s="16">
        <v>45863</v>
      </c>
      <c r="C39" s="3" t="s">
        <v>138</v>
      </c>
      <c r="D39" s="17" t="s">
        <v>83</v>
      </c>
      <c r="E39" s="3" t="s">
        <v>139</v>
      </c>
      <c r="F39" s="18"/>
      <c r="G39" s="19">
        <v>61600</v>
      </c>
      <c r="H39" s="19"/>
      <c r="I39" s="3"/>
      <c r="J39" s="26"/>
      <c r="K39" s="21"/>
      <c r="L39" s="93"/>
      <c r="M39" s="17" t="s">
        <v>135</v>
      </c>
      <c r="N39" s="17"/>
      <c r="O39" s="22">
        <f t="shared" si="0"/>
        <v>0</v>
      </c>
      <c r="P39" s="22">
        <f t="shared" si="1"/>
        <v>0</v>
      </c>
      <c r="Q39" s="22">
        <f t="shared" si="2"/>
        <v>0</v>
      </c>
      <c r="R39" s="104"/>
      <c r="S39" s="105"/>
      <c r="T39" s="106"/>
      <c r="U39" s="23">
        <f t="shared" si="3"/>
        <v>0</v>
      </c>
      <c r="V39" s="21"/>
    </row>
    <row r="40" spans="1:22" ht="18" customHeight="1" x14ac:dyDescent="0.3">
      <c r="A40" s="15">
        <v>35</v>
      </c>
      <c r="B40" s="16">
        <v>45863</v>
      </c>
      <c r="C40" s="3" t="s">
        <v>140</v>
      </c>
      <c r="D40" s="17" t="s">
        <v>140</v>
      </c>
      <c r="E40" s="3" t="s">
        <v>143</v>
      </c>
      <c r="F40" s="18"/>
      <c r="G40" s="19"/>
      <c r="H40" s="19">
        <v>180000</v>
      </c>
      <c r="I40" s="3"/>
      <c r="J40" s="20"/>
      <c r="K40" s="21"/>
      <c r="L40" s="93"/>
      <c r="M40" s="17" t="s">
        <v>52</v>
      </c>
      <c r="N40" s="17"/>
      <c r="O40" s="22">
        <f t="shared" si="0"/>
        <v>0</v>
      </c>
      <c r="P40" s="22">
        <f t="shared" si="1"/>
        <v>0</v>
      </c>
      <c r="Q40" s="22">
        <f t="shared" si="2"/>
        <v>0</v>
      </c>
      <c r="R40" s="92"/>
      <c r="S40" s="92"/>
      <c r="T40" s="92"/>
      <c r="U40" s="23">
        <f t="shared" si="3"/>
        <v>0</v>
      </c>
      <c r="V40" s="21"/>
    </row>
    <row r="41" spans="1:22" ht="18" customHeight="1" x14ac:dyDescent="0.3">
      <c r="A41" s="15">
        <v>36</v>
      </c>
      <c r="B41" s="16">
        <v>45866</v>
      </c>
      <c r="C41" s="3" t="s">
        <v>132</v>
      </c>
      <c r="D41" s="17" t="s">
        <v>92</v>
      </c>
      <c r="E41" s="3" t="s">
        <v>133</v>
      </c>
      <c r="F41" s="18"/>
      <c r="G41" s="19">
        <v>29200</v>
      </c>
      <c r="H41" s="19"/>
      <c r="I41" s="3"/>
      <c r="J41" s="20"/>
      <c r="K41" s="21"/>
      <c r="L41" s="93" t="s">
        <v>53</v>
      </c>
      <c r="M41" s="17" t="s">
        <v>136</v>
      </c>
      <c r="N41" s="17"/>
      <c r="O41" s="22">
        <f t="shared" si="0"/>
        <v>0</v>
      </c>
      <c r="P41" s="22">
        <f t="shared" si="1"/>
        <v>0</v>
      </c>
      <c r="Q41" s="22">
        <f t="shared" si="2"/>
        <v>18510</v>
      </c>
      <c r="R41" s="92"/>
      <c r="S41" s="92"/>
      <c r="T41" s="92"/>
      <c r="U41" s="23">
        <f t="shared" si="3"/>
        <v>18510</v>
      </c>
      <c r="V41" s="21"/>
    </row>
    <row r="42" spans="1:22" ht="18" customHeight="1" x14ac:dyDescent="0.3">
      <c r="A42" s="15">
        <v>37</v>
      </c>
      <c r="B42" s="16">
        <v>45868</v>
      </c>
      <c r="C42" s="44" t="s">
        <v>158</v>
      </c>
      <c r="D42" s="17" t="s">
        <v>150</v>
      </c>
      <c r="E42" s="3" t="s">
        <v>159</v>
      </c>
      <c r="F42" s="18"/>
      <c r="G42" s="18"/>
      <c r="H42" s="27">
        <v>704000</v>
      </c>
      <c r="I42" s="3"/>
      <c r="J42" s="20"/>
      <c r="K42" s="21"/>
      <c r="L42" s="93"/>
      <c r="M42" s="17"/>
      <c r="N42" s="17"/>
      <c r="O42" s="22">
        <f t="shared" si="0"/>
        <v>0</v>
      </c>
      <c r="P42" s="22">
        <f t="shared" si="1"/>
        <v>0</v>
      </c>
      <c r="Q42" s="22">
        <f t="shared" si="2"/>
        <v>0</v>
      </c>
      <c r="R42" s="92"/>
      <c r="S42" s="92"/>
      <c r="T42" s="92"/>
      <c r="U42" s="23">
        <f t="shared" si="3"/>
        <v>0</v>
      </c>
      <c r="V42" s="21"/>
    </row>
    <row r="43" spans="1:22" ht="18" customHeight="1" x14ac:dyDescent="0.3">
      <c r="A43" s="15">
        <v>38</v>
      </c>
      <c r="B43" s="16">
        <v>45869</v>
      </c>
      <c r="C43" s="3" t="s">
        <v>160</v>
      </c>
      <c r="D43" s="17" t="s">
        <v>136</v>
      </c>
      <c r="E43" s="3"/>
      <c r="F43" s="18"/>
      <c r="G43" s="18"/>
      <c r="H43" s="27">
        <v>18510</v>
      </c>
      <c r="I43" s="3"/>
      <c r="J43" s="20"/>
      <c r="K43" s="21"/>
      <c r="L43" s="93"/>
      <c r="M43" s="17" t="s">
        <v>80</v>
      </c>
      <c r="N43" s="17"/>
      <c r="O43" s="22">
        <f t="shared" si="0"/>
        <v>0</v>
      </c>
      <c r="P43" s="22">
        <f t="shared" si="1"/>
        <v>0</v>
      </c>
      <c r="Q43" s="22">
        <f t="shared" si="2"/>
        <v>0</v>
      </c>
      <c r="R43" s="92"/>
      <c r="S43" s="92"/>
      <c r="T43" s="92"/>
      <c r="U43" s="23">
        <f t="shared" si="3"/>
        <v>0</v>
      </c>
      <c r="V43" s="21"/>
    </row>
    <row r="44" spans="1:22" ht="18" customHeight="1" x14ac:dyDescent="0.3">
      <c r="A44" s="15">
        <v>39</v>
      </c>
      <c r="B44" s="16"/>
      <c r="C44" s="3" t="s">
        <v>161</v>
      </c>
      <c r="D44" s="17" t="s">
        <v>162</v>
      </c>
      <c r="E44" s="3" t="s">
        <v>163</v>
      </c>
      <c r="F44" s="18"/>
      <c r="G44" s="18"/>
      <c r="H44" s="27">
        <v>1273448</v>
      </c>
      <c r="I44" s="3"/>
      <c r="J44" s="20"/>
      <c r="K44" s="21"/>
      <c r="L44" s="93"/>
      <c r="M44" s="17" t="s">
        <v>54</v>
      </c>
      <c r="N44" s="17" t="s">
        <v>55</v>
      </c>
      <c r="O44" s="22">
        <f t="shared" si="0"/>
        <v>0</v>
      </c>
      <c r="P44" s="22">
        <f t="shared" si="1"/>
        <v>0</v>
      </c>
      <c r="Q44" s="22">
        <f t="shared" si="2"/>
        <v>0</v>
      </c>
      <c r="R44" s="92"/>
      <c r="S44" s="92"/>
      <c r="T44" s="92"/>
      <c r="U44" s="23">
        <f t="shared" si="3"/>
        <v>0</v>
      </c>
      <c r="V44" s="21"/>
    </row>
    <row r="45" spans="1:22" ht="18" customHeight="1" x14ac:dyDescent="0.3">
      <c r="A45" s="15">
        <v>40</v>
      </c>
      <c r="B45" s="16"/>
      <c r="C45" s="17" t="s">
        <v>170</v>
      </c>
      <c r="D45" s="17" t="s">
        <v>21</v>
      </c>
      <c r="E45" s="3" t="s">
        <v>165</v>
      </c>
      <c r="F45" s="18"/>
      <c r="G45" s="18"/>
      <c r="H45" s="27">
        <v>3650000</v>
      </c>
      <c r="I45" s="3"/>
      <c r="J45" s="20"/>
      <c r="K45" s="21"/>
      <c r="L45" s="93"/>
      <c r="M45" s="17" t="s">
        <v>87</v>
      </c>
      <c r="N45" s="17"/>
      <c r="O45" s="22">
        <f t="shared" si="0"/>
        <v>0</v>
      </c>
      <c r="P45" s="22">
        <f t="shared" si="1"/>
        <v>0</v>
      </c>
      <c r="Q45" s="22">
        <f t="shared" si="2"/>
        <v>0</v>
      </c>
      <c r="R45" s="92"/>
      <c r="S45" s="92"/>
      <c r="T45" s="92"/>
      <c r="U45" s="23">
        <f t="shared" si="3"/>
        <v>0</v>
      </c>
      <c r="V45" s="21"/>
    </row>
    <row r="46" spans="1:22" ht="18" customHeight="1" x14ac:dyDescent="0.3">
      <c r="A46" s="15">
        <v>41</v>
      </c>
      <c r="B46" s="16"/>
      <c r="C46" s="17" t="s">
        <v>170</v>
      </c>
      <c r="D46" s="17" t="s">
        <v>21</v>
      </c>
      <c r="E46" s="3" t="s">
        <v>166</v>
      </c>
      <c r="F46" s="18"/>
      <c r="G46" s="19"/>
      <c r="H46" s="19">
        <v>1987084</v>
      </c>
      <c r="I46" s="3"/>
      <c r="J46" s="20" t="s">
        <v>168</v>
      </c>
      <c r="K46" s="21"/>
      <c r="L46" s="93"/>
      <c r="M46" s="17" t="s">
        <v>56</v>
      </c>
      <c r="N46" s="17"/>
      <c r="O46" s="22">
        <f t="shared" si="0"/>
        <v>0</v>
      </c>
      <c r="P46" s="22">
        <f t="shared" si="1"/>
        <v>0</v>
      </c>
      <c r="Q46" s="22">
        <f t="shared" si="2"/>
        <v>0</v>
      </c>
      <c r="R46" s="92"/>
      <c r="S46" s="92"/>
      <c r="T46" s="92"/>
      <c r="U46" s="23">
        <f t="shared" si="3"/>
        <v>0</v>
      </c>
      <c r="V46" s="21"/>
    </row>
    <row r="47" spans="1:22" ht="18" customHeight="1" x14ac:dyDescent="0.3">
      <c r="A47" s="15">
        <v>42</v>
      </c>
      <c r="B47" s="16"/>
      <c r="C47" s="17" t="s">
        <v>170</v>
      </c>
      <c r="D47" s="17" t="s">
        <v>21</v>
      </c>
      <c r="E47" s="3" t="s">
        <v>167</v>
      </c>
      <c r="F47" s="18"/>
      <c r="G47" s="19"/>
      <c r="H47" s="19">
        <v>2100000</v>
      </c>
      <c r="I47" s="3"/>
      <c r="J47" s="20" t="s">
        <v>169</v>
      </c>
      <c r="K47" s="21"/>
      <c r="L47" s="93" t="s">
        <v>57</v>
      </c>
      <c r="M47" s="17" t="s">
        <v>81</v>
      </c>
      <c r="N47" s="17"/>
      <c r="O47" s="22">
        <f t="shared" si="0"/>
        <v>0</v>
      </c>
      <c r="P47" s="22">
        <f t="shared" si="1"/>
        <v>0</v>
      </c>
      <c r="Q47" s="22">
        <f t="shared" si="2"/>
        <v>2934508</v>
      </c>
      <c r="R47" s="92"/>
      <c r="S47" s="92"/>
      <c r="T47" s="92"/>
      <c r="U47" s="23">
        <f t="shared" si="3"/>
        <v>2934508</v>
      </c>
      <c r="V47" s="21"/>
    </row>
    <row r="48" spans="1:22" ht="18" customHeight="1" x14ac:dyDescent="0.3">
      <c r="A48" s="15">
        <v>43</v>
      </c>
      <c r="B48" s="16"/>
      <c r="C48" s="3" t="s">
        <v>171</v>
      </c>
      <c r="D48" s="17" t="s">
        <v>173</v>
      </c>
      <c r="E48" s="3" t="s">
        <v>172</v>
      </c>
      <c r="F48" s="18"/>
      <c r="G48" s="19"/>
      <c r="H48" s="19">
        <v>6400000</v>
      </c>
      <c r="I48" s="3"/>
      <c r="J48" s="20"/>
      <c r="K48" s="21"/>
      <c r="L48" s="93"/>
      <c r="M48" s="17" t="s">
        <v>82</v>
      </c>
      <c r="N48" s="17"/>
      <c r="O48" s="22">
        <f t="shared" si="0"/>
        <v>0</v>
      </c>
      <c r="P48" s="22">
        <f t="shared" si="1"/>
        <v>0</v>
      </c>
      <c r="Q48" s="22">
        <f t="shared" si="2"/>
        <v>0</v>
      </c>
      <c r="R48" s="92"/>
      <c r="S48" s="92"/>
      <c r="T48" s="92"/>
      <c r="U48" s="23">
        <f t="shared" si="3"/>
        <v>0</v>
      </c>
      <c r="V48" s="21"/>
    </row>
    <row r="49" spans="1:22" ht="18" customHeight="1" x14ac:dyDescent="0.3">
      <c r="A49" s="15">
        <v>44</v>
      </c>
      <c r="B49" s="16"/>
      <c r="C49" s="3" t="s">
        <v>175</v>
      </c>
      <c r="D49" s="17" t="s">
        <v>24</v>
      </c>
      <c r="E49" s="3" t="s">
        <v>176</v>
      </c>
      <c r="F49" s="18"/>
      <c r="G49" s="27"/>
      <c r="H49" s="27">
        <v>1080000</v>
      </c>
      <c r="I49" s="3"/>
      <c r="J49" s="20" t="s">
        <v>177</v>
      </c>
      <c r="K49" s="21"/>
      <c r="L49" s="93"/>
      <c r="M49" s="17" t="s">
        <v>89</v>
      </c>
      <c r="N49" s="17"/>
      <c r="O49" s="22">
        <f t="shared" si="0"/>
        <v>0</v>
      </c>
      <c r="P49" s="22">
        <f t="shared" si="1"/>
        <v>0</v>
      </c>
      <c r="Q49" s="22">
        <f t="shared" si="2"/>
        <v>0</v>
      </c>
      <c r="R49" s="92"/>
      <c r="S49" s="92"/>
      <c r="T49" s="92"/>
      <c r="U49" s="23">
        <f t="shared" si="3"/>
        <v>0</v>
      </c>
      <c r="V49" s="21"/>
    </row>
    <row r="50" spans="1:22" ht="18" customHeight="1" x14ac:dyDescent="0.3">
      <c r="A50" s="15">
        <v>45</v>
      </c>
      <c r="B50" s="16"/>
      <c r="C50" s="3"/>
      <c r="D50" s="17"/>
      <c r="E50" s="3"/>
      <c r="F50" s="37"/>
      <c r="G50" s="18"/>
      <c r="H50" s="27"/>
      <c r="I50" s="3"/>
      <c r="J50" s="20"/>
      <c r="K50" s="21"/>
      <c r="L50" s="93"/>
      <c r="M50" s="17" t="s">
        <v>58</v>
      </c>
      <c r="N50" s="17" t="s">
        <v>59</v>
      </c>
      <c r="O50" s="22">
        <f t="shared" si="0"/>
        <v>0</v>
      </c>
      <c r="P50" s="22">
        <f t="shared" si="1"/>
        <v>0</v>
      </c>
      <c r="Q50" s="22">
        <f t="shared" si="2"/>
        <v>0</v>
      </c>
      <c r="R50" s="92"/>
      <c r="S50" s="92"/>
      <c r="T50" s="92"/>
      <c r="U50" s="23">
        <f t="shared" si="3"/>
        <v>0</v>
      </c>
      <c r="V50" s="21"/>
    </row>
    <row r="51" spans="1:22" ht="18" customHeight="1" x14ac:dyDescent="0.3">
      <c r="A51" s="15">
        <v>46</v>
      </c>
      <c r="B51" s="16"/>
      <c r="C51" s="3"/>
      <c r="D51" s="17"/>
      <c r="E51" s="3"/>
      <c r="F51" s="37"/>
      <c r="G51" s="18"/>
      <c r="H51" s="28"/>
      <c r="I51" s="3"/>
      <c r="J51" s="20"/>
      <c r="K51" s="21"/>
      <c r="L51" s="93" t="s">
        <v>60</v>
      </c>
      <c r="M51" s="17" t="s">
        <v>69</v>
      </c>
      <c r="N51" s="17"/>
      <c r="O51" s="22">
        <f t="shared" si="0"/>
        <v>0</v>
      </c>
      <c r="P51" s="22">
        <f t="shared" si="1"/>
        <v>0</v>
      </c>
      <c r="Q51" s="22">
        <f t="shared" si="2"/>
        <v>0</v>
      </c>
      <c r="R51" s="92"/>
      <c r="S51" s="92"/>
      <c r="T51" s="92"/>
      <c r="U51" s="23">
        <f t="shared" si="3"/>
        <v>0</v>
      </c>
      <c r="V51" s="21"/>
    </row>
    <row r="52" spans="1:22" ht="18" customHeight="1" x14ac:dyDescent="0.3">
      <c r="A52" s="15">
        <v>47</v>
      </c>
      <c r="B52" s="16"/>
      <c r="C52" s="3"/>
      <c r="D52" s="17"/>
      <c r="E52" s="17"/>
      <c r="F52" s="18"/>
      <c r="G52" s="18"/>
      <c r="H52" s="19"/>
      <c r="I52" s="3"/>
      <c r="J52" s="20"/>
      <c r="K52" s="21"/>
      <c r="L52" s="93"/>
      <c r="M52" s="17" t="s">
        <v>61</v>
      </c>
      <c r="N52" s="17"/>
      <c r="O52" s="22">
        <f t="shared" si="0"/>
        <v>0</v>
      </c>
      <c r="P52" s="22">
        <f t="shared" si="1"/>
        <v>0</v>
      </c>
      <c r="Q52" s="22">
        <f t="shared" si="2"/>
        <v>0</v>
      </c>
      <c r="R52" s="92"/>
      <c r="S52" s="92"/>
      <c r="T52" s="92"/>
      <c r="U52" s="23">
        <f t="shared" si="3"/>
        <v>0</v>
      </c>
      <c r="V52" s="21"/>
    </row>
    <row r="53" spans="1:22" ht="18" customHeight="1" x14ac:dyDescent="0.3">
      <c r="A53" s="15">
        <v>48</v>
      </c>
      <c r="B53" s="16"/>
      <c r="C53" s="3"/>
      <c r="D53" s="17"/>
      <c r="E53" s="17"/>
      <c r="F53" s="18"/>
      <c r="G53" s="18"/>
      <c r="H53" s="19"/>
      <c r="I53" s="3"/>
      <c r="J53" s="20"/>
      <c r="K53" s="21"/>
      <c r="L53" s="93"/>
      <c r="M53" s="17" t="s">
        <v>62</v>
      </c>
      <c r="N53" s="17"/>
      <c r="O53" s="22">
        <f t="shared" si="0"/>
        <v>0</v>
      </c>
      <c r="P53" s="22">
        <f t="shared" si="1"/>
        <v>0</v>
      </c>
      <c r="Q53" s="22">
        <f t="shared" si="2"/>
        <v>0</v>
      </c>
      <c r="R53" s="92"/>
      <c r="S53" s="92"/>
      <c r="T53" s="92"/>
      <c r="U53" s="23">
        <f t="shared" si="3"/>
        <v>0</v>
      </c>
      <c r="V53" s="21"/>
    </row>
    <row r="54" spans="1:22" ht="18" customHeight="1" x14ac:dyDescent="0.3">
      <c r="A54" s="15">
        <v>49</v>
      </c>
      <c r="B54" s="16"/>
      <c r="C54" s="3"/>
      <c r="D54" s="17"/>
      <c r="E54" s="3"/>
      <c r="F54" s="18"/>
      <c r="G54" s="18"/>
      <c r="H54" s="19"/>
      <c r="I54" s="3"/>
      <c r="J54" s="20"/>
      <c r="K54" s="21"/>
      <c r="L54" s="93"/>
      <c r="M54" s="17" t="s">
        <v>63</v>
      </c>
      <c r="N54" s="17"/>
      <c r="O54" s="22">
        <f t="shared" si="0"/>
        <v>0</v>
      </c>
      <c r="P54" s="22">
        <f t="shared" si="1"/>
        <v>0</v>
      </c>
      <c r="Q54" s="22">
        <f t="shared" si="2"/>
        <v>0</v>
      </c>
      <c r="R54" s="92"/>
      <c r="S54" s="92"/>
      <c r="T54" s="92"/>
      <c r="U54" s="23">
        <f t="shared" si="3"/>
        <v>0</v>
      </c>
      <c r="V54" s="21"/>
    </row>
    <row r="55" spans="1:22" ht="18" customHeight="1" x14ac:dyDescent="0.3">
      <c r="A55" s="15">
        <v>50</v>
      </c>
      <c r="B55" s="16"/>
      <c r="C55" s="3"/>
      <c r="D55" s="17"/>
      <c r="E55" s="3"/>
      <c r="F55" s="18"/>
      <c r="G55" s="18"/>
      <c r="H55" s="19"/>
      <c r="I55" s="3"/>
      <c r="J55" s="20"/>
      <c r="K55" s="21"/>
      <c r="L55" s="93"/>
      <c r="M55" s="17" t="s">
        <v>68</v>
      </c>
      <c r="N55" s="17"/>
      <c r="O55" s="22">
        <f t="shared" si="0"/>
        <v>0</v>
      </c>
      <c r="P55" s="22">
        <f t="shared" si="1"/>
        <v>0</v>
      </c>
      <c r="Q55" s="22">
        <f t="shared" si="2"/>
        <v>0</v>
      </c>
      <c r="R55" s="92"/>
      <c r="S55" s="92"/>
      <c r="T55" s="92"/>
      <c r="U55" s="23">
        <f t="shared" si="3"/>
        <v>0</v>
      </c>
      <c r="V55" s="21"/>
    </row>
    <row r="56" spans="1:22" ht="18" customHeight="1" x14ac:dyDescent="0.3">
      <c r="A56" s="15">
        <v>51</v>
      </c>
      <c r="B56" s="16"/>
      <c r="C56" s="3"/>
      <c r="D56" s="17"/>
      <c r="E56" s="3"/>
      <c r="F56" s="18"/>
      <c r="G56" s="18"/>
      <c r="H56" s="28"/>
      <c r="I56" s="3"/>
      <c r="J56" s="20"/>
      <c r="K56" s="21"/>
      <c r="L56" s="93"/>
      <c r="M56" s="17" t="s">
        <v>64</v>
      </c>
      <c r="N56" s="17" t="s">
        <v>65</v>
      </c>
      <c r="O56" s="22">
        <f t="shared" si="0"/>
        <v>0</v>
      </c>
      <c r="P56" s="22">
        <f t="shared" si="1"/>
        <v>0</v>
      </c>
      <c r="Q56" s="22">
        <f t="shared" si="2"/>
        <v>0</v>
      </c>
      <c r="R56" s="92"/>
      <c r="S56" s="92"/>
      <c r="T56" s="92"/>
      <c r="U56" s="23">
        <f t="shared" si="3"/>
        <v>0</v>
      </c>
      <c r="V56" s="21"/>
    </row>
    <row r="57" spans="1:22" ht="18" customHeight="1" x14ac:dyDescent="0.3">
      <c r="A57" s="15">
        <v>52</v>
      </c>
      <c r="B57" s="16"/>
      <c r="C57" s="3"/>
      <c r="D57" s="17"/>
      <c r="E57" s="3"/>
      <c r="F57" s="18"/>
      <c r="G57" s="18"/>
      <c r="H57" s="28"/>
      <c r="I57" s="3"/>
      <c r="J57" s="20"/>
      <c r="K57" s="21"/>
      <c r="L57" s="93"/>
      <c r="M57" s="17" t="s">
        <v>84</v>
      </c>
      <c r="N57" s="17"/>
      <c r="O57" s="22">
        <f t="shared" si="0"/>
        <v>0</v>
      </c>
      <c r="P57" s="22">
        <f t="shared" si="1"/>
        <v>0</v>
      </c>
      <c r="Q57" s="22">
        <f t="shared" si="2"/>
        <v>0</v>
      </c>
      <c r="R57" s="92"/>
      <c r="S57" s="92"/>
      <c r="T57" s="92"/>
      <c r="U57" s="23">
        <f t="shared" si="3"/>
        <v>0</v>
      </c>
      <c r="V57" s="21"/>
    </row>
    <row r="58" spans="1:22" ht="18" customHeight="1" x14ac:dyDescent="0.3">
      <c r="A58" s="15">
        <v>53</v>
      </c>
      <c r="B58" s="16"/>
      <c r="C58" s="3"/>
      <c r="D58" s="17"/>
      <c r="E58" s="3"/>
      <c r="F58" s="18"/>
      <c r="G58" s="18"/>
      <c r="H58" s="28"/>
      <c r="I58" s="3"/>
      <c r="J58" s="20"/>
      <c r="K58" s="21"/>
      <c r="L58" s="93"/>
      <c r="M58" s="17" t="s">
        <v>71</v>
      </c>
      <c r="N58" s="17"/>
      <c r="O58" s="22">
        <f t="shared" si="0"/>
        <v>0</v>
      </c>
      <c r="P58" s="22">
        <f t="shared" si="1"/>
        <v>0</v>
      </c>
      <c r="Q58" s="22">
        <f t="shared" si="2"/>
        <v>54000</v>
      </c>
      <c r="R58" s="92"/>
      <c r="S58" s="92"/>
      <c r="T58" s="92"/>
      <c r="U58" s="23">
        <f t="shared" si="3"/>
        <v>54000</v>
      </c>
      <c r="V58" s="21"/>
    </row>
    <row r="59" spans="1:22" ht="18" customHeight="1" x14ac:dyDescent="0.3">
      <c r="A59" s="15">
        <v>54</v>
      </c>
      <c r="B59" s="16"/>
      <c r="C59" s="3"/>
      <c r="D59" s="17"/>
      <c r="E59" s="3"/>
      <c r="F59" s="18"/>
      <c r="G59" s="18"/>
      <c r="H59" s="28"/>
      <c r="I59" s="3"/>
      <c r="J59" s="20"/>
      <c r="K59" s="21"/>
      <c r="L59" s="93" t="s">
        <v>66</v>
      </c>
      <c r="M59" s="94"/>
      <c r="N59" s="94"/>
      <c r="O59" s="97">
        <f>SUM(O6:O58)</f>
        <v>6000</v>
      </c>
      <c r="P59" s="97">
        <f>SUM(P6:P58)</f>
        <v>90800</v>
      </c>
      <c r="Q59" s="97">
        <f>SUM(Q6:Q58)</f>
        <v>46677420</v>
      </c>
      <c r="R59" s="92" t="s">
        <v>67</v>
      </c>
      <c r="S59" s="100">
        <f>SUM(O59:Q60)</f>
        <v>46774220</v>
      </c>
      <c r="T59" s="100"/>
      <c r="U59" s="101"/>
      <c r="V59" s="21"/>
    </row>
    <row r="60" spans="1:22" ht="18" customHeight="1" thickBot="1" x14ac:dyDescent="0.35">
      <c r="A60" s="15">
        <v>55</v>
      </c>
      <c r="B60" s="16"/>
      <c r="C60" s="3"/>
      <c r="D60" s="17"/>
      <c r="E60" s="3"/>
      <c r="F60" s="18"/>
      <c r="G60" s="18"/>
      <c r="H60" s="28"/>
      <c r="I60" s="3"/>
      <c r="J60" s="20"/>
      <c r="K60" s="21"/>
      <c r="L60" s="95"/>
      <c r="M60" s="96"/>
      <c r="N60" s="96"/>
      <c r="O60" s="98"/>
      <c r="P60" s="98"/>
      <c r="Q60" s="98"/>
      <c r="R60" s="99"/>
      <c r="S60" s="102"/>
      <c r="T60" s="102"/>
      <c r="U60" s="103"/>
      <c r="V60" s="21"/>
    </row>
    <row r="61" spans="1:22" ht="18" customHeight="1" x14ac:dyDescent="0.3">
      <c r="A61" s="15">
        <v>56</v>
      </c>
      <c r="B61" s="16"/>
      <c r="C61" s="3"/>
      <c r="D61" s="17"/>
      <c r="E61" s="3"/>
      <c r="F61" s="18"/>
      <c r="G61" s="18"/>
      <c r="H61" s="28"/>
      <c r="I61" s="3"/>
      <c r="J61" s="20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9"/>
      <c r="V61" s="21"/>
    </row>
    <row r="62" spans="1:22" ht="18" customHeight="1" x14ac:dyDescent="0.3">
      <c r="A62" s="15">
        <v>57</v>
      </c>
      <c r="B62" s="16"/>
      <c r="C62" s="3"/>
      <c r="D62" s="17"/>
      <c r="E62" s="3"/>
      <c r="F62" s="18"/>
      <c r="G62" s="18"/>
      <c r="H62" s="28"/>
      <c r="I62" s="3"/>
      <c r="J62" s="20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9"/>
      <c r="V62" s="21"/>
    </row>
    <row r="63" spans="1:22" ht="18" customHeight="1" x14ac:dyDescent="0.3">
      <c r="A63" s="15">
        <v>58</v>
      </c>
      <c r="B63" s="16"/>
      <c r="C63" s="3"/>
      <c r="D63" s="17"/>
      <c r="E63" s="17"/>
      <c r="F63" s="18"/>
      <c r="G63" s="18"/>
      <c r="H63" s="19"/>
      <c r="I63" s="3"/>
      <c r="J63" s="20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9"/>
      <c r="V63" s="21"/>
    </row>
    <row r="64" spans="1:22" ht="18" customHeight="1" x14ac:dyDescent="0.3">
      <c r="A64" s="15">
        <v>59</v>
      </c>
      <c r="B64" s="16"/>
      <c r="C64" s="3"/>
      <c r="D64" s="17"/>
      <c r="E64" s="17"/>
      <c r="F64" s="18"/>
      <c r="G64" s="18"/>
      <c r="H64" s="19"/>
      <c r="I64" s="3"/>
      <c r="J64" s="20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9"/>
      <c r="V64" s="21"/>
    </row>
    <row r="65" spans="1:22" ht="18" customHeight="1" x14ac:dyDescent="0.3">
      <c r="A65" s="15">
        <v>60</v>
      </c>
      <c r="B65" s="16"/>
      <c r="C65" s="3"/>
      <c r="D65" s="17"/>
      <c r="E65" s="3"/>
      <c r="F65" s="18"/>
      <c r="G65" s="18"/>
      <c r="H65" s="19"/>
      <c r="I65" s="3"/>
      <c r="J65" s="20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9"/>
      <c r="V65" s="21"/>
    </row>
    <row r="66" spans="1:22" ht="18" customHeight="1" x14ac:dyDescent="0.3">
      <c r="A66" s="15">
        <v>61</v>
      </c>
      <c r="B66" s="16"/>
      <c r="C66" s="3"/>
      <c r="D66" s="17"/>
      <c r="E66" s="3"/>
      <c r="F66" s="18"/>
      <c r="G66" s="18"/>
      <c r="H66" s="28"/>
      <c r="I66" s="3"/>
      <c r="J66" s="20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9"/>
      <c r="V66" s="21"/>
    </row>
    <row r="67" spans="1:22" ht="18" customHeight="1" x14ac:dyDescent="0.3">
      <c r="A67" s="15">
        <v>62</v>
      </c>
      <c r="B67" s="16"/>
      <c r="C67" s="3"/>
      <c r="D67" s="17"/>
      <c r="E67" s="3"/>
      <c r="F67" s="18"/>
      <c r="G67" s="18"/>
      <c r="H67" s="28"/>
      <c r="I67" s="3"/>
      <c r="J67" s="20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9"/>
      <c r="V67" s="21"/>
    </row>
    <row r="68" spans="1:22" ht="18" customHeight="1" x14ac:dyDescent="0.3">
      <c r="A68" s="15">
        <v>63</v>
      </c>
      <c r="B68" s="16"/>
      <c r="C68" s="3"/>
      <c r="D68" s="17"/>
      <c r="E68" s="3"/>
      <c r="F68" s="18"/>
      <c r="G68" s="18"/>
      <c r="H68" s="28"/>
      <c r="I68" s="3"/>
      <c r="J68" s="20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9"/>
      <c r="V68" s="21"/>
    </row>
    <row r="69" spans="1:22" ht="18" customHeight="1" x14ac:dyDescent="0.3">
      <c r="A69" s="15">
        <v>64</v>
      </c>
      <c r="B69" s="16"/>
      <c r="C69" s="3"/>
      <c r="D69" s="17"/>
      <c r="E69" s="3"/>
      <c r="F69" s="18"/>
      <c r="G69" s="18"/>
      <c r="H69" s="28"/>
      <c r="I69" s="3"/>
      <c r="J69" s="20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9"/>
      <c r="V69" s="21"/>
    </row>
    <row r="70" spans="1:22" ht="18" customHeight="1" thickBot="1" x14ac:dyDescent="0.35">
      <c r="A70" s="15">
        <v>65</v>
      </c>
      <c r="B70" s="16"/>
      <c r="C70" s="3"/>
      <c r="D70" s="17"/>
      <c r="E70" s="3"/>
      <c r="F70" s="18"/>
      <c r="G70" s="18"/>
      <c r="H70" s="28"/>
      <c r="I70" s="3"/>
      <c r="J70" s="20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9"/>
      <c r="V70" s="21"/>
    </row>
    <row r="71" spans="1:22" ht="18" customHeight="1" thickBot="1" x14ac:dyDescent="0.35">
      <c r="A71" s="15">
        <v>66</v>
      </c>
      <c r="B71" s="16"/>
      <c r="C71" s="3"/>
      <c r="D71" s="17"/>
      <c r="E71" s="3"/>
      <c r="F71" s="18"/>
      <c r="G71" s="18"/>
      <c r="H71" s="28"/>
      <c r="I71" s="3"/>
      <c r="J71" s="20"/>
      <c r="K71" s="21"/>
      <c r="L71" s="21"/>
      <c r="M71" s="38"/>
      <c r="N71" s="21"/>
      <c r="O71" s="21"/>
      <c r="P71" s="21"/>
      <c r="Q71" s="21"/>
      <c r="R71" s="21"/>
      <c r="S71" s="21"/>
      <c r="T71" s="21"/>
      <c r="U71" s="29"/>
      <c r="V71" s="21"/>
    </row>
    <row r="72" spans="1:22" ht="18" customHeight="1" x14ac:dyDescent="0.3">
      <c r="A72" s="15">
        <v>67</v>
      </c>
      <c r="B72" s="16"/>
      <c r="C72" s="3"/>
      <c r="D72" s="17"/>
      <c r="E72" s="3"/>
      <c r="F72" s="18"/>
      <c r="G72" s="18"/>
      <c r="H72" s="28"/>
      <c r="I72" s="3"/>
      <c r="J72" s="20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9"/>
      <c r="V72" s="21"/>
    </row>
    <row r="73" spans="1:22" ht="18" customHeight="1" x14ac:dyDescent="0.3">
      <c r="A73" s="15">
        <v>68</v>
      </c>
      <c r="B73" s="16"/>
      <c r="C73" s="3"/>
      <c r="D73" s="17"/>
      <c r="E73" s="3"/>
      <c r="F73" s="18"/>
      <c r="G73" s="18"/>
      <c r="H73" s="28"/>
      <c r="I73" s="3"/>
      <c r="J73" s="20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9"/>
      <c r="V73" s="21"/>
    </row>
    <row r="74" spans="1:22" ht="18" customHeight="1" x14ac:dyDescent="0.3">
      <c r="A74" s="15">
        <v>69</v>
      </c>
      <c r="B74" s="16"/>
      <c r="C74" s="3"/>
      <c r="D74" s="17"/>
      <c r="E74" s="17"/>
      <c r="F74" s="18"/>
      <c r="G74" s="18"/>
      <c r="H74" s="28"/>
      <c r="I74" s="3"/>
      <c r="J74" s="20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9"/>
      <c r="V74" s="21"/>
    </row>
    <row r="75" spans="1:22" ht="18" customHeight="1" x14ac:dyDescent="0.3">
      <c r="A75" s="15">
        <v>70</v>
      </c>
      <c r="B75" s="16"/>
      <c r="C75" s="3"/>
      <c r="D75" s="17"/>
      <c r="E75" s="3"/>
      <c r="F75" s="18"/>
      <c r="G75" s="18"/>
      <c r="H75" s="28"/>
      <c r="I75" s="3"/>
      <c r="J75" s="20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9"/>
      <c r="V75" s="21"/>
    </row>
    <row r="76" spans="1:22" ht="18" customHeight="1" x14ac:dyDescent="0.3">
      <c r="A76" s="15">
        <v>71</v>
      </c>
      <c r="B76" s="16"/>
      <c r="C76" s="3"/>
      <c r="D76" s="17"/>
      <c r="E76" s="3"/>
      <c r="F76" s="18"/>
      <c r="G76" s="18"/>
      <c r="H76" s="28"/>
      <c r="I76" s="3"/>
      <c r="J76" s="20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9"/>
      <c r="V76" s="21"/>
    </row>
    <row r="77" spans="1:22" ht="18" customHeight="1" x14ac:dyDescent="0.3">
      <c r="A77" s="15">
        <v>72</v>
      </c>
      <c r="B77" s="16"/>
      <c r="C77" s="3"/>
      <c r="D77" s="17"/>
      <c r="E77" s="3"/>
      <c r="F77" s="18"/>
      <c r="G77" s="18"/>
      <c r="H77" s="28"/>
      <c r="I77" s="3"/>
      <c r="J77" s="20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9"/>
      <c r="V77" s="21"/>
    </row>
    <row r="78" spans="1:22" ht="18" customHeight="1" x14ac:dyDescent="0.3">
      <c r="A78" s="15">
        <v>73</v>
      </c>
      <c r="B78" s="16"/>
      <c r="C78" s="3"/>
      <c r="D78" s="17"/>
      <c r="E78" s="3"/>
      <c r="F78" s="18"/>
      <c r="G78" s="18"/>
      <c r="H78" s="28"/>
      <c r="I78" s="3"/>
      <c r="J78" s="20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9"/>
      <c r="V78" s="21"/>
    </row>
    <row r="79" spans="1:22" ht="18" customHeight="1" x14ac:dyDescent="0.3">
      <c r="A79" s="15">
        <v>74</v>
      </c>
      <c r="B79" s="16"/>
      <c r="C79" s="3"/>
      <c r="D79" s="17"/>
      <c r="E79" s="3"/>
      <c r="F79" s="18"/>
      <c r="G79" s="18"/>
      <c r="H79" s="28"/>
      <c r="I79" s="3"/>
      <c r="J79" s="20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9"/>
      <c r="V79" s="21"/>
    </row>
    <row r="80" spans="1:22" ht="18" customHeight="1" x14ac:dyDescent="0.3">
      <c r="A80" s="15">
        <v>75</v>
      </c>
      <c r="B80" s="16"/>
      <c r="C80" s="3"/>
      <c r="D80" s="17"/>
      <c r="E80" s="17"/>
      <c r="F80" s="18"/>
      <c r="G80" s="18"/>
      <c r="H80" s="28"/>
      <c r="I80" s="3"/>
      <c r="J80" s="20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9"/>
      <c r="V80" s="21"/>
    </row>
    <row r="81" spans="1:22" ht="18" customHeight="1" x14ac:dyDescent="0.3">
      <c r="A81" s="15">
        <v>76</v>
      </c>
      <c r="B81" s="16"/>
      <c r="C81" s="3"/>
      <c r="D81" s="17"/>
      <c r="E81" s="17"/>
      <c r="F81" s="18"/>
      <c r="G81" s="18"/>
      <c r="H81" s="28"/>
      <c r="I81" s="3"/>
      <c r="J81" s="20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9"/>
      <c r="V81" s="21"/>
    </row>
    <row r="82" spans="1:22" ht="18" customHeight="1" x14ac:dyDescent="0.3">
      <c r="A82" s="15">
        <v>77</v>
      </c>
      <c r="B82" s="16"/>
      <c r="C82" s="3"/>
      <c r="D82" s="17"/>
      <c r="E82" s="3"/>
      <c r="F82" s="18"/>
      <c r="G82" s="18"/>
      <c r="H82" s="28"/>
      <c r="I82" s="3"/>
      <c r="J82" s="20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9"/>
      <c r="V82" s="21"/>
    </row>
    <row r="83" spans="1:22" ht="18" customHeight="1" x14ac:dyDescent="0.3">
      <c r="A83" s="15">
        <v>78</v>
      </c>
      <c r="B83" s="16"/>
      <c r="C83" s="3"/>
      <c r="D83" s="17"/>
      <c r="E83" s="3"/>
      <c r="F83" s="18"/>
      <c r="G83" s="18"/>
      <c r="H83" s="28"/>
      <c r="I83" s="3"/>
      <c r="J83" s="20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9"/>
      <c r="V83" s="21"/>
    </row>
    <row r="84" spans="1:22" ht="18" customHeight="1" x14ac:dyDescent="0.3">
      <c r="A84" s="15">
        <v>79</v>
      </c>
      <c r="B84" s="16"/>
      <c r="C84" s="3"/>
      <c r="D84" s="17"/>
      <c r="E84" s="3"/>
      <c r="F84" s="18"/>
      <c r="G84" s="18"/>
      <c r="H84" s="28"/>
      <c r="I84" s="3"/>
      <c r="J84" s="20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9"/>
      <c r="V84" s="21"/>
    </row>
    <row r="85" spans="1:22" ht="18" customHeight="1" x14ac:dyDescent="0.3">
      <c r="A85" s="15">
        <v>80</v>
      </c>
      <c r="B85" s="16"/>
      <c r="C85" s="3"/>
      <c r="D85" s="17"/>
      <c r="E85" s="3"/>
      <c r="F85" s="18"/>
      <c r="G85" s="18"/>
      <c r="H85" s="28"/>
      <c r="I85" s="3"/>
      <c r="J85" s="20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9"/>
      <c r="V85" s="21"/>
    </row>
    <row r="86" spans="1:22" ht="18" customHeight="1" x14ac:dyDescent="0.3">
      <c r="A86" s="15">
        <v>81</v>
      </c>
      <c r="B86" s="16"/>
      <c r="C86" s="3"/>
      <c r="D86" s="17"/>
      <c r="E86" s="3"/>
      <c r="F86" s="18"/>
      <c r="G86" s="18"/>
      <c r="H86" s="28"/>
      <c r="I86" s="3"/>
      <c r="J86" s="20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9"/>
      <c r="V86" s="21"/>
    </row>
    <row r="87" spans="1:22" ht="18" customHeight="1" x14ac:dyDescent="0.3">
      <c r="A87" s="15">
        <v>82</v>
      </c>
      <c r="B87" s="16"/>
      <c r="C87" s="3"/>
      <c r="D87" s="17"/>
      <c r="E87" s="3"/>
      <c r="F87" s="18"/>
      <c r="G87" s="18"/>
      <c r="H87" s="28"/>
      <c r="I87" s="3"/>
      <c r="J87" s="20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9"/>
      <c r="V87" s="21"/>
    </row>
    <row r="88" spans="1:22" ht="18" customHeight="1" x14ac:dyDescent="0.3">
      <c r="A88" s="15">
        <v>83</v>
      </c>
      <c r="B88" s="16"/>
      <c r="C88" s="3"/>
      <c r="D88" s="17"/>
      <c r="E88" s="3"/>
      <c r="F88" s="18"/>
      <c r="G88" s="18"/>
      <c r="H88" s="28"/>
      <c r="I88" s="3"/>
      <c r="J88" s="20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9"/>
      <c r="V88" s="21"/>
    </row>
    <row r="89" spans="1:22" ht="18" customHeight="1" x14ac:dyDescent="0.3">
      <c r="A89" s="15">
        <v>84</v>
      </c>
      <c r="B89" s="16"/>
      <c r="C89" s="3"/>
      <c r="D89" s="17"/>
      <c r="E89" s="3"/>
      <c r="F89" s="18"/>
      <c r="G89" s="18"/>
      <c r="H89" s="28"/>
      <c r="I89" s="3"/>
      <c r="J89" s="20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9"/>
      <c r="V89" s="21"/>
    </row>
    <row r="90" spans="1:22" ht="18" customHeight="1" x14ac:dyDescent="0.3">
      <c r="A90" s="15">
        <v>85</v>
      </c>
      <c r="B90" s="16"/>
      <c r="C90" s="3"/>
      <c r="D90" s="17"/>
      <c r="E90" s="3"/>
      <c r="F90" s="18"/>
      <c r="G90" s="18"/>
      <c r="H90" s="28"/>
      <c r="I90" s="3"/>
      <c r="J90" s="20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9"/>
      <c r="V90" s="21"/>
    </row>
    <row r="91" spans="1:22" ht="18" customHeight="1" x14ac:dyDescent="0.3">
      <c r="A91" s="15">
        <v>86</v>
      </c>
      <c r="B91" s="16"/>
      <c r="C91" s="3"/>
      <c r="D91" s="17"/>
      <c r="E91" s="3"/>
      <c r="F91" s="18"/>
      <c r="G91" s="18"/>
      <c r="H91" s="28"/>
      <c r="I91" s="3"/>
      <c r="J91" s="20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9"/>
      <c r="V91" s="21"/>
    </row>
    <row r="92" spans="1:22" ht="18" customHeight="1" x14ac:dyDescent="0.3">
      <c r="A92" s="15">
        <v>87</v>
      </c>
      <c r="B92" s="16"/>
      <c r="C92" s="3"/>
      <c r="D92" s="17"/>
      <c r="E92" s="3"/>
      <c r="F92" s="18"/>
      <c r="G92" s="18"/>
      <c r="H92" s="28"/>
      <c r="I92" s="3"/>
      <c r="J92" s="20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9"/>
      <c r="V92" s="21"/>
    </row>
    <row r="93" spans="1:22" ht="18" customHeight="1" x14ac:dyDescent="0.3">
      <c r="A93" s="15">
        <v>88</v>
      </c>
      <c r="B93" s="16"/>
      <c r="C93" s="3"/>
      <c r="D93" s="17"/>
      <c r="E93" s="3"/>
      <c r="F93" s="18"/>
      <c r="G93" s="18"/>
      <c r="H93" s="28"/>
      <c r="I93" s="3"/>
      <c r="J93" s="20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9"/>
      <c r="V93" s="21"/>
    </row>
    <row r="94" spans="1:22" ht="18" customHeight="1" x14ac:dyDescent="0.3">
      <c r="A94" s="15">
        <v>89</v>
      </c>
      <c r="B94" s="16"/>
      <c r="C94" s="3"/>
      <c r="D94" s="17"/>
      <c r="E94" s="3"/>
      <c r="F94" s="18"/>
      <c r="G94" s="18"/>
      <c r="H94" s="28"/>
      <c r="I94" s="3"/>
      <c r="J94" s="20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9"/>
      <c r="V94" s="21"/>
    </row>
    <row r="95" spans="1:22" ht="18" customHeight="1" x14ac:dyDescent="0.3">
      <c r="A95" s="15">
        <v>90</v>
      </c>
      <c r="B95" s="16"/>
      <c r="C95" s="3"/>
      <c r="D95" s="17"/>
      <c r="E95" s="3"/>
      <c r="F95" s="18"/>
      <c r="G95" s="18"/>
      <c r="H95" s="28"/>
      <c r="I95" s="3"/>
      <c r="J95" s="20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9"/>
      <c r="V95" s="21"/>
    </row>
    <row r="96" spans="1:22" ht="18" customHeight="1" x14ac:dyDescent="0.3">
      <c r="A96" s="15">
        <v>91</v>
      </c>
      <c r="B96" s="16"/>
      <c r="C96" s="3"/>
      <c r="D96" s="17"/>
      <c r="E96" s="3"/>
      <c r="F96" s="18"/>
      <c r="G96" s="18"/>
      <c r="H96" s="28"/>
      <c r="I96" s="3"/>
      <c r="J96" s="20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9"/>
      <c r="V96" s="21"/>
    </row>
    <row r="97" spans="1:22" ht="18" customHeight="1" x14ac:dyDescent="0.3">
      <c r="A97" s="15">
        <v>92</v>
      </c>
      <c r="B97" s="16"/>
      <c r="C97" s="3"/>
      <c r="D97" s="17"/>
      <c r="E97" s="3"/>
      <c r="F97" s="18"/>
      <c r="G97" s="18"/>
      <c r="H97" s="28"/>
      <c r="I97" s="3"/>
      <c r="J97" s="20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9"/>
      <c r="V97" s="21"/>
    </row>
    <row r="98" spans="1:22" ht="18" customHeight="1" x14ac:dyDescent="0.3">
      <c r="A98" s="15">
        <v>93</v>
      </c>
      <c r="B98" s="16"/>
      <c r="C98" s="3"/>
      <c r="D98" s="17"/>
      <c r="E98" s="3"/>
      <c r="F98" s="18"/>
      <c r="G98" s="18"/>
      <c r="H98" s="28"/>
      <c r="I98" s="3"/>
      <c r="J98" s="20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9"/>
      <c r="V98" s="21"/>
    </row>
    <row r="99" spans="1:22" ht="18" customHeight="1" x14ac:dyDescent="0.3">
      <c r="A99" s="15">
        <v>94</v>
      </c>
      <c r="B99" s="16"/>
      <c r="C99" s="3"/>
      <c r="D99" s="17"/>
      <c r="E99" s="3"/>
      <c r="F99" s="18"/>
      <c r="G99" s="18"/>
      <c r="H99" s="28"/>
      <c r="I99" s="3"/>
      <c r="J99" s="20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9"/>
      <c r="V99" s="21"/>
    </row>
    <row r="100" spans="1:22" ht="18" customHeight="1" x14ac:dyDescent="0.3">
      <c r="A100" s="15">
        <v>95</v>
      </c>
      <c r="B100" s="16"/>
      <c r="C100" s="3"/>
      <c r="D100" s="17"/>
      <c r="E100" s="3"/>
      <c r="F100" s="18"/>
      <c r="G100" s="18"/>
      <c r="H100" s="28"/>
      <c r="I100" s="3"/>
      <c r="J100" s="20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9"/>
      <c r="V100" s="21"/>
    </row>
    <row r="101" spans="1:22" ht="18" customHeight="1" x14ac:dyDescent="0.3">
      <c r="A101" s="15">
        <v>96</v>
      </c>
      <c r="B101" s="16"/>
      <c r="C101" s="3"/>
      <c r="D101" s="17"/>
      <c r="E101" s="3"/>
      <c r="F101" s="18"/>
      <c r="G101" s="18"/>
      <c r="H101" s="28"/>
      <c r="I101" s="3"/>
      <c r="J101" s="20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9"/>
      <c r="V101" s="21"/>
    </row>
    <row r="102" spans="1:22" ht="18" customHeight="1" x14ac:dyDescent="0.3">
      <c r="A102" s="15">
        <v>97</v>
      </c>
      <c r="B102" s="16"/>
      <c r="C102" s="3"/>
      <c r="D102" s="17"/>
      <c r="E102" s="3"/>
      <c r="F102" s="18"/>
      <c r="G102" s="18"/>
      <c r="H102" s="28"/>
      <c r="I102" s="3"/>
      <c r="J102" s="20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9"/>
      <c r="V102" s="21"/>
    </row>
    <row r="103" spans="1:22" ht="18" customHeight="1" x14ac:dyDescent="0.3">
      <c r="A103" s="15">
        <v>98</v>
      </c>
      <c r="B103" s="16"/>
      <c r="C103" s="3"/>
      <c r="D103" s="17"/>
      <c r="E103" s="3"/>
      <c r="F103" s="18"/>
      <c r="G103" s="18"/>
      <c r="H103" s="28"/>
      <c r="I103" s="3"/>
      <c r="J103" s="20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9"/>
      <c r="V103" s="21"/>
    </row>
    <row r="104" spans="1:22" ht="18" customHeight="1" x14ac:dyDescent="0.3">
      <c r="A104" s="15">
        <v>99</v>
      </c>
      <c r="B104" s="16"/>
      <c r="C104" s="3"/>
      <c r="D104" s="17"/>
      <c r="E104" s="3"/>
      <c r="F104" s="18"/>
      <c r="G104" s="18"/>
      <c r="H104" s="28"/>
      <c r="I104" s="3"/>
      <c r="J104" s="20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9"/>
      <c r="V104" s="21"/>
    </row>
    <row r="105" spans="1:22" ht="18" customHeight="1" x14ac:dyDescent="0.3">
      <c r="A105" s="15">
        <v>100</v>
      </c>
      <c r="B105" s="16"/>
      <c r="C105" s="3"/>
      <c r="D105" s="17"/>
      <c r="E105" s="3"/>
      <c r="F105" s="18"/>
      <c r="G105" s="18"/>
      <c r="H105" s="28"/>
      <c r="I105" s="3"/>
      <c r="J105" s="20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9"/>
      <c r="V105" s="21"/>
    </row>
    <row r="106" spans="1:22" ht="18" customHeight="1" x14ac:dyDescent="0.3">
      <c r="A106" s="15">
        <v>101</v>
      </c>
      <c r="B106" s="16"/>
      <c r="C106" s="3"/>
      <c r="D106" s="17"/>
      <c r="E106" s="3"/>
      <c r="F106" s="18"/>
      <c r="G106" s="18"/>
      <c r="H106" s="28"/>
      <c r="I106" s="3"/>
      <c r="J106" s="20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9"/>
      <c r="V106" s="21"/>
    </row>
    <row r="107" spans="1:22" ht="18" customHeight="1" x14ac:dyDescent="0.3">
      <c r="A107" s="15">
        <v>102</v>
      </c>
      <c r="B107" s="16"/>
      <c r="C107" s="30"/>
      <c r="D107" s="17"/>
      <c r="E107" s="3"/>
      <c r="F107" s="18"/>
      <c r="G107" s="18"/>
      <c r="H107" s="28"/>
      <c r="I107" s="3"/>
      <c r="J107" s="20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9"/>
      <c r="V107" s="21"/>
    </row>
    <row r="108" spans="1:22" ht="18" customHeight="1" x14ac:dyDescent="0.3">
      <c r="A108" s="15">
        <v>103</v>
      </c>
      <c r="B108" s="16"/>
      <c r="C108" s="30"/>
      <c r="D108" s="17"/>
      <c r="E108" s="3"/>
      <c r="F108" s="18"/>
      <c r="G108" s="18"/>
      <c r="H108" s="28"/>
      <c r="I108" s="3"/>
      <c r="J108" s="20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9"/>
      <c r="V108" s="21"/>
    </row>
    <row r="109" spans="1:22" ht="18" customHeight="1" x14ac:dyDescent="0.3">
      <c r="A109" s="15">
        <v>104</v>
      </c>
      <c r="B109" s="16"/>
      <c r="C109" s="30"/>
      <c r="D109" s="17"/>
      <c r="E109" s="3"/>
      <c r="F109" s="18"/>
      <c r="G109" s="18"/>
      <c r="H109" s="28"/>
      <c r="I109" s="3"/>
      <c r="J109" s="20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9"/>
      <c r="V109" s="21"/>
    </row>
    <row r="110" spans="1:22" ht="18" customHeight="1" x14ac:dyDescent="0.3">
      <c r="A110" s="15">
        <v>105</v>
      </c>
      <c r="B110" s="16"/>
      <c r="C110" s="30"/>
      <c r="D110" s="17"/>
      <c r="E110" s="3"/>
      <c r="F110" s="18"/>
      <c r="G110" s="18"/>
      <c r="H110" s="28"/>
      <c r="I110" s="3"/>
      <c r="J110" s="20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9"/>
      <c r="V110" s="21"/>
    </row>
    <row r="111" spans="1:22" ht="18" customHeight="1" x14ac:dyDescent="0.3">
      <c r="A111" s="15">
        <v>106</v>
      </c>
      <c r="B111" s="16"/>
      <c r="C111" s="3"/>
      <c r="D111" s="17"/>
      <c r="E111" s="3"/>
      <c r="F111" s="18"/>
      <c r="G111" s="18"/>
      <c r="H111" s="28"/>
      <c r="I111" s="3"/>
      <c r="J111" s="20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9"/>
      <c r="V111" s="21"/>
    </row>
    <row r="112" spans="1:22" ht="18" customHeight="1" x14ac:dyDescent="0.3">
      <c r="A112" s="15">
        <v>107</v>
      </c>
      <c r="B112" s="16"/>
      <c r="C112" s="3"/>
      <c r="D112" s="17"/>
      <c r="E112" s="3"/>
      <c r="F112" s="18"/>
      <c r="G112" s="18"/>
      <c r="H112" s="28"/>
      <c r="I112" s="3"/>
      <c r="J112" s="20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9"/>
      <c r="V112" s="21"/>
    </row>
    <row r="113" spans="1:22" ht="18" customHeight="1" thickBot="1" x14ac:dyDescent="0.35">
      <c r="A113" s="15">
        <v>108</v>
      </c>
      <c r="B113" s="31"/>
      <c r="C113" s="4"/>
      <c r="D113" s="32"/>
      <c r="E113" s="4"/>
      <c r="F113" s="33"/>
      <c r="G113" s="33"/>
      <c r="H113" s="34"/>
      <c r="I113" s="4"/>
      <c r="J113" s="35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9"/>
      <c r="V113" s="21"/>
    </row>
    <row r="114" spans="1:22" ht="14.25" x14ac:dyDescent="0.3">
      <c r="A114" s="21"/>
      <c r="B114" s="21"/>
      <c r="C114" s="21"/>
      <c r="D114" s="21"/>
      <c r="E114" s="21"/>
      <c r="F114" s="29"/>
      <c r="G114" s="29"/>
      <c r="H114" s="29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9"/>
    </row>
    <row r="115" spans="1:22" ht="14.25" x14ac:dyDescent="0.3">
      <c r="A115" s="21"/>
      <c r="B115" s="21"/>
      <c r="C115" s="21"/>
      <c r="D115" s="21"/>
      <c r="E115" s="21"/>
      <c r="F115" s="29"/>
      <c r="G115" s="29"/>
      <c r="H115" s="29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9"/>
    </row>
  </sheetData>
  <mergeCells count="75">
    <mergeCell ref="A1:G4"/>
    <mergeCell ref="L1:U3"/>
    <mergeCell ref="H2:J2"/>
    <mergeCell ref="L4:M4"/>
    <mergeCell ref="N4:N5"/>
    <mergeCell ref="O4:T4"/>
    <mergeCell ref="U4:U5"/>
    <mergeCell ref="R5:T5"/>
    <mergeCell ref="L6:L11"/>
    <mergeCell ref="R6:T6"/>
    <mergeCell ref="R7:T7"/>
    <mergeCell ref="R8:T8"/>
    <mergeCell ref="R9:T9"/>
    <mergeCell ref="R10:T10"/>
    <mergeCell ref="R11:T11"/>
    <mergeCell ref="L12:L17"/>
    <mergeCell ref="R12:T12"/>
    <mergeCell ref="R13:T13"/>
    <mergeCell ref="R14:T14"/>
    <mergeCell ref="R15:T15"/>
    <mergeCell ref="R16:T16"/>
    <mergeCell ref="R17:T17"/>
    <mergeCell ref="R32:T32"/>
    <mergeCell ref="R18:T18"/>
    <mergeCell ref="R19:T19"/>
    <mergeCell ref="R20:T20"/>
    <mergeCell ref="L21:L34"/>
    <mergeCell ref="R21:T21"/>
    <mergeCell ref="R22:T22"/>
    <mergeCell ref="R23:T23"/>
    <mergeCell ref="R24:T24"/>
    <mergeCell ref="R25:T25"/>
    <mergeCell ref="R26:T26"/>
    <mergeCell ref="R27:T27"/>
    <mergeCell ref="R28:T28"/>
    <mergeCell ref="R29:T29"/>
    <mergeCell ref="R30:T30"/>
    <mergeCell ref="R31:T31"/>
    <mergeCell ref="R33:T33"/>
    <mergeCell ref="R34:T34"/>
    <mergeCell ref="L35:L40"/>
    <mergeCell ref="R35:T35"/>
    <mergeCell ref="R36:T36"/>
    <mergeCell ref="R37:T37"/>
    <mergeCell ref="R38:T38"/>
    <mergeCell ref="R39:T39"/>
    <mergeCell ref="R40:T40"/>
    <mergeCell ref="R44:T44"/>
    <mergeCell ref="L47:L50"/>
    <mergeCell ref="R47:T47"/>
    <mergeCell ref="R48:T48"/>
    <mergeCell ref="R49:T49"/>
    <mergeCell ref="R50:T50"/>
    <mergeCell ref="L45:L46"/>
    <mergeCell ref="R45:T45"/>
    <mergeCell ref="R46:T46"/>
    <mergeCell ref="L41:L44"/>
    <mergeCell ref="R41:T41"/>
    <mergeCell ref="R42:T42"/>
    <mergeCell ref="R43:T43"/>
    <mergeCell ref="R55:T55"/>
    <mergeCell ref="R56:T56"/>
    <mergeCell ref="R57:T57"/>
    <mergeCell ref="R58:T58"/>
    <mergeCell ref="L59:N60"/>
    <mergeCell ref="O59:O60"/>
    <mergeCell ref="P59:P60"/>
    <mergeCell ref="Q59:Q60"/>
    <mergeCell ref="R59:R60"/>
    <mergeCell ref="S59:U60"/>
    <mergeCell ref="L51:L58"/>
    <mergeCell ref="R51:T51"/>
    <mergeCell ref="R52:T52"/>
    <mergeCell ref="R53:T53"/>
    <mergeCell ref="R54:T54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083AA-4FD2-47B5-B66E-2A6F0A739A80}">
  <dimension ref="A1:W119"/>
  <sheetViews>
    <sheetView zoomScale="85" zoomScaleNormal="85" workbookViewId="0">
      <pane ySplit="5" topLeftCell="A30" activePane="bottomLeft" state="frozen"/>
      <selection activeCell="H29" sqref="H29"/>
      <selection pane="bottomLeft" activeCell="C44" sqref="C44:H44"/>
    </sheetView>
  </sheetViews>
  <sheetFormatPr defaultColWidth="9" defaultRowHeight="13.5" x14ac:dyDescent="0.3"/>
  <cols>
    <col min="1" max="1" width="7.75" style="2" bestFit="1" customWidth="1"/>
    <col min="2" max="2" width="16.625" style="2" bestFit="1" customWidth="1"/>
    <col min="3" max="3" width="18" style="2" customWidth="1"/>
    <col min="4" max="4" width="23.75" style="2" bestFit="1" customWidth="1"/>
    <col min="5" max="5" width="22" style="2" bestFit="1" customWidth="1"/>
    <col min="6" max="8" width="18.5" style="36" customWidth="1"/>
    <col min="9" max="10" width="18.5" style="2" customWidth="1"/>
    <col min="11" max="11" width="9" style="2"/>
    <col min="12" max="12" width="17.125" style="2" bestFit="1" customWidth="1"/>
    <col min="13" max="13" width="23.375" style="2" bestFit="1" customWidth="1"/>
    <col min="14" max="14" width="28" style="2" bestFit="1" customWidth="1"/>
    <col min="15" max="17" width="18.25" style="2" hidden="1" customWidth="1"/>
    <col min="18" max="20" width="13.25" style="2" hidden="1" customWidth="1"/>
    <col min="21" max="21" width="19.125" style="36" customWidth="1"/>
    <col min="22" max="22" width="9" style="2"/>
    <col min="23" max="23" width="13.375" style="2" bestFit="1" customWidth="1"/>
    <col min="24" max="16384" width="9" style="2"/>
  </cols>
  <sheetData>
    <row r="1" spans="1:22" ht="13.5" customHeight="1" x14ac:dyDescent="0.3">
      <c r="A1" s="107" t="s">
        <v>0</v>
      </c>
      <c r="B1" s="107"/>
      <c r="C1" s="107"/>
      <c r="D1" s="107"/>
      <c r="E1" s="107"/>
      <c r="F1" s="107"/>
      <c r="G1" s="107"/>
      <c r="H1" s="39"/>
      <c r="I1" s="1"/>
      <c r="J1" s="1"/>
      <c r="L1" s="109" t="s">
        <v>96</v>
      </c>
      <c r="M1" s="109"/>
      <c r="N1" s="109"/>
      <c r="O1" s="109"/>
      <c r="P1" s="109"/>
      <c r="Q1" s="109"/>
      <c r="R1" s="109"/>
      <c r="S1" s="109"/>
      <c r="T1" s="109"/>
      <c r="U1" s="109"/>
    </row>
    <row r="2" spans="1:22" ht="31.5" customHeight="1" x14ac:dyDescent="0.3">
      <c r="A2" s="107"/>
      <c r="B2" s="107"/>
      <c r="C2" s="107"/>
      <c r="D2" s="107"/>
      <c r="E2" s="107"/>
      <c r="F2" s="107"/>
      <c r="G2" s="107"/>
      <c r="H2" s="110" t="s">
        <v>1</v>
      </c>
      <c r="I2" s="110"/>
      <c r="J2" s="110"/>
      <c r="L2" s="109"/>
      <c r="M2" s="109"/>
      <c r="N2" s="109"/>
      <c r="O2" s="109"/>
      <c r="P2" s="109"/>
      <c r="Q2" s="109"/>
      <c r="R2" s="109"/>
      <c r="S2" s="109"/>
      <c r="T2" s="109"/>
      <c r="U2" s="109"/>
    </row>
    <row r="3" spans="1:22" ht="31.5" customHeight="1" thickBot="1" x14ac:dyDescent="0.35">
      <c r="A3" s="107"/>
      <c r="B3" s="107"/>
      <c r="C3" s="107"/>
      <c r="D3" s="107"/>
      <c r="E3" s="107"/>
      <c r="F3" s="107"/>
      <c r="G3" s="107"/>
      <c r="H3" s="3" t="s">
        <v>99</v>
      </c>
      <c r="I3" s="3" t="s">
        <v>97</v>
      </c>
      <c r="J3" s="3" t="s">
        <v>2</v>
      </c>
      <c r="L3" s="109"/>
      <c r="M3" s="109"/>
      <c r="N3" s="109"/>
      <c r="O3" s="109"/>
      <c r="P3" s="109"/>
      <c r="Q3" s="109"/>
      <c r="R3" s="109"/>
      <c r="S3" s="109"/>
      <c r="T3" s="109"/>
      <c r="U3" s="109"/>
    </row>
    <row r="4" spans="1:22" ht="31.5" customHeight="1" thickBot="1" x14ac:dyDescent="0.35">
      <c r="A4" s="108"/>
      <c r="B4" s="108"/>
      <c r="C4" s="108"/>
      <c r="D4" s="108"/>
      <c r="E4" s="108"/>
      <c r="F4" s="108"/>
      <c r="G4" s="108"/>
      <c r="H4" s="43"/>
      <c r="I4" s="3"/>
      <c r="J4" s="3"/>
      <c r="L4" s="111" t="s">
        <v>3</v>
      </c>
      <c r="M4" s="112"/>
      <c r="N4" s="112" t="s">
        <v>4</v>
      </c>
      <c r="O4" s="112" t="s">
        <v>5</v>
      </c>
      <c r="P4" s="112"/>
      <c r="Q4" s="112"/>
      <c r="R4" s="112"/>
      <c r="S4" s="112"/>
      <c r="T4" s="112"/>
      <c r="U4" s="114" t="s">
        <v>6</v>
      </c>
    </row>
    <row r="5" spans="1:22" ht="18" customHeight="1" x14ac:dyDescent="0.3">
      <c r="A5" s="5" t="s">
        <v>7</v>
      </c>
      <c r="B5" s="6" t="s">
        <v>8</v>
      </c>
      <c r="C5" s="7" t="s">
        <v>9</v>
      </c>
      <c r="D5" s="7" t="s">
        <v>10</v>
      </c>
      <c r="E5" s="7" t="s">
        <v>11</v>
      </c>
      <c r="F5" s="8" t="s">
        <v>12</v>
      </c>
      <c r="G5" s="8" t="s">
        <v>13</v>
      </c>
      <c r="H5" s="40" t="s">
        <v>14</v>
      </c>
      <c r="I5" s="41" t="s">
        <v>15</v>
      </c>
      <c r="J5" s="42" t="s">
        <v>16</v>
      </c>
      <c r="L5" s="12" t="s">
        <v>17</v>
      </c>
      <c r="M5" s="13" t="s">
        <v>18</v>
      </c>
      <c r="N5" s="113"/>
      <c r="O5" s="14" t="s">
        <v>12</v>
      </c>
      <c r="P5" s="13" t="s">
        <v>13</v>
      </c>
      <c r="Q5" s="13" t="s">
        <v>14</v>
      </c>
      <c r="R5" s="113" t="s">
        <v>19</v>
      </c>
      <c r="S5" s="113"/>
      <c r="T5" s="113"/>
      <c r="U5" s="115"/>
    </row>
    <row r="6" spans="1:22" ht="18" customHeight="1" x14ac:dyDescent="0.3">
      <c r="A6" s="15">
        <v>1</v>
      </c>
      <c r="B6" s="49">
        <v>45870</v>
      </c>
      <c r="C6" s="45" t="s">
        <v>190</v>
      </c>
      <c r="D6" s="17" t="s">
        <v>239</v>
      </c>
      <c r="E6" s="17" t="s">
        <v>153</v>
      </c>
      <c r="F6" s="46"/>
      <c r="G6" s="46"/>
      <c r="H6" s="47">
        <v>220000</v>
      </c>
      <c r="I6" s="48"/>
      <c r="J6" s="20"/>
      <c r="K6" s="21"/>
      <c r="L6" s="93" t="s">
        <v>20</v>
      </c>
      <c r="M6" s="17" t="s">
        <v>194</v>
      </c>
      <c r="N6" s="17" t="s">
        <v>22</v>
      </c>
      <c r="O6" s="22">
        <f t="shared" ref="O6:O58" si="0">SUMIF($D$6:$D$130,$M6,$F$6:$F$130)</f>
        <v>0</v>
      </c>
      <c r="P6" s="22">
        <f t="shared" ref="P6:P58" si="1">SUMIF($D$6:$D$130,$M6,$G$6:$G$130)</f>
        <v>0</v>
      </c>
      <c r="Q6" s="22">
        <f t="shared" ref="Q6:Q58" si="2">SUMIF($D$6:$D$130,$M6,$H$6:$H$130)</f>
        <v>10189120</v>
      </c>
      <c r="R6" s="92"/>
      <c r="S6" s="92"/>
      <c r="T6" s="92"/>
      <c r="U6" s="55">
        <f t="shared" ref="U6:U58" si="3">SUM(O6:Q6)</f>
        <v>10189120</v>
      </c>
      <c r="V6" s="21"/>
    </row>
    <row r="7" spans="1:22" ht="18" customHeight="1" x14ac:dyDescent="0.3">
      <c r="A7" s="15">
        <v>2</v>
      </c>
      <c r="B7" s="49">
        <v>45870</v>
      </c>
      <c r="C7" s="45" t="s">
        <v>195</v>
      </c>
      <c r="D7" s="17" t="s">
        <v>240</v>
      </c>
      <c r="E7" s="17" t="s">
        <v>196</v>
      </c>
      <c r="F7" s="46"/>
      <c r="G7" s="46"/>
      <c r="H7" s="47">
        <v>440000</v>
      </c>
      <c r="I7" s="48"/>
      <c r="J7" s="20"/>
      <c r="K7" s="21"/>
      <c r="L7" s="93"/>
      <c r="M7" s="17" t="s">
        <v>197</v>
      </c>
      <c r="N7" s="17"/>
      <c r="O7" s="22">
        <f t="shared" si="0"/>
        <v>0</v>
      </c>
      <c r="P7" s="22">
        <f t="shared" si="1"/>
        <v>0</v>
      </c>
      <c r="Q7" s="22">
        <f t="shared" si="2"/>
        <v>6400000</v>
      </c>
      <c r="R7" s="92"/>
      <c r="S7" s="92"/>
      <c r="T7" s="92"/>
      <c r="U7" s="55">
        <f t="shared" si="3"/>
        <v>6400000</v>
      </c>
      <c r="V7" s="21"/>
    </row>
    <row r="8" spans="1:22" ht="18" customHeight="1" x14ac:dyDescent="0.3">
      <c r="A8" s="15">
        <v>3</v>
      </c>
      <c r="B8" s="49">
        <v>45871</v>
      </c>
      <c r="C8" s="45" t="s">
        <v>198</v>
      </c>
      <c r="D8" s="17" t="s">
        <v>72</v>
      </c>
      <c r="E8" s="17" t="s">
        <v>199</v>
      </c>
      <c r="F8" s="46">
        <v>5000</v>
      </c>
      <c r="G8" s="46"/>
      <c r="H8" s="47"/>
      <c r="I8" s="48"/>
      <c r="J8" s="20"/>
      <c r="K8" s="21"/>
      <c r="L8" s="93"/>
      <c r="M8" s="17" t="s">
        <v>91</v>
      </c>
      <c r="N8" s="17"/>
      <c r="O8" s="22">
        <f t="shared" si="0"/>
        <v>0</v>
      </c>
      <c r="P8" s="22">
        <f t="shared" si="1"/>
        <v>0</v>
      </c>
      <c r="Q8" s="22">
        <f t="shared" si="2"/>
        <v>0</v>
      </c>
      <c r="R8" s="92"/>
      <c r="S8" s="92"/>
      <c r="T8" s="92"/>
      <c r="U8" s="55">
        <f t="shared" si="3"/>
        <v>0</v>
      </c>
      <c r="V8" s="21"/>
    </row>
    <row r="9" spans="1:22" ht="18" customHeight="1" x14ac:dyDescent="0.3">
      <c r="A9" s="15">
        <v>4</v>
      </c>
      <c r="B9" s="16">
        <v>45872</v>
      </c>
      <c r="C9" s="3" t="s">
        <v>138</v>
      </c>
      <c r="D9" s="17" t="s">
        <v>92</v>
      </c>
      <c r="E9" s="3" t="s">
        <v>178</v>
      </c>
      <c r="F9" s="18"/>
      <c r="G9" s="18">
        <v>61600</v>
      </c>
      <c r="H9" s="19"/>
      <c r="I9" s="3"/>
      <c r="J9" s="20"/>
      <c r="K9" s="21"/>
      <c r="L9" s="93"/>
      <c r="M9" s="17" t="s">
        <v>23</v>
      </c>
      <c r="N9" s="17"/>
      <c r="O9" s="22">
        <f t="shared" si="0"/>
        <v>80000</v>
      </c>
      <c r="P9" s="22">
        <f t="shared" si="1"/>
        <v>0</v>
      </c>
      <c r="Q9" s="22">
        <f t="shared" si="2"/>
        <v>820000</v>
      </c>
      <c r="R9" s="92"/>
      <c r="S9" s="92"/>
      <c r="T9" s="92"/>
      <c r="U9" s="55">
        <f t="shared" si="3"/>
        <v>900000</v>
      </c>
      <c r="V9" s="21"/>
    </row>
    <row r="10" spans="1:22" ht="18" customHeight="1" x14ac:dyDescent="0.3">
      <c r="A10" s="15">
        <v>5</v>
      </c>
      <c r="B10" s="16">
        <v>45873</v>
      </c>
      <c r="C10" s="3" t="s">
        <v>171</v>
      </c>
      <c r="D10" s="17" t="s">
        <v>23</v>
      </c>
      <c r="E10" s="3" t="s">
        <v>200</v>
      </c>
      <c r="F10" s="18"/>
      <c r="G10" s="18"/>
      <c r="H10" s="19">
        <v>30000</v>
      </c>
      <c r="I10" s="3"/>
      <c r="J10" s="20"/>
      <c r="K10" s="21"/>
      <c r="L10" s="93"/>
      <c r="M10" s="17" t="s">
        <v>24</v>
      </c>
      <c r="N10" s="17" t="s">
        <v>25</v>
      </c>
      <c r="O10" s="22">
        <f t="shared" si="0"/>
        <v>0</v>
      </c>
      <c r="P10" s="22">
        <f t="shared" si="1"/>
        <v>0</v>
      </c>
      <c r="Q10" s="22">
        <f t="shared" si="2"/>
        <v>0</v>
      </c>
      <c r="R10" s="92"/>
      <c r="S10" s="92"/>
      <c r="T10" s="92"/>
      <c r="U10" s="55">
        <f t="shared" si="3"/>
        <v>0</v>
      </c>
      <c r="V10" s="21"/>
    </row>
    <row r="11" spans="1:22" ht="18" customHeight="1" x14ac:dyDescent="0.3">
      <c r="A11" s="15">
        <v>6</v>
      </c>
      <c r="B11" s="16">
        <v>45873</v>
      </c>
      <c r="C11" s="3" t="s">
        <v>201</v>
      </c>
      <c r="D11" s="17" t="s">
        <v>72</v>
      </c>
      <c r="E11" s="3" t="s">
        <v>202</v>
      </c>
      <c r="F11" s="18">
        <v>50000</v>
      </c>
      <c r="G11" s="18"/>
      <c r="H11" s="19"/>
      <c r="I11" s="3"/>
      <c r="J11" s="20"/>
      <c r="K11" s="21"/>
      <c r="L11" s="93"/>
      <c r="M11" s="17" t="s">
        <v>26</v>
      </c>
      <c r="N11" s="17" t="s">
        <v>27</v>
      </c>
      <c r="O11" s="22">
        <f t="shared" si="0"/>
        <v>0</v>
      </c>
      <c r="P11" s="22">
        <f t="shared" si="1"/>
        <v>0</v>
      </c>
      <c r="Q11" s="22">
        <f t="shared" si="2"/>
        <v>0</v>
      </c>
      <c r="R11" s="92"/>
      <c r="S11" s="92"/>
      <c r="T11" s="92"/>
      <c r="U11" s="55">
        <f t="shared" si="3"/>
        <v>0</v>
      </c>
      <c r="V11" s="21"/>
    </row>
    <row r="12" spans="1:22" ht="18" customHeight="1" x14ac:dyDescent="0.3">
      <c r="A12" s="15">
        <v>7</v>
      </c>
      <c r="B12" s="16">
        <v>45874</v>
      </c>
      <c r="C12" s="3" t="s">
        <v>172</v>
      </c>
      <c r="D12" s="17" t="s">
        <v>23</v>
      </c>
      <c r="E12" s="3" t="s">
        <v>203</v>
      </c>
      <c r="F12" s="18"/>
      <c r="G12" s="18"/>
      <c r="H12" s="19">
        <v>80000</v>
      </c>
      <c r="I12" s="3"/>
      <c r="J12" s="20"/>
      <c r="K12" s="21"/>
      <c r="L12" s="93" t="s">
        <v>28</v>
      </c>
      <c r="M12" s="24" t="s">
        <v>90</v>
      </c>
      <c r="N12" s="17"/>
      <c r="O12" s="22">
        <f t="shared" si="0"/>
        <v>0</v>
      </c>
      <c r="P12" s="22">
        <f t="shared" si="1"/>
        <v>90600</v>
      </c>
      <c r="Q12" s="22">
        <f t="shared" si="2"/>
        <v>0</v>
      </c>
      <c r="R12" s="104"/>
      <c r="S12" s="105"/>
      <c r="T12" s="106"/>
      <c r="U12" s="55">
        <f t="shared" si="3"/>
        <v>90600</v>
      </c>
      <c r="V12" s="21"/>
    </row>
    <row r="13" spans="1:22" ht="18" customHeight="1" x14ac:dyDescent="0.3">
      <c r="A13" s="15">
        <v>8</v>
      </c>
      <c r="B13" s="16">
        <v>45876</v>
      </c>
      <c r="C13" s="3" t="s">
        <v>85</v>
      </c>
      <c r="D13" s="17" t="s">
        <v>72</v>
      </c>
      <c r="E13" s="3" t="s">
        <v>204</v>
      </c>
      <c r="F13" s="18">
        <v>16000</v>
      </c>
      <c r="G13" s="18"/>
      <c r="H13" s="19"/>
      <c r="I13" s="3"/>
      <c r="J13" s="20"/>
      <c r="K13" s="21"/>
      <c r="L13" s="93"/>
      <c r="M13" s="17" t="s">
        <v>29</v>
      </c>
      <c r="N13" s="17"/>
      <c r="O13" s="22">
        <f t="shared" si="0"/>
        <v>0</v>
      </c>
      <c r="P13" s="22">
        <f t="shared" si="1"/>
        <v>0</v>
      </c>
      <c r="Q13" s="22">
        <f t="shared" si="2"/>
        <v>0</v>
      </c>
      <c r="R13" s="104"/>
      <c r="S13" s="105"/>
      <c r="T13" s="106"/>
      <c r="U13" s="23">
        <f t="shared" si="3"/>
        <v>0</v>
      </c>
      <c r="V13" s="21"/>
    </row>
    <row r="14" spans="1:22" ht="18" customHeight="1" x14ac:dyDescent="0.3">
      <c r="A14" s="15">
        <v>9</v>
      </c>
      <c r="B14" s="16">
        <v>45877</v>
      </c>
      <c r="C14" s="3" t="s">
        <v>172</v>
      </c>
      <c r="D14" s="17" t="s">
        <v>23</v>
      </c>
      <c r="E14" s="3" t="s">
        <v>206</v>
      </c>
      <c r="F14" s="18"/>
      <c r="G14" s="18"/>
      <c r="H14" s="19">
        <v>50000</v>
      </c>
      <c r="I14" s="3"/>
      <c r="J14" s="20"/>
      <c r="K14" s="21"/>
      <c r="L14" s="93"/>
      <c r="M14" s="17" t="s">
        <v>95</v>
      </c>
      <c r="N14" s="17"/>
      <c r="O14" s="22">
        <f t="shared" si="0"/>
        <v>0</v>
      </c>
      <c r="P14" s="22">
        <f t="shared" si="1"/>
        <v>0</v>
      </c>
      <c r="Q14" s="22">
        <f t="shared" si="2"/>
        <v>0</v>
      </c>
      <c r="R14" s="104"/>
      <c r="S14" s="105"/>
      <c r="T14" s="106"/>
      <c r="U14" s="23">
        <f t="shared" si="3"/>
        <v>0</v>
      </c>
      <c r="V14" s="21"/>
    </row>
    <row r="15" spans="1:22" ht="18" customHeight="1" x14ac:dyDescent="0.3">
      <c r="A15" s="15">
        <v>10</v>
      </c>
      <c r="B15" s="16">
        <v>45877</v>
      </c>
      <c r="C15" s="3" t="s">
        <v>172</v>
      </c>
      <c r="D15" s="17" t="s">
        <v>23</v>
      </c>
      <c r="E15" s="3" t="s">
        <v>207</v>
      </c>
      <c r="F15" s="18"/>
      <c r="G15" s="18"/>
      <c r="H15" s="19">
        <v>80000</v>
      </c>
      <c r="I15" s="3"/>
      <c r="J15" s="20"/>
      <c r="K15" s="21"/>
      <c r="L15" s="93"/>
      <c r="M15" s="17" t="s">
        <v>92</v>
      </c>
      <c r="N15" s="17"/>
      <c r="O15" s="22">
        <f t="shared" si="0"/>
        <v>0</v>
      </c>
      <c r="P15" s="22">
        <f t="shared" si="1"/>
        <v>184800</v>
      </c>
      <c r="Q15" s="22">
        <f t="shared" si="2"/>
        <v>0</v>
      </c>
      <c r="R15" s="104"/>
      <c r="S15" s="105"/>
      <c r="T15" s="106"/>
      <c r="U15" s="55">
        <f t="shared" si="3"/>
        <v>184800</v>
      </c>
      <c r="V15" s="21"/>
    </row>
    <row r="16" spans="1:22" ht="18" customHeight="1" x14ac:dyDescent="0.3">
      <c r="A16" s="15">
        <v>11</v>
      </c>
      <c r="B16" s="16">
        <v>45879</v>
      </c>
      <c r="C16" s="3" t="s">
        <v>132</v>
      </c>
      <c r="D16" s="17" t="s">
        <v>33</v>
      </c>
      <c r="E16" s="3" t="s">
        <v>179</v>
      </c>
      <c r="F16" s="18"/>
      <c r="G16" s="18">
        <v>28200</v>
      </c>
      <c r="H16" s="19"/>
      <c r="I16" s="3"/>
      <c r="J16" s="20"/>
      <c r="K16" s="21"/>
      <c r="L16" s="93"/>
      <c r="M16" s="17" t="s">
        <v>83</v>
      </c>
      <c r="N16" s="17" t="s">
        <v>30</v>
      </c>
      <c r="O16" s="22">
        <f t="shared" si="0"/>
        <v>0</v>
      </c>
      <c r="P16" s="22">
        <f t="shared" si="1"/>
        <v>0</v>
      </c>
      <c r="Q16" s="22">
        <f t="shared" si="2"/>
        <v>0</v>
      </c>
      <c r="R16" s="92"/>
      <c r="S16" s="92"/>
      <c r="T16" s="92"/>
      <c r="U16" s="23">
        <f t="shared" si="3"/>
        <v>0</v>
      </c>
      <c r="V16" s="21"/>
    </row>
    <row r="17" spans="1:23" ht="18" customHeight="1" x14ac:dyDescent="0.3">
      <c r="A17" s="15">
        <v>12</v>
      </c>
      <c r="B17" s="16">
        <v>45880</v>
      </c>
      <c r="C17" s="3" t="s">
        <v>180</v>
      </c>
      <c r="D17" s="17" t="s">
        <v>33</v>
      </c>
      <c r="E17" s="3" t="s">
        <v>181</v>
      </c>
      <c r="F17" s="18"/>
      <c r="G17" s="18">
        <v>10600</v>
      </c>
      <c r="H17" s="19"/>
      <c r="I17" s="3"/>
      <c r="J17" s="20"/>
      <c r="K17" s="21"/>
      <c r="L17" s="93"/>
      <c r="M17" s="17" t="s">
        <v>93</v>
      </c>
      <c r="N17" s="17"/>
      <c r="O17" s="22">
        <f t="shared" si="0"/>
        <v>0</v>
      </c>
      <c r="P17" s="22">
        <f t="shared" si="1"/>
        <v>0</v>
      </c>
      <c r="Q17" s="22">
        <f t="shared" si="2"/>
        <v>0</v>
      </c>
      <c r="R17" s="92"/>
      <c r="S17" s="92"/>
      <c r="T17" s="92"/>
      <c r="U17" s="23">
        <f t="shared" si="3"/>
        <v>0</v>
      </c>
      <c r="V17" s="21"/>
    </row>
    <row r="18" spans="1:23" ht="18" customHeight="1" x14ac:dyDescent="0.3">
      <c r="A18" s="15">
        <v>13</v>
      </c>
      <c r="B18" s="16">
        <v>45880</v>
      </c>
      <c r="C18" s="3" t="s">
        <v>140</v>
      </c>
      <c r="D18" s="17" t="s">
        <v>140</v>
      </c>
      <c r="E18" s="17" t="s">
        <v>142</v>
      </c>
      <c r="F18" s="18"/>
      <c r="G18" s="18"/>
      <c r="H18" s="19">
        <v>180000</v>
      </c>
      <c r="I18" s="3"/>
      <c r="J18" s="20"/>
      <c r="K18" s="21"/>
      <c r="L18" s="25" t="s">
        <v>31</v>
      </c>
      <c r="M18" s="17" t="s">
        <v>88</v>
      </c>
      <c r="N18" s="17"/>
      <c r="O18" s="22">
        <f t="shared" si="0"/>
        <v>0</v>
      </c>
      <c r="P18" s="22">
        <f t="shared" si="1"/>
        <v>0</v>
      </c>
      <c r="Q18" s="22">
        <f t="shared" si="2"/>
        <v>825000</v>
      </c>
      <c r="R18" s="92"/>
      <c r="S18" s="92"/>
      <c r="T18" s="92"/>
      <c r="U18" s="55">
        <f t="shared" si="3"/>
        <v>825000</v>
      </c>
      <c r="V18" s="21"/>
    </row>
    <row r="19" spans="1:23" ht="18" customHeight="1" x14ac:dyDescent="0.3">
      <c r="A19" s="15">
        <v>14</v>
      </c>
      <c r="B19" s="16">
        <v>45880</v>
      </c>
      <c r="C19" s="3" t="s">
        <v>120</v>
      </c>
      <c r="D19" s="17" t="s">
        <v>94</v>
      </c>
      <c r="E19" s="17" t="s">
        <v>208</v>
      </c>
      <c r="F19" s="18"/>
      <c r="G19" s="18"/>
      <c r="H19" s="19">
        <v>406600</v>
      </c>
      <c r="I19" s="3"/>
      <c r="J19" s="20"/>
      <c r="K19" s="21"/>
      <c r="L19" s="25" t="s">
        <v>32</v>
      </c>
      <c r="M19" s="17" t="s">
        <v>33</v>
      </c>
      <c r="N19" s="17"/>
      <c r="O19" s="22">
        <f t="shared" si="0"/>
        <v>0</v>
      </c>
      <c r="P19" s="22">
        <f t="shared" si="1"/>
        <v>94800</v>
      </c>
      <c r="Q19" s="22">
        <f t="shared" si="2"/>
        <v>83680</v>
      </c>
      <c r="R19" s="92"/>
      <c r="S19" s="92"/>
      <c r="T19" s="92"/>
      <c r="U19" s="55">
        <f t="shared" si="3"/>
        <v>178480</v>
      </c>
      <c r="V19" s="21"/>
    </row>
    <row r="20" spans="1:23" ht="18" customHeight="1" x14ac:dyDescent="0.3">
      <c r="A20" s="15">
        <v>15</v>
      </c>
      <c r="B20" s="16">
        <v>45881</v>
      </c>
      <c r="C20" s="3" t="s">
        <v>172</v>
      </c>
      <c r="D20" s="17" t="s">
        <v>23</v>
      </c>
      <c r="E20" s="17" t="s">
        <v>209</v>
      </c>
      <c r="F20" s="18"/>
      <c r="G20" s="18"/>
      <c r="H20" s="19">
        <v>70000</v>
      </c>
      <c r="I20" s="3"/>
      <c r="J20" s="20"/>
      <c r="K20" s="21"/>
      <c r="L20" s="25" t="s">
        <v>34</v>
      </c>
      <c r="M20" s="17" t="s">
        <v>72</v>
      </c>
      <c r="N20" s="17"/>
      <c r="O20" s="22">
        <f t="shared" si="0"/>
        <v>104500</v>
      </c>
      <c r="P20" s="22">
        <f t="shared" si="1"/>
        <v>0</v>
      </c>
      <c r="Q20" s="22">
        <f t="shared" si="2"/>
        <v>0</v>
      </c>
      <c r="R20" s="104"/>
      <c r="S20" s="105"/>
      <c r="T20" s="106"/>
      <c r="U20" s="55">
        <f t="shared" si="3"/>
        <v>104500</v>
      </c>
      <c r="V20" s="21"/>
    </row>
    <row r="21" spans="1:23" ht="18" customHeight="1" x14ac:dyDescent="0.3">
      <c r="A21" s="15">
        <v>16</v>
      </c>
      <c r="B21" s="16">
        <v>45881</v>
      </c>
      <c r="C21" s="3" t="s">
        <v>210</v>
      </c>
      <c r="D21" s="17" t="s">
        <v>88</v>
      </c>
      <c r="E21" s="17" t="s">
        <v>211</v>
      </c>
      <c r="F21" s="18"/>
      <c r="G21" s="18"/>
      <c r="H21" s="19">
        <v>55000</v>
      </c>
      <c r="I21" s="3"/>
      <c r="J21" s="20"/>
      <c r="K21" s="21"/>
      <c r="L21" s="93" t="s">
        <v>35</v>
      </c>
      <c r="M21" s="17" t="s">
        <v>240</v>
      </c>
      <c r="N21" s="17"/>
      <c r="O21" s="22">
        <f t="shared" si="0"/>
        <v>0</v>
      </c>
      <c r="P21" s="22">
        <f t="shared" si="1"/>
        <v>0</v>
      </c>
      <c r="Q21" s="22">
        <f t="shared" si="2"/>
        <v>440000</v>
      </c>
      <c r="R21" s="92"/>
      <c r="S21" s="92"/>
      <c r="T21" s="92"/>
      <c r="U21" s="55">
        <f t="shared" si="3"/>
        <v>440000</v>
      </c>
      <c r="V21" s="21"/>
    </row>
    <row r="22" spans="1:23" ht="18" customHeight="1" x14ac:dyDescent="0.3">
      <c r="A22" s="15">
        <v>17</v>
      </c>
      <c r="B22" s="16">
        <v>45881</v>
      </c>
      <c r="C22" s="3" t="s">
        <v>212</v>
      </c>
      <c r="D22" s="17" t="s">
        <v>94</v>
      </c>
      <c r="E22" s="17" t="s">
        <v>213</v>
      </c>
      <c r="F22" s="18"/>
      <c r="G22" s="18"/>
      <c r="H22" s="19">
        <v>2137420</v>
      </c>
      <c r="I22" s="3"/>
      <c r="J22" s="20"/>
      <c r="K22" s="21"/>
      <c r="L22" s="93"/>
      <c r="M22" s="17" t="s">
        <v>140</v>
      </c>
      <c r="N22" s="17" t="s">
        <v>192</v>
      </c>
      <c r="O22" s="22">
        <f t="shared" si="0"/>
        <v>0</v>
      </c>
      <c r="P22" s="22">
        <f t="shared" si="1"/>
        <v>0</v>
      </c>
      <c r="Q22" s="22">
        <f t="shared" si="2"/>
        <v>180000</v>
      </c>
      <c r="R22" s="92"/>
      <c r="S22" s="92"/>
      <c r="T22" s="92"/>
      <c r="U22" s="55">
        <f t="shared" si="3"/>
        <v>180000</v>
      </c>
      <c r="V22" s="21"/>
    </row>
    <row r="23" spans="1:23" ht="18" customHeight="1" x14ac:dyDescent="0.3">
      <c r="A23" s="15">
        <v>18</v>
      </c>
      <c r="B23" s="16">
        <v>45882</v>
      </c>
      <c r="C23" s="3" t="s">
        <v>182</v>
      </c>
      <c r="D23" s="17" t="s">
        <v>94</v>
      </c>
      <c r="E23" s="3" t="s">
        <v>183</v>
      </c>
      <c r="F23" s="18"/>
      <c r="G23" s="18">
        <v>28900</v>
      </c>
      <c r="H23" s="19"/>
      <c r="I23" s="3"/>
      <c r="J23" s="20"/>
      <c r="K23" s="21"/>
      <c r="L23" s="93"/>
      <c r="M23" s="17" t="s">
        <v>75</v>
      </c>
      <c r="N23" s="17"/>
      <c r="O23" s="22">
        <f t="shared" si="0"/>
        <v>0</v>
      </c>
      <c r="P23" s="22">
        <f t="shared" si="1"/>
        <v>0</v>
      </c>
      <c r="Q23" s="22">
        <f t="shared" si="2"/>
        <v>0</v>
      </c>
      <c r="R23" s="92"/>
      <c r="S23" s="92"/>
      <c r="T23" s="92"/>
      <c r="U23" s="23">
        <f t="shared" si="3"/>
        <v>0</v>
      </c>
      <c r="V23" s="21"/>
    </row>
    <row r="24" spans="1:23" ht="18" customHeight="1" x14ac:dyDescent="0.3">
      <c r="A24" s="15">
        <v>19</v>
      </c>
      <c r="B24" s="16">
        <v>45882</v>
      </c>
      <c r="C24" s="3" t="s">
        <v>184</v>
      </c>
      <c r="D24" s="17" t="s">
        <v>92</v>
      </c>
      <c r="E24" s="3" t="s">
        <v>178</v>
      </c>
      <c r="F24" s="18"/>
      <c r="G24" s="18">
        <v>61600</v>
      </c>
      <c r="H24" s="19"/>
      <c r="I24" s="3"/>
      <c r="J24" s="20"/>
      <c r="K24" s="21"/>
      <c r="L24" s="93"/>
      <c r="M24" s="17" t="s">
        <v>39</v>
      </c>
      <c r="N24" s="17"/>
      <c r="O24" s="22">
        <f t="shared" si="0"/>
        <v>0</v>
      </c>
      <c r="P24" s="22">
        <f t="shared" si="1"/>
        <v>0</v>
      </c>
      <c r="Q24" s="22">
        <f t="shared" si="2"/>
        <v>2643900</v>
      </c>
      <c r="R24" s="92"/>
      <c r="S24" s="92"/>
      <c r="T24" s="92"/>
      <c r="U24" s="55">
        <f t="shared" si="3"/>
        <v>2643900</v>
      </c>
      <c r="V24" s="21"/>
      <c r="W24" s="36">
        <f>SUM(U24:U26)</f>
        <v>5712403</v>
      </c>
    </row>
    <row r="25" spans="1:23" ht="18" customHeight="1" x14ac:dyDescent="0.3">
      <c r="A25" s="15">
        <v>20</v>
      </c>
      <c r="B25" s="16">
        <v>45884</v>
      </c>
      <c r="C25" s="3" t="s">
        <v>171</v>
      </c>
      <c r="D25" s="17" t="s">
        <v>23</v>
      </c>
      <c r="E25" s="3" t="s">
        <v>214</v>
      </c>
      <c r="F25" s="18">
        <v>20000</v>
      </c>
      <c r="G25" s="18"/>
      <c r="H25" s="19"/>
      <c r="I25" s="3"/>
      <c r="J25" s="20"/>
      <c r="K25" s="21"/>
      <c r="L25" s="93"/>
      <c r="M25" s="17" t="s">
        <v>40</v>
      </c>
      <c r="N25" s="17"/>
      <c r="O25" s="22">
        <f t="shared" si="0"/>
        <v>0</v>
      </c>
      <c r="P25" s="22">
        <f t="shared" si="1"/>
        <v>0</v>
      </c>
      <c r="Q25" s="22">
        <f t="shared" si="2"/>
        <v>1199235</v>
      </c>
      <c r="R25" s="92"/>
      <c r="S25" s="92"/>
      <c r="T25" s="92"/>
      <c r="U25" s="55">
        <f t="shared" si="3"/>
        <v>1199235</v>
      </c>
      <c r="V25" s="21"/>
    </row>
    <row r="26" spans="1:23" ht="18" customHeight="1" x14ac:dyDescent="0.3">
      <c r="A26" s="15">
        <v>21</v>
      </c>
      <c r="B26" s="16">
        <v>45884</v>
      </c>
      <c r="C26" s="3" t="s">
        <v>185</v>
      </c>
      <c r="D26" s="24" t="s">
        <v>90</v>
      </c>
      <c r="E26" s="3" t="s">
        <v>186</v>
      </c>
      <c r="F26" s="18"/>
      <c r="G26" s="18">
        <v>36000</v>
      </c>
      <c r="H26" s="19"/>
      <c r="I26" s="3"/>
      <c r="J26" s="20"/>
      <c r="K26" s="21"/>
      <c r="L26" s="93"/>
      <c r="M26" s="17" t="s">
        <v>41</v>
      </c>
      <c r="N26" s="17"/>
      <c r="O26" s="22">
        <f t="shared" si="0"/>
        <v>0</v>
      </c>
      <c r="P26" s="22">
        <f t="shared" si="1"/>
        <v>0</v>
      </c>
      <c r="Q26" s="22">
        <f t="shared" si="2"/>
        <v>1869268</v>
      </c>
      <c r="R26" s="92"/>
      <c r="S26" s="92"/>
      <c r="T26" s="92"/>
      <c r="U26" s="55">
        <f t="shared" si="3"/>
        <v>1869268</v>
      </c>
      <c r="V26" s="21"/>
    </row>
    <row r="27" spans="1:23" ht="18" customHeight="1" x14ac:dyDescent="0.3">
      <c r="A27" s="15">
        <v>22</v>
      </c>
      <c r="B27" s="16">
        <v>45887</v>
      </c>
      <c r="C27" s="3" t="s">
        <v>215</v>
      </c>
      <c r="D27" s="17" t="s">
        <v>80</v>
      </c>
      <c r="E27" s="3" t="s">
        <v>216</v>
      </c>
      <c r="F27" s="18"/>
      <c r="G27" s="18"/>
      <c r="H27" s="19">
        <v>136520</v>
      </c>
      <c r="I27" s="3"/>
      <c r="J27" s="20"/>
      <c r="K27" s="21"/>
      <c r="L27" s="93"/>
      <c r="M27" s="17" t="s">
        <v>77</v>
      </c>
      <c r="N27" s="17"/>
      <c r="O27" s="22">
        <f t="shared" si="0"/>
        <v>0</v>
      </c>
      <c r="P27" s="22">
        <f t="shared" si="1"/>
        <v>0</v>
      </c>
      <c r="Q27" s="22">
        <f t="shared" si="2"/>
        <v>0</v>
      </c>
      <c r="R27" s="92"/>
      <c r="S27" s="92"/>
      <c r="T27" s="92"/>
      <c r="U27" s="23">
        <f t="shared" si="3"/>
        <v>0</v>
      </c>
      <c r="V27" s="21"/>
    </row>
    <row r="28" spans="1:23" ht="18" customHeight="1" x14ac:dyDescent="0.3">
      <c r="A28" s="15">
        <v>23</v>
      </c>
      <c r="B28" s="16">
        <v>45887</v>
      </c>
      <c r="C28" s="3" t="s">
        <v>85</v>
      </c>
      <c r="D28" s="17" t="s">
        <v>72</v>
      </c>
      <c r="E28" s="3" t="s">
        <v>204</v>
      </c>
      <c r="F28" s="18">
        <v>33500</v>
      </c>
      <c r="G28" s="18"/>
      <c r="H28" s="19"/>
      <c r="I28" s="3"/>
      <c r="J28" s="20"/>
      <c r="K28" s="21"/>
      <c r="L28" s="93"/>
      <c r="M28" s="17" t="s">
        <v>78</v>
      </c>
      <c r="N28" s="17"/>
      <c r="O28" s="22">
        <f t="shared" si="0"/>
        <v>0</v>
      </c>
      <c r="P28" s="22">
        <f t="shared" si="1"/>
        <v>0</v>
      </c>
      <c r="Q28" s="22">
        <f t="shared" si="2"/>
        <v>0</v>
      </c>
      <c r="R28" s="92"/>
      <c r="S28" s="92"/>
      <c r="T28" s="92"/>
      <c r="U28" s="23">
        <f t="shared" si="3"/>
        <v>0</v>
      </c>
      <c r="V28" s="21"/>
    </row>
    <row r="29" spans="1:23" ht="18" customHeight="1" x14ac:dyDescent="0.3">
      <c r="A29" s="15">
        <v>24</v>
      </c>
      <c r="B29" s="16">
        <v>45888</v>
      </c>
      <c r="C29" s="3" t="s">
        <v>217</v>
      </c>
      <c r="D29" s="17" t="s">
        <v>88</v>
      </c>
      <c r="E29" s="3" t="s">
        <v>218</v>
      </c>
      <c r="F29" s="18"/>
      <c r="G29" s="18"/>
      <c r="H29" s="19">
        <v>770000</v>
      </c>
      <c r="I29" s="3"/>
      <c r="J29" s="20"/>
      <c r="K29" s="21"/>
      <c r="L29" s="93"/>
      <c r="M29" s="17" t="s">
        <v>86</v>
      </c>
      <c r="N29" s="17"/>
      <c r="O29" s="22">
        <f t="shared" si="0"/>
        <v>0</v>
      </c>
      <c r="P29" s="22">
        <f t="shared" si="1"/>
        <v>0</v>
      </c>
      <c r="Q29" s="22">
        <f t="shared" si="2"/>
        <v>3056372</v>
      </c>
      <c r="R29" s="92"/>
      <c r="S29" s="92"/>
      <c r="T29" s="92"/>
      <c r="U29" s="55">
        <f t="shared" si="3"/>
        <v>3056372</v>
      </c>
      <c r="V29" s="21"/>
    </row>
    <row r="30" spans="1:23" ht="18" customHeight="1" x14ac:dyDescent="0.3">
      <c r="A30" s="15">
        <v>25</v>
      </c>
      <c r="B30" s="16">
        <v>45889</v>
      </c>
      <c r="C30" s="3" t="s">
        <v>172</v>
      </c>
      <c r="D30" s="17" t="s">
        <v>23</v>
      </c>
      <c r="E30" s="3" t="s">
        <v>219</v>
      </c>
      <c r="F30" s="18"/>
      <c r="G30" s="18"/>
      <c r="H30" s="19">
        <v>270000</v>
      </c>
      <c r="I30" s="3"/>
      <c r="J30" s="20"/>
      <c r="K30" s="21"/>
      <c r="L30" s="93"/>
      <c r="M30" s="17" t="s">
        <v>94</v>
      </c>
      <c r="N30" s="17" t="s">
        <v>42</v>
      </c>
      <c r="O30" s="22">
        <f t="shared" si="0"/>
        <v>0</v>
      </c>
      <c r="P30" s="22">
        <f t="shared" si="1"/>
        <v>28900</v>
      </c>
      <c r="Q30" s="22">
        <f t="shared" si="2"/>
        <v>2544020</v>
      </c>
      <c r="R30" s="92"/>
      <c r="S30" s="92"/>
      <c r="T30" s="92"/>
      <c r="U30" s="55">
        <f t="shared" si="3"/>
        <v>2572920</v>
      </c>
      <c r="V30" s="21"/>
    </row>
    <row r="31" spans="1:23" ht="18" customHeight="1" x14ac:dyDescent="0.3">
      <c r="A31" s="15">
        <v>26</v>
      </c>
      <c r="B31" s="16">
        <v>45889</v>
      </c>
      <c r="C31" s="3" t="s">
        <v>172</v>
      </c>
      <c r="D31" s="17" t="s">
        <v>23</v>
      </c>
      <c r="E31" s="3" t="s">
        <v>220</v>
      </c>
      <c r="F31" s="18"/>
      <c r="G31" s="18"/>
      <c r="H31" s="19">
        <v>100000</v>
      </c>
      <c r="I31" s="3"/>
      <c r="J31" s="20"/>
      <c r="K31" s="21"/>
      <c r="L31" s="93"/>
      <c r="M31" s="17" t="s">
        <v>43</v>
      </c>
      <c r="N31" s="17" t="s">
        <v>44</v>
      </c>
      <c r="O31" s="22">
        <f t="shared" si="0"/>
        <v>0</v>
      </c>
      <c r="P31" s="22">
        <f t="shared" si="1"/>
        <v>0</v>
      </c>
      <c r="Q31" s="22">
        <f t="shared" si="2"/>
        <v>0</v>
      </c>
      <c r="R31" s="92"/>
      <c r="S31" s="92"/>
      <c r="T31" s="92"/>
      <c r="U31" s="23">
        <f t="shared" si="3"/>
        <v>0</v>
      </c>
      <c r="V31" s="21"/>
    </row>
    <row r="32" spans="1:23" ht="18" customHeight="1" x14ac:dyDescent="0.3">
      <c r="A32" s="15">
        <v>27</v>
      </c>
      <c r="B32" s="16">
        <v>45889</v>
      </c>
      <c r="C32" s="3" t="s">
        <v>180</v>
      </c>
      <c r="D32" s="24" t="s">
        <v>90</v>
      </c>
      <c r="E32" s="3" t="s">
        <v>187</v>
      </c>
      <c r="F32" s="18"/>
      <c r="G32" s="18">
        <v>24100</v>
      </c>
      <c r="H32" s="19"/>
      <c r="I32" s="3"/>
      <c r="J32" s="20"/>
      <c r="K32" s="21"/>
      <c r="L32" s="93"/>
      <c r="M32" s="17" t="s">
        <v>45</v>
      </c>
      <c r="N32" s="17" t="s">
        <v>46</v>
      </c>
      <c r="O32" s="22">
        <f>SUMIF($D$6:$D$130,$M32,$F$6:$F$130)</f>
        <v>0</v>
      </c>
      <c r="P32" s="22">
        <f t="shared" si="1"/>
        <v>0</v>
      </c>
      <c r="Q32" s="22">
        <f t="shared" si="2"/>
        <v>0</v>
      </c>
      <c r="R32" s="92"/>
      <c r="S32" s="92"/>
      <c r="T32" s="92"/>
      <c r="U32" s="23">
        <f t="shared" si="3"/>
        <v>0</v>
      </c>
      <c r="V32" s="21"/>
    </row>
    <row r="33" spans="1:22" ht="18" customHeight="1" x14ac:dyDescent="0.3">
      <c r="A33" s="15">
        <v>28</v>
      </c>
      <c r="B33" s="16">
        <v>45892</v>
      </c>
      <c r="C33" s="3" t="s">
        <v>171</v>
      </c>
      <c r="D33" s="17" t="s">
        <v>23</v>
      </c>
      <c r="E33" s="3" t="s">
        <v>214</v>
      </c>
      <c r="F33" s="18">
        <v>20000</v>
      </c>
      <c r="G33" s="18"/>
      <c r="H33" s="19"/>
      <c r="I33" s="3"/>
      <c r="J33" s="20"/>
      <c r="K33" s="21"/>
      <c r="L33" s="93"/>
      <c r="M33" s="17" t="s">
        <v>47</v>
      </c>
      <c r="N33" s="17"/>
      <c r="O33" s="22">
        <f t="shared" si="0"/>
        <v>0</v>
      </c>
      <c r="P33" s="22">
        <f t="shared" si="1"/>
        <v>0</v>
      </c>
      <c r="Q33" s="22">
        <f t="shared" si="2"/>
        <v>0</v>
      </c>
      <c r="R33" s="92"/>
      <c r="S33" s="92"/>
      <c r="T33" s="92"/>
      <c r="U33" s="23">
        <f t="shared" si="3"/>
        <v>0</v>
      </c>
      <c r="V33" s="21"/>
    </row>
    <row r="34" spans="1:22" ht="18" customHeight="1" x14ac:dyDescent="0.3">
      <c r="A34" s="15">
        <v>29</v>
      </c>
      <c r="B34" s="16">
        <v>45895</v>
      </c>
      <c r="C34" s="3" t="s">
        <v>120</v>
      </c>
      <c r="D34" s="17" t="s">
        <v>33</v>
      </c>
      <c r="E34" s="3" t="s">
        <v>221</v>
      </c>
      <c r="F34" s="18"/>
      <c r="G34" s="18"/>
      <c r="H34" s="19">
        <v>83680</v>
      </c>
      <c r="I34" s="3"/>
      <c r="J34" s="20"/>
      <c r="K34" s="21"/>
      <c r="L34" s="93"/>
      <c r="M34" s="17" t="s">
        <v>205</v>
      </c>
      <c r="N34" s="17"/>
      <c r="O34" s="22">
        <f t="shared" si="0"/>
        <v>0</v>
      </c>
      <c r="P34" s="22">
        <f t="shared" si="1"/>
        <v>0</v>
      </c>
      <c r="Q34" s="22">
        <f t="shared" si="2"/>
        <v>3449393</v>
      </c>
      <c r="R34" s="92"/>
      <c r="S34" s="92"/>
      <c r="T34" s="92"/>
      <c r="U34" s="55">
        <f t="shared" si="3"/>
        <v>3449393</v>
      </c>
      <c r="V34" s="21"/>
    </row>
    <row r="35" spans="1:22" ht="18" customHeight="1" x14ac:dyDescent="0.3">
      <c r="A35" s="15">
        <v>30</v>
      </c>
      <c r="B35" s="16">
        <v>45896</v>
      </c>
      <c r="C35" s="3" t="s">
        <v>188</v>
      </c>
      <c r="D35" s="17" t="s">
        <v>33</v>
      </c>
      <c r="E35" s="3" t="s">
        <v>181</v>
      </c>
      <c r="F35" s="18"/>
      <c r="G35" s="18">
        <v>19000</v>
      </c>
      <c r="H35" s="19"/>
      <c r="I35" s="3"/>
      <c r="J35" s="20"/>
      <c r="K35" s="21"/>
      <c r="L35" s="93" t="s">
        <v>49</v>
      </c>
      <c r="M35" s="17" t="s">
        <v>50</v>
      </c>
      <c r="N35" s="17"/>
      <c r="O35" s="22">
        <f t="shared" si="0"/>
        <v>0</v>
      </c>
      <c r="P35" s="22">
        <f t="shared" si="1"/>
        <v>0</v>
      </c>
      <c r="Q35" s="22">
        <f t="shared" si="2"/>
        <v>0</v>
      </c>
      <c r="R35" s="92"/>
      <c r="S35" s="92"/>
      <c r="T35" s="92"/>
      <c r="U35" s="23">
        <f t="shared" si="3"/>
        <v>0</v>
      </c>
      <c r="V35" s="21"/>
    </row>
    <row r="36" spans="1:22" ht="18" customHeight="1" x14ac:dyDescent="0.3">
      <c r="A36" s="15">
        <v>31</v>
      </c>
      <c r="B36" s="16">
        <v>45896</v>
      </c>
      <c r="C36" s="3" t="s">
        <v>132</v>
      </c>
      <c r="D36" s="17" t="s">
        <v>33</v>
      </c>
      <c r="E36" s="3" t="s">
        <v>179</v>
      </c>
      <c r="F36" s="18"/>
      <c r="G36" s="18">
        <v>21000</v>
      </c>
      <c r="H36" s="19"/>
      <c r="I36" s="3"/>
      <c r="J36" s="20"/>
      <c r="K36" s="21"/>
      <c r="L36" s="93"/>
      <c r="M36" s="17" t="s">
        <v>76</v>
      </c>
      <c r="N36" s="17"/>
      <c r="O36" s="22">
        <f t="shared" si="0"/>
        <v>0</v>
      </c>
      <c r="P36" s="22">
        <f t="shared" si="1"/>
        <v>0</v>
      </c>
      <c r="Q36" s="22">
        <f t="shared" si="2"/>
        <v>11000</v>
      </c>
      <c r="R36" s="92" t="s">
        <v>38</v>
      </c>
      <c r="S36" s="92"/>
      <c r="T36" s="92"/>
      <c r="U36" s="55">
        <f t="shared" si="3"/>
        <v>11000</v>
      </c>
      <c r="V36" s="21"/>
    </row>
    <row r="37" spans="1:22" ht="18" customHeight="1" x14ac:dyDescent="0.3">
      <c r="A37" s="15">
        <v>32</v>
      </c>
      <c r="B37" s="16">
        <v>45897</v>
      </c>
      <c r="C37" s="3" t="s">
        <v>171</v>
      </c>
      <c r="D37" s="17" t="s">
        <v>23</v>
      </c>
      <c r="E37" s="3" t="s">
        <v>222</v>
      </c>
      <c r="F37" s="18"/>
      <c r="G37" s="18"/>
      <c r="H37" s="19">
        <v>30000</v>
      </c>
      <c r="I37" s="3"/>
      <c r="J37" s="20"/>
      <c r="K37" s="21"/>
      <c r="L37" s="93"/>
      <c r="M37" s="17" t="s">
        <v>85</v>
      </c>
      <c r="N37" s="17"/>
      <c r="O37" s="22">
        <f t="shared" si="0"/>
        <v>0</v>
      </c>
      <c r="P37" s="22">
        <f t="shared" si="1"/>
        <v>0</v>
      </c>
      <c r="Q37" s="22">
        <f t="shared" si="2"/>
        <v>0</v>
      </c>
      <c r="R37" s="92"/>
      <c r="S37" s="92"/>
      <c r="T37" s="92"/>
      <c r="U37" s="23">
        <f t="shared" si="3"/>
        <v>0</v>
      </c>
      <c r="V37" s="21"/>
    </row>
    <row r="38" spans="1:22" ht="18" customHeight="1" x14ac:dyDescent="0.3">
      <c r="A38" s="15">
        <v>33</v>
      </c>
      <c r="B38" s="16">
        <v>45898</v>
      </c>
      <c r="C38" s="3" t="s">
        <v>107</v>
      </c>
      <c r="D38" s="17" t="s">
        <v>81</v>
      </c>
      <c r="E38" s="3" t="s">
        <v>196</v>
      </c>
      <c r="F38" s="18"/>
      <c r="G38" s="18"/>
      <c r="H38" s="19">
        <v>3190000</v>
      </c>
      <c r="I38" s="3"/>
      <c r="J38" s="26"/>
      <c r="K38" s="21"/>
      <c r="L38" s="93"/>
      <c r="M38" s="17" t="s">
        <v>51</v>
      </c>
      <c r="N38" s="17"/>
      <c r="O38" s="22">
        <f t="shared" si="0"/>
        <v>0</v>
      </c>
      <c r="P38" s="22">
        <f t="shared" si="1"/>
        <v>0</v>
      </c>
      <c r="Q38" s="22">
        <f t="shared" si="2"/>
        <v>0</v>
      </c>
      <c r="R38" s="92"/>
      <c r="S38" s="92"/>
      <c r="T38" s="92"/>
      <c r="U38" s="23">
        <f t="shared" si="3"/>
        <v>0</v>
      </c>
      <c r="V38" s="21"/>
    </row>
    <row r="39" spans="1:22" ht="18" customHeight="1" x14ac:dyDescent="0.3">
      <c r="A39" s="15">
        <v>34</v>
      </c>
      <c r="B39" s="16">
        <v>45899</v>
      </c>
      <c r="C39" s="3" t="s">
        <v>138</v>
      </c>
      <c r="D39" s="17" t="s">
        <v>92</v>
      </c>
      <c r="E39" s="3" t="s">
        <v>178</v>
      </c>
      <c r="F39" s="18"/>
      <c r="G39" s="18">
        <v>61600</v>
      </c>
      <c r="H39" s="19"/>
      <c r="I39" s="3"/>
      <c r="J39" s="26"/>
      <c r="K39" s="21"/>
      <c r="L39" s="93"/>
      <c r="M39" s="17" t="s">
        <v>239</v>
      </c>
      <c r="N39" s="17"/>
      <c r="O39" s="22">
        <f t="shared" si="0"/>
        <v>0</v>
      </c>
      <c r="P39" s="22">
        <f t="shared" si="1"/>
        <v>0</v>
      </c>
      <c r="Q39" s="22">
        <f t="shared" si="2"/>
        <v>220000</v>
      </c>
      <c r="R39" s="104"/>
      <c r="S39" s="105"/>
      <c r="T39" s="106"/>
      <c r="U39" s="55">
        <f t="shared" si="3"/>
        <v>220000</v>
      </c>
      <c r="V39" s="21"/>
    </row>
    <row r="40" spans="1:22" ht="18" customHeight="1" x14ac:dyDescent="0.3">
      <c r="A40" s="15">
        <v>35</v>
      </c>
      <c r="B40" s="16">
        <v>45899</v>
      </c>
      <c r="C40" s="3" t="s">
        <v>189</v>
      </c>
      <c r="D40" s="24" t="s">
        <v>90</v>
      </c>
      <c r="E40" s="17" t="s">
        <v>186</v>
      </c>
      <c r="F40" s="18"/>
      <c r="G40" s="18">
        <v>30500</v>
      </c>
      <c r="H40" s="19"/>
      <c r="I40" s="3"/>
      <c r="J40" s="20"/>
      <c r="K40" s="21"/>
      <c r="L40" s="93"/>
      <c r="M40" s="17" t="s">
        <v>52</v>
      </c>
      <c r="N40" s="17"/>
      <c r="O40" s="22">
        <f t="shared" si="0"/>
        <v>0</v>
      </c>
      <c r="P40" s="22">
        <f t="shared" si="1"/>
        <v>0</v>
      </c>
      <c r="Q40" s="22">
        <f t="shared" si="2"/>
        <v>0</v>
      </c>
      <c r="R40" s="92"/>
      <c r="S40" s="92"/>
      <c r="T40" s="92"/>
      <c r="U40" s="23">
        <f t="shared" si="3"/>
        <v>0</v>
      </c>
      <c r="V40" s="21"/>
    </row>
    <row r="41" spans="1:22" ht="18" customHeight="1" x14ac:dyDescent="0.3">
      <c r="A41" s="15">
        <v>36</v>
      </c>
      <c r="B41" s="16">
        <v>45899</v>
      </c>
      <c r="C41" s="3" t="s">
        <v>171</v>
      </c>
      <c r="D41" s="17" t="s">
        <v>23</v>
      </c>
      <c r="E41" s="17" t="s">
        <v>223</v>
      </c>
      <c r="F41" s="18">
        <v>40000</v>
      </c>
      <c r="G41" s="18"/>
      <c r="H41" s="19"/>
      <c r="I41" s="3"/>
      <c r="J41" s="20"/>
      <c r="K41" s="21"/>
      <c r="L41" s="93" t="s">
        <v>53</v>
      </c>
      <c r="M41" s="17" t="s">
        <v>136</v>
      </c>
      <c r="N41" s="17"/>
      <c r="O41" s="22">
        <f t="shared" si="0"/>
        <v>0</v>
      </c>
      <c r="P41" s="22">
        <f t="shared" si="1"/>
        <v>0</v>
      </c>
      <c r="Q41" s="22">
        <f t="shared" si="2"/>
        <v>5710060</v>
      </c>
      <c r="R41" s="92"/>
      <c r="S41" s="92"/>
      <c r="T41" s="92"/>
      <c r="U41" s="55">
        <f t="shared" si="3"/>
        <v>5710060</v>
      </c>
      <c r="V41" s="21"/>
    </row>
    <row r="42" spans="1:22" ht="18" customHeight="1" x14ac:dyDescent="0.3">
      <c r="A42" s="15">
        <v>37</v>
      </c>
      <c r="B42" s="16">
        <v>45900</v>
      </c>
      <c r="C42" s="3" t="s">
        <v>184</v>
      </c>
      <c r="D42" s="17" t="s">
        <v>33</v>
      </c>
      <c r="E42" s="3" t="s">
        <v>179</v>
      </c>
      <c r="F42" s="18"/>
      <c r="G42" s="18">
        <v>16000</v>
      </c>
      <c r="H42" s="19"/>
      <c r="I42" s="3"/>
      <c r="J42" s="20"/>
      <c r="K42" s="21"/>
      <c r="L42" s="93"/>
      <c r="M42" s="17" t="s">
        <v>73</v>
      </c>
      <c r="N42" s="17"/>
      <c r="O42" s="22">
        <f t="shared" si="0"/>
        <v>0</v>
      </c>
      <c r="P42" s="22">
        <f t="shared" si="1"/>
        <v>0</v>
      </c>
      <c r="Q42" s="22">
        <f t="shared" si="2"/>
        <v>0</v>
      </c>
      <c r="R42" s="92"/>
      <c r="S42" s="92"/>
      <c r="T42" s="92"/>
      <c r="U42" s="23">
        <f t="shared" si="3"/>
        <v>0</v>
      </c>
      <c r="V42" s="21"/>
    </row>
    <row r="43" spans="1:22" ht="18" customHeight="1" x14ac:dyDescent="0.3">
      <c r="A43" s="15">
        <v>38</v>
      </c>
      <c r="B43" s="16">
        <v>45902</v>
      </c>
      <c r="C43" s="3" t="s">
        <v>224</v>
      </c>
      <c r="D43" s="17" t="s">
        <v>136</v>
      </c>
      <c r="E43" s="3" t="s">
        <v>225</v>
      </c>
      <c r="F43" s="18"/>
      <c r="G43" s="18"/>
      <c r="H43" s="19">
        <v>5710060</v>
      </c>
      <c r="I43" s="3"/>
      <c r="J43" s="20"/>
      <c r="K43" s="21"/>
      <c r="L43" s="93"/>
      <c r="M43" s="17" t="s">
        <v>80</v>
      </c>
      <c r="N43" s="17"/>
      <c r="O43" s="22">
        <f t="shared" si="0"/>
        <v>0</v>
      </c>
      <c r="P43" s="22">
        <f t="shared" si="1"/>
        <v>0</v>
      </c>
      <c r="Q43" s="22">
        <f t="shared" si="2"/>
        <v>136520</v>
      </c>
      <c r="R43" s="92"/>
      <c r="S43" s="92"/>
      <c r="T43" s="92"/>
      <c r="U43" s="55">
        <f t="shared" si="3"/>
        <v>136520</v>
      </c>
      <c r="V43" s="21"/>
    </row>
    <row r="44" spans="1:22" ht="18" customHeight="1" x14ac:dyDescent="0.3">
      <c r="A44" s="15">
        <v>39</v>
      </c>
      <c r="B44" s="16">
        <v>45901</v>
      </c>
      <c r="C44" s="3" t="s">
        <v>161</v>
      </c>
      <c r="D44" s="17" t="s">
        <v>86</v>
      </c>
      <c r="E44" s="3" t="s">
        <v>226</v>
      </c>
      <c r="F44" s="37"/>
      <c r="G44" s="18"/>
      <c r="H44" s="19">
        <v>3056372</v>
      </c>
      <c r="I44" s="3"/>
      <c r="J44" s="20"/>
      <c r="K44" s="21"/>
      <c r="L44" s="93"/>
      <c r="M44" s="17" t="s">
        <v>54</v>
      </c>
      <c r="N44" s="17" t="s">
        <v>55</v>
      </c>
      <c r="O44" s="22">
        <f t="shared" si="0"/>
        <v>0</v>
      </c>
      <c r="P44" s="22">
        <f t="shared" si="1"/>
        <v>0</v>
      </c>
      <c r="Q44" s="22">
        <f t="shared" si="2"/>
        <v>0</v>
      </c>
      <c r="R44" s="92"/>
      <c r="S44" s="92"/>
      <c r="T44" s="92"/>
      <c r="U44" s="23">
        <f t="shared" si="3"/>
        <v>0</v>
      </c>
      <c r="V44" s="21"/>
    </row>
    <row r="45" spans="1:22" ht="18" customHeight="1" x14ac:dyDescent="0.3">
      <c r="A45" s="15">
        <v>40</v>
      </c>
      <c r="B45" s="16">
        <v>45902</v>
      </c>
      <c r="C45" s="3" t="s">
        <v>172</v>
      </c>
      <c r="D45" s="17" t="s">
        <v>23</v>
      </c>
      <c r="E45" s="3" t="s">
        <v>227</v>
      </c>
      <c r="F45" s="18"/>
      <c r="G45" s="18"/>
      <c r="H45" s="19">
        <v>110000</v>
      </c>
      <c r="I45" s="3"/>
      <c r="J45" s="20"/>
      <c r="K45" s="21"/>
      <c r="L45" s="93"/>
      <c r="M45" s="17" t="s">
        <v>87</v>
      </c>
      <c r="N45" s="17"/>
      <c r="O45" s="22">
        <f t="shared" si="0"/>
        <v>0</v>
      </c>
      <c r="P45" s="22">
        <f t="shared" si="1"/>
        <v>0</v>
      </c>
      <c r="Q45" s="22">
        <f t="shared" si="2"/>
        <v>0</v>
      </c>
      <c r="R45" s="92"/>
      <c r="S45" s="92"/>
      <c r="T45" s="92"/>
      <c r="U45" s="23">
        <f t="shared" si="3"/>
        <v>0</v>
      </c>
      <c r="V45" s="21"/>
    </row>
    <row r="46" spans="1:22" ht="18" customHeight="1" x14ac:dyDescent="0.3">
      <c r="A46" s="15">
        <v>41</v>
      </c>
      <c r="B46" s="16"/>
      <c r="C46" s="3" t="s">
        <v>228</v>
      </c>
      <c r="D46" s="17" t="s">
        <v>82</v>
      </c>
      <c r="E46" s="3" t="s">
        <v>196</v>
      </c>
      <c r="F46" s="18"/>
      <c r="G46" s="19"/>
      <c r="H46" s="19">
        <v>2880000</v>
      </c>
      <c r="I46" s="18"/>
      <c r="J46" s="20"/>
      <c r="K46" s="21"/>
      <c r="L46" s="93"/>
      <c r="M46" s="17" t="s">
        <v>56</v>
      </c>
      <c r="N46" s="17"/>
      <c r="O46" s="22">
        <f t="shared" si="0"/>
        <v>0</v>
      </c>
      <c r="P46" s="22">
        <f t="shared" si="1"/>
        <v>0</v>
      </c>
      <c r="Q46" s="22">
        <f t="shared" si="2"/>
        <v>0</v>
      </c>
      <c r="R46" s="92"/>
      <c r="S46" s="92"/>
      <c r="T46" s="92"/>
      <c r="U46" s="23">
        <f t="shared" si="3"/>
        <v>0</v>
      </c>
      <c r="V46" s="21"/>
    </row>
    <row r="47" spans="1:22" ht="18" customHeight="1" x14ac:dyDescent="0.3">
      <c r="A47" s="15">
        <v>42</v>
      </c>
      <c r="B47" s="16"/>
      <c r="C47" s="3" t="s">
        <v>229</v>
      </c>
      <c r="D47" s="17" t="s">
        <v>194</v>
      </c>
      <c r="E47" s="3"/>
      <c r="F47" s="18"/>
      <c r="G47" s="18"/>
      <c r="H47" s="19">
        <v>570570</v>
      </c>
      <c r="J47" s="20"/>
      <c r="K47" s="21"/>
      <c r="L47" s="93" t="s">
        <v>57</v>
      </c>
      <c r="M47" s="17" t="s">
        <v>81</v>
      </c>
      <c r="N47" s="17"/>
      <c r="O47" s="22">
        <f t="shared" si="0"/>
        <v>0</v>
      </c>
      <c r="P47" s="22">
        <f t="shared" si="1"/>
        <v>0</v>
      </c>
      <c r="Q47" s="22">
        <f t="shared" si="2"/>
        <v>3190000</v>
      </c>
      <c r="R47" s="92"/>
      <c r="S47" s="92"/>
      <c r="T47" s="92"/>
      <c r="U47" s="55">
        <f t="shared" si="3"/>
        <v>3190000</v>
      </c>
      <c r="V47" s="21"/>
    </row>
    <row r="48" spans="1:22" ht="18" customHeight="1" x14ac:dyDescent="0.3">
      <c r="A48" s="15">
        <v>43</v>
      </c>
      <c r="B48" s="16"/>
      <c r="C48" s="3" t="s">
        <v>193</v>
      </c>
      <c r="D48" s="17" t="s">
        <v>194</v>
      </c>
      <c r="E48" s="3"/>
      <c r="F48" s="18"/>
      <c r="G48" s="19"/>
      <c r="H48" s="19">
        <v>4516970</v>
      </c>
      <c r="I48" s="3"/>
      <c r="J48" s="20"/>
      <c r="K48" s="21"/>
      <c r="L48" s="93"/>
      <c r="M48" s="17" t="s">
        <v>82</v>
      </c>
      <c r="N48" s="17"/>
      <c r="O48" s="22">
        <f t="shared" si="0"/>
        <v>0</v>
      </c>
      <c r="P48" s="22">
        <f t="shared" si="1"/>
        <v>0</v>
      </c>
      <c r="Q48" s="22">
        <f t="shared" si="2"/>
        <v>2880000</v>
      </c>
      <c r="R48" s="92"/>
      <c r="S48" s="92"/>
      <c r="T48" s="92"/>
      <c r="U48" s="55">
        <f t="shared" si="3"/>
        <v>2880000</v>
      </c>
      <c r="V48" s="21"/>
    </row>
    <row r="49" spans="1:22" ht="18" customHeight="1" x14ac:dyDescent="0.3">
      <c r="A49" s="15">
        <v>44</v>
      </c>
      <c r="B49" s="16"/>
      <c r="C49" s="3" t="s">
        <v>230</v>
      </c>
      <c r="D49" s="17" t="s">
        <v>194</v>
      </c>
      <c r="E49" s="3"/>
      <c r="F49" s="18"/>
      <c r="G49" s="19"/>
      <c r="H49" s="19">
        <v>2717490</v>
      </c>
      <c r="I49" s="3"/>
      <c r="J49" s="20"/>
      <c r="K49" s="21"/>
      <c r="L49" s="93"/>
      <c r="M49" s="17" t="s">
        <v>89</v>
      </c>
      <c r="N49" s="17"/>
      <c r="O49" s="22">
        <f t="shared" si="0"/>
        <v>0</v>
      </c>
      <c r="P49" s="22">
        <f t="shared" si="1"/>
        <v>0</v>
      </c>
      <c r="Q49" s="22">
        <f t="shared" si="2"/>
        <v>0</v>
      </c>
      <c r="R49" s="92"/>
      <c r="S49" s="92"/>
      <c r="T49" s="92"/>
      <c r="U49" s="23">
        <f t="shared" si="3"/>
        <v>0</v>
      </c>
      <c r="V49" s="21"/>
    </row>
    <row r="50" spans="1:22" ht="18" customHeight="1" x14ac:dyDescent="0.3">
      <c r="A50" s="15">
        <v>45</v>
      </c>
      <c r="B50" s="16"/>
      <c r="C50" s="3" t="s">
        <v>231</v>
      </c>
      <c r="D50" s="17" t="s">
        <v>194</v>
      </c>
      <c r="E50" s="3"/>
      <c r="F50" s="18"/>
      <c r="G50" s="19"/>
      <c r="H50" s="19">
        <v>991610</v>
      </c>
      <c r="I50" s="3"/>
      <c r="J50" s="20"/>
      <c r="K50" s="21"/>
      <c r="L50" s="93"/>
      <c r="M50" s="17" t="s">
        <v>58</v>
      </c>
      <c r="N50" s="17" t="s">
        <v>59</v>
      </c>
      <c r="O50" s="22">
        <f t="shared" si="0"/>
        <v>0</v>
      </c>
      <c r="P50" s="22">
        <f t="shared" si="1"/>
        <v>0</v>
      </c>
      <c r="Q50" s="22">
        <f t="shared" si="2"/>
        <v>0</v>
      </c>
      <c r="R50" s="92"/>
      <c r="S50" s="92"/>
      <c r="T50" s="92"/>
      <c r="U50" s="23">
        <f t="shared" si="3"/>
        <v>0</v>
      </c>
      <c r="V50" s="21"/>
    </row>
    <row r="51" spans="1:22" ht="18" customHeight="1" x14ac:dyDescent="0.3">
      <c r="A51" s="15">
        <v>46</v>
      </c>
      <c r="B51" s="16"/>
      <c r="C51" s="3" t="s">
        <v>232</v>
      </c>
      <c r="D51" s="17" t="s">
        <v>194</v>
      </c>
      <c r="E51" s="3"/>
      <c r="F51" s="18"/>
      <c r="G51" s="19"/>
      <c r="H51" s="19">
        <v>1392480</v>
      </c>
      <c r="I51" s="3"/>
      <c r="J51" s="20"/>
      <c r="K51" s="21"/>
      <c r="L51" s="93" t="s">
        <v>60</v>
      </c>
      <c r="M51" s="17" t="s">
        <v>69</v>
      </c>
      <c r="N51" s="17"/>
      <c r="O51" s="22">
        <f t="shared" si="0"/>
        <v>0</v>
      </c>
      <c r="P51" s="22">
        <f t="shared" si="1"/>
        <v>0</v>
      </c>
      <c r="Q51" s="22">
        <f t="shared" si="2"/>
        <v>0</v>
      </c>
      <c r="R51" s="92"/>
      <c r="S51" s="92"/>
      <c r="T51" s="92"/>
      <c r="U51" s="23">
        <f t="shared" si="3"/>
        <v>0</v>
      </c>
      <c r="V51" s="21"/>
    </row>
    <row r="52" spans="1:22" ht="18" customHeight="1" x14ac:dyDescent="0.3">
      <c r="A52" s="15">
        <v>47</v>
      </c>
      <c r="B52" s="16"/>
      <c r="C52" s="3" t="s">
        <v>171</v>
      </c>
      <c r="D52" s="17" t="s">
        <v>197</v>
      </c>
      <c r="E52" s="17"/>
      <c r="F52" s="18"/>
      <c r="G52" s="19"/>
      <c r="H52" s="19">
        <v>6400000</v>
      </c>
      <c r="I52" s="3"/>
      <c r="J52" s="20"/>
      <c r="K52" s="21"/>
      <c r="L52" s="93"/>
      <c r="M52" s="17" t="s">
        <v>61</v>
      </c>
      <c r="N52" s="17"/>
      <c r="O52" s="22">
        <f t="shared" si="0"/>
        <v>0</v>
      </c>
      <c r="P52" s="22">
        <f t="shared" si="1"/>
        <v>0</v>
      </c>
      <c r="Q52" s="22">
        <f t="shared" si="2"/>
        <v>0</v>
      </c>
      <c r="R52" s="92"/>
      <c r="S52" s="92"/>
      <c r="T52" s="92"/>
      <c r="U52" s="23">
        <f t="shared" si="3"/>
        <v>0</v>
      </c>
      <c r="V52" s="21"/>
    </row>
    <row r="53" spans="1:22" ht="18" customHeight="1" x14ac:dyDescent="0.3">
      <c r="A53" s="15">
        <v>48</v>
      </c>
      <c r="B53" s="16"/>
      <c r="C53" s="3" t="s">
        <v>233</v>
      </c>
      <c r="D53" s="17" t="s">
        <v>205</v>
      </c>
      <c r="E53" s="3"/>
      <c r="F53" s="18"/>
      <c r="G53" s="19"/>
      <c r="H53" s="19">
        <v>3449393</v>
      </c>
      <c r="I53" s="3"/>
      <c r="J53" s="20"/>
      <c r="K53" s="21"/>
      <c r="L53" s="93"/>
      <c r="M53" s="17" t="s">
        <v>62</v>
      </c>
      <c r="N53" s="17"/>
      <c r="O53" s="22">
        <f t="shared" si="0"/>
        <v>0</v>
      </c>
      <c r="P53" s="22">
        <f t="shared" si="1"/>
        <v>0</v>
      </c>
      <c r="Q53" s="22">
        <f t="shared" si="2"/>
        <v>0</v>
      </c>
      <c r="R53" s="92"/>
      <c r="S53" s="92"/>
      <c r="T53" s="92"/>
      <c r="U53" s="23">
        <f t="shared" si="3"/>
        <v>0</v>
      </c>
      <c r="V53" s="21"/>
    </row>
    <row r="54" spans="1:22" ht="18" customHeight="1" x14ac:dyDescent="0.3">
      <c r="A54" s="15">
        <v>49</v>
      </c>
      <c r="B54" s="16"/>
      <c r="C54" s="3" t="s">
        <v>234</v>
      </c>
      <c r="D54" s="50"/>
      <c r="E54" s="50"/>
      <c r="F54" s="51"/>
      <c r="G54" s="52"/>
      <c r="H54" s="52"/>
      <c r="I54" s="3"/>
      <c r="J54" s="20"/>
      <c r="K54" s="21"/>
      <c r="L54" s="93"/>
      <c r="M54" s="17" t="s">
        <v>63</v>
      </c>
      <c r="N54" s="17"/>
      <c r="O54" s="22">
        <f t="shared" si="0"/>
        <v>0</v>
      </c>
      <c r="P54" s="22">
        <f t="shared" si="1"/>
        <v>0</v>
      </c>
      <c r="Q54" s="22">
        <f t="shared" si="2"/>
        <v>0</v>
      </c>
      <c r="R54" s="92"/>
      <c r="S54" s="92"/>
      <c r="T54" s="92"/>
      <c r="U54" s="23">
        <f t="shared" si="3"/>
        <v>0</v>
      </c>
      <c r="V54" s="21"/>
    </row>
    <row r="55" spans="1:22" ht="18" customHeight="1" x14ac:dyDescent="0.3">
      <c r="A55" s="15">
        <v>50</v>
      </c>
      <c r="B55" s="16"/>
      <c r="C55" s="3" t="s">
        <v>235</v>
      </c>
      <c r="D55" s="50"/>
      <c r="E55" s="53"/>
      <c r="F55" s="52"/>
      <c r="G55" s="51"/>
      <c r="H55" s="52"/>
      <c r="I55" s="3"/>
      <c r="J55" s="20"/>
      <c r="K55" s="21"/>
      <c r="L55" s="93"/>
      <c r="M55" s="17" t="s">
        <v>68</v>
      </c>
      <c r="N55" s="17"/>
      <c r="O55" s="22">
        <f t="shared" si="0"/>
        <v>0</v>
      </c>
      <c r="P55" s="22">
        <f t="shared" si="1"/>
        <v>0</v>
      </c>
      <c r="Q55" s="22">
        <f t="shared" si="2"/>
        <v>0</v>
      </c>
      <c r="R55" s="92"/>
      <c r="S55" s="92"/>
      <c r="T55" s="92"/>
      <c r="U55" s="23">
        <f t="shared" si="3"/>
        <v>0</v>
      </c>
      <c r="V55" s="21"/>
    </row>
    <row r="56" spans="1:22" ht="18" customHeight="1" x14ac:dyDescent="0.3">
      <c r="A56" s="15">
        <v>51</v>
      </c>
      <c r="B56" s="16"/>
      <c r="C56" s="3" t="s">
        <v>236</v>
      </c>
      <c r="D56" s="17" t="s">
        <v>76</v>
      </c>
      <c r="E56" s="17" t="s">
        <v>237</v>
      </c>
      <c r="F56" s="19"/>
      <c r="G56" s="18"/>
      <c r="H56" s="19">
        <v>11000</v>
      </c>
      <c r="I56" s="3"/>
      <c r="J56" s="20"/>
      <c r="K56" s="21"/>
      <c r="L56" s="93"/>
      <c r="M56" s="17" t="s">
        <v>64</v>
      </c>
      <c r="N56" s="17" t="s">
        <v>65</v>
      </c>
      <c r="O56" s="22">
        <f t="shared" si="0"/>
        <v>0</v>
      </c>
      <c r="P56" s="22">
        <f t="shared" si="1"/>
        <v>0</v>
      </c>
      <c r="Q56" s="22">
        <f t="shared" si="2"/>
        <v>0</v>
      </c>
      <c r="R56" s="92"/>
      <c r="S56" s="92"/>
      <c r="T56" s="92"/>
      <c r="U56" s="23">
        <f t="shared" si="3"/>
        <v>0</v>
      </c>
      <c r="V56" s="21"/>
    </row>
    <row r="57" spans="1:22" ht="18" customHeight="1" x14ac:dyDescent="0.3">
      <c r="A57" s="15">
        <v>52</v>
      </c>
      <c r="B57" s="16"/>
      <c r="C57" s="3" t="s">
        <v>238</v>
      </c>
      <c r="D57" s="50"/>
      <c r="E57" s="50"/>
      <c r="F57" s="52"/>
      <c r="G57" s="51"/>
      <c r="H57" s="52"/>
      <c r="I57" s="3"/>
      <c r="J57" s="20"/>
      <c r="K57" s="21"/>
      <c r="L57" s="93"/>
      <c r="M57" s="17" t="s">
        <v>84</v>
      </c>
      <c r="N57" s="17"/>
      <c r="O57" s="22">
        <f t="shared" si="0"/>
        <v>0</v>
      </c>
      <c r="P57" s="22">
        <f t="shared" si="1"/>
        <v>0</v>
      </c>
      <c r="Q57" s="22">
        <f t="shared" si="2"/>
        <v>0</v>
      </c>
      <c r="R57" s="92"/>
      <c r="S57" s="92"/>
      <c r="T57" s="92"/>
      <c r="U57" s="23">
        <f t="shared" si="3"/>
        <v>0</v>
      </c>
      <c r="V57" s="21"/>
    </row>
    <row r="58" spans="1:22" ht="18" customHeight="1" x14ac:dyDescent="0.3">
      <c r="A58" s="15">
        <v>53</v>
      </c>
      <c r="B58" s="16"/>
      <c r="C58" s="3"/>
      <c r="D58" s="17" t="s">
        <v>40</v>
      </c>
      <c r="E58" s="3"/>
      <c r="F58" s="18"/>
      <c r="G58" s="19"/>
      <c r="H58" s="19">
        <v>1199235</v>
      </c>
      <c r="I58" s="3"/>
      <c r="J58" s="20"/>
      <c r="K58" s="21"/>
      <c r="L58" s="93"/>
      <c r="M58" s="17" t="s">
        <v>71</v>
      </c>
      <c r="N58" s="17"/>
      <c r="O58" s="22">
        <f t="shared" si="0"/>
        <v>0</v>
      </c>
      <c r="P58" s="22">
        <f t="shared" si="1"/>
        <v>0</v>
      </c>
      <c r="Q58" s="22">
        <f t="shared" si="2"/>
        <v>0</v>
      </c>
      <c r="R58" s="92"/>
      <c r="S58" s="92"/>
      <c r="T58" s="92"/>
      <c r="U58" s="23">
        <f t="shared" si="3"/>
        <v>0</v>
      </c>
      <c r="V58" s="21"/>
    </row>
    <row r="59" spans="1:22" ht="18" customHeight="1" x14ac:dyDescent="0.3">
      <c r="A59" s="15">
        <v>54</v>
      </c>
      <c r="B59" s="16"/>
      <c r="C59" s="3"/>
      <c r="D59" s="24" t="s">
        <v>39</v>
      </c>
      <c r="E59" s="3"/>
      <c r="F59" s="18"/>
      <c r="G59" s="19"/>
      <c r="H59" s="19">
        <v>2643900</v>
      </c>
      <c r="I59" s="3"/>
      <c r="J59" s="20"/>
      <c r="K59" s="21"/>
      <c r="L59" s="93" t="s">
        <v>66</v>
      </c>
      <c r="M59" s="94"/>
      <c r="N59" s="94"/>
      <c r="O59" s="97">
        <f>SUM(O6:O58)</f>
        <v>184500</v>
      </c>
      <c r="P59" s="97">
        <f>SUM(P6:P58)</f>
        <v>399100</v>
      </c>
      <c r="Q59" s="97">
        <f>SUM(Q6:Q58)</f>
        <v>45847568</v>
      </c>
      <c r="R59" s="92" t="s">
        <v>67</v>
      </c>
      <c r="S59" s="100">
        <f>SUM(O59:Q60)</f>
        <v>46431168</v>
      </c>
      <c r="T59" s="100"/>
      <c r="U59" s="101"/>
      <c r="V59" s="21"/>
    </row>
    <row r="60" spans="1:22" ht="18" customHeight="1" thickBot="1" x14ac:dyDescent="0.35">
      <c r="A60" s="15">
        <v>55</v>
      </c>
      <c r="B60" s="16"/>
      <c r="C60" s="17" t="s">
        <v>241</v>
      </c>
      <c r="D60" s="17" t="s">
        <v>41</v>
      </c>
      <c r="E60" s="3"/>
      <c r="F60" s="18"/>
      <c r="G60" s="18"/>
      <c r="H60" s="19">
        <v>1683279</v>
      </c>
      <c r="I60" s="3"/>
      <c r="J60" s="20"/>
      <c r="K60" s="21"/>
      <c r="L60" s="95"/>
      <c r="M60" s="96"/>
      <c r="N60" s="96"/>
      <c r="O60" s="98"/>
      <c r="P60" s="98"/>
      <c r="Q60" s="98"/>
      <c r="R60" s="99"/>
      <c r="S60" s="102"/>
      <c r="T60" s="102"/>
      <c r="U60" s="103"/>
      <c r="V60" s="21"/>
    </row>
    <row r="61" spans="1:22" ht="18" customHeight="1" x14ac:dyDescent="0.3">
      <c r="A61" s="15">
        <v>56</v>
      </c>
      <c r="B61" s="16"/>
      <c r="C61" s="17" t="s">
        <v>242</v>
      </c>
      <c r="D61" s="17" t="s">
        <v>41</v>
      </c>
      <c r="E61" s="3"/>
      <c r="F61" s="18"/>
      <c r="G61" s="18"/>
      <c r="H61" s="19">
        <v>104320</v>
      </c>
      <c r="I61" s="3"/>
      <c r="J61" s="20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9"/>
      <c r="V61" s="21"/>
    </row>
    <row r="62" spans="1:22" ht="18" customHeight="1" x14ac:dyDescent="0.3">
      <c r="A62" s="15">
        <v>57</v>
      </c>
      <c r="B62" s="16"/>
      <c r="C62" s="17" t="s">
        <v>243</v>
      </c>
      <c r="D62" s="17" t="s">
        <v>41</v>
      </c>
      <c r="E62" s="3"/>
      <c r="F62" s="18"/>
      <c r="G62" s="19"/>
      <c r="H62" s="54">
        <v>81669</v>
      </c>
      <c r="I62" s="3"/>
      <c r="J62" s="20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9"/>
      <c r="V62" s="21"/>
    </row>
    <row r="63" spans="1:22" ht="18" customHeight="1" x14ac:dyDescent="0.3">
      <c r="A63" s="15">
        <v>58</v>
      </c>
      <c r="B63" s="16"/>
      <c r="C63" s="3"/>
      <c r="D63" s="17"/>
      <c r="E63" s="3"/>
      <c r="F63" s="18"/>
      <c r="G63" s="18"/>
      <c r="H63" s="19"/>
      <c r="I63" s="3"/>
      <c r="J63" s="20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9"/>
      <c r="V63" s="21"/>
    </row>
    <row r="64" spans="1:22" ht="18" customHeight="1" x14ac:dyDescent="0.3">
      <c r="A64" s="15">
        <v>59</v>
      </c>
      <c r="B64" s="16"/>
      <c r="C64" s="3"/>
      <c r="D64" s="17"/>
      <c r="E64" s="3"/>
      <c r="F64" s="18"/>
      <c r="G64" s="18"/>
      <c r="H64" s="19"/>
      <c r="I64" s="3"/>
      <c r="J64" s="20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9"/>
      <c r="V64" s="21"/>
    </row>
    <row r="65" spans="1:22" ht="18" customHeight="1" x14ac:dyDescent="0.3">
      <c r="A65" s="15">
        <v>60</v>
      </c>
      <c r="B65" s="16"/>
      <c r="C65" s="3"/>
      <c r="D65" s="17"/>
      <c r="E65" s="3"/>
      <c r="F65" s="18"/>
      <c r="G65" s="18"/>
      <c r="H65" s="19"/>
      <c r="I65" s="3"/>
      <c r="J65" s="20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9"/>
      <c r="V65" s="21"/>
    </row>
    <row r="66" spans="1:22" ht="18" customHeight="1" x14ac:dyDescent="0.3">
      <c r="A66" s="15">
        <v>61</v>
      </c>
      <c r="B66" s="16"/>
      <c r="C66" s="3"/>
      <c r="D66" s="17"/>
      <c r="E66" s="3"/>
      <c r="F66" s="18"/>
      <c r="G66" s="18"/>
      <c r="H66" s="19"/>
      <c r="I66" s="3"/>
      <c r="J66" s="20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9"/>
      <c r="V66" s="21"/>
    </row>
    <row r="67" spans="1:22" ht="18" customHeight="1" x14ac:dyDescent="0.3">
      <c r="A67" s="15">
        <v>62</v>
      </c>
      <c r="B67" s="16"/>
      <c r="C67" s="3"/>
      <c r="D67" s="17"/>
      <c r="E67" s="17"/>
      <c r="F67" s="18"/>
      <c r="G67" s="19"/>
      <c r="H67" s="19"/>
      <c r="I67" s="3"/>
      <c r="J67" s="20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9"/>
      <c r="V67" s="21"/>
    </row>
    <row r="68" spans="1:22" ht="18" customHeight="1" x14ac:dyDescent="0.3">
      <c r="A68" s="15">
        <v>63</v>
      </c>
      <c r="B68" s="16"/>
      <c r="C68" s="3"/>
      <c r="D68" s="17"/>
      <c r="E68" s="3"/>
      <c r="F68" s="18"/>
      <c r="G68" s="18"/>
      <c r="H68" s="27"/>
      <c r="I68" s="3"/>
      <c r="J68" s="20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9"/>
      <c r="V68" s="21"/>
    </row>
    <row r="69" spans="1:22" ht="18" customHeight="1" x14ac:dyDescent="0.3">
      <c r="A69" s="15">
        <v>64</v>
      </c>
      <c r="B69" s="16"/>
      <c r="C69" s="3"/>
      <c r="D69" s="17"/>
      <c r="E69" s="3"/>
      <c r="F69" s="18"/>
      <c r="G69" s="18"/>
      <c r="H69" s="27"/>
      <c r="I69" s="3"/>
      <c r="J69" s="20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9"/>
      <c r="V69" s="21"/>
    </row>
    <row r="70" spans="1:22" ht="18" customHeight="1" thickBot="1" x14ac:dyDescent="0.35">
      <c r="A70" s="15">
        <v>65</v>
      </c>
      <c r="B70" s="16"/>
      <c r="C70" s="3"/>
      <c r="D70" s="24"/>
      <c r="E70" s="3"/>
      <c r="F70" s="18"/>
      <c r="G70" s="18"/>
      <c r="H70" s="27"/>
      <c r="I70" s="3"/>
      <c r="J70" s="20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9"/>
      <c r="V70" s="21"/>
    </row>
    <row r="71" spans="1:22" ht="18" customHeight="1" thickBot="1" x14ac:dyDescent="0.35">
      <c r="A71" s="15">
        <v>66</v>
      </c>
      <c r="B71" s="16"/>
      <c r="C71" s="3"/>
      <c r="D71" s="17"/>
      <c r="E71" s="3"/>
      <c r="F71" s="18"/>
      <c r="G71" s="18"/>
      <c r="H71" s="27"/>
      <c r="I71" s="3"/>
      <c r="J71" s="20"/>
      <c r="K71" s="21"/>
      <c r="L71" s="21"/>
      <c r="M71" s="38"/>
      <c r="N71" s="21"/>
      <c r="O71" s="21"/>
      <c r="P71" s="21"/>
      <c r="Q71" s="21"/>
      <c r="R71" s="21"/>
      <c r="S71" s="21"/>
      <c r="T71" s="21"/>
      <c r="U71" s="29"/>
      <c r="V71" s="21"/>
    </row>
    <row r="72" spans="1:22" ht="18" customHeight="1" x14ac:dyDescent="0.3">
      <c r="A72" s="15">
        <v>67</v>
      </c>
      <c r="B72" s="16"/>
      <c r="C72" s="3"/>
      <c r="D72" s="17"/>
      <c r="E72" s="3"/>
      <c r="F72" s="18"/>
      <c r="G72" s="27"/>
      <c r="H72" s="27"/>
      <c r="I72" s="3"/>
      <c r="J72" s="20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9"/>
      <c r="V72" s="21"/>
    </row>
    <row r="73" spans="1:22" ht="18" customHeight="1" x14ac:dyDescent="0.3">
      <c r="A73" s="15">
        <v>68</v>
      </c>
      <c r="B73" s="16"/>
      <c r="C73" s="3"/>
      <c r="D73" s="17"/>
      <c r="E73" s="17"/>
      <c r="F73" s="18"/>
      <c r="G73" s="27"/>
      <c r="H73" s="27"/>
      <c r="I73" s="3"/>
      <c r="J73" s="20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9"/>
      <c r="V73" s="21"/>
    </row>
    <row r="74" spans="1:22" ht="18" customHeight="1" x14ac:dyDescent="0.3">
      <c r="A74" s="15">
        <v>69</v>
      </c>
      <c r="B74" s="16"/>
      <c r="C74" s="3"/>
      <c r="D74" s="17"/>
      <c r="E74" s="3"/>
      <c r="F74" s="18"/>
      <c r="G74" s="27"/>
      <c r="H74" s="27"/>
      <c r="I74" s="3"/>
      <c r="J74" s="20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9"/>
      <c r="V74" s="21"/>
    </row>
    <row r="75" spans="1:22" ht="18" customHeight="1" x14ac:dyDescent="0.3">
      <c r="A75" s="15">
        <v>70</v>
      </c>
      <c r="B75" s="16"/>
      <c r="C75" s="3"/>
      <c r="D75" s="17"/>
      <c r="E75" s="3"/>
      <c r="F75" s="18"/>
      <c r="G75" s="27"/>
      <c r="H75" s="27"/>
      <c r="I75" s="3"/>
      <c r="J75" s="20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9"/>
      <c r="V75" s="21"/>
    </row>
    <row r="76" spans="1:22" ht="18" customHeight="1" x14ac:dyDescent="0.3">
      <c r="A76" s="15">
        <v>71</v>
      </c>
      <c r="B76" s="16"/>
      <c r="C76" s="3"/>
      <c r="D76" s="17"/>
      <c r="E76" s="3"/>
      <c r="F76" s="37"/>
      <c r="G76" s="18"/>
      <c r="H76" s="27"/>
      <c r="I76" s="3"/>
      <c r="J76" s="20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9"/>
      <c r="V76" s="21"/>
    </row>
    <row r="77" spans="1:22" ht="18" customHeight="1" x14ac:dyDescent="0.3">
      <c r="A77" s="15">
        <v>72</v>
      </c>
      <c r="B77" s="16"/>
      <c r="C77" s="3"/>
      <c r="D77" s="17"/>
      <c r="E77" s="3"/>
      <c r="F77" s="37"/>
      <c r="G77" s="18"/>
      <c r="H77" s="28"/>
      <c r="I77" s="3"/>
      <c r="J77" s="20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9"/>
      <c r="V77" s="21"/>
    </row>
    <row r="78" spans="1:22" ht="18" customHeight="1" x14ac:dyDescent="0.3">
      <c r="A78" s="15">
        <v>73</v>
      </c>
      <c r="B78" s="16"/>
      <c r="C78" s="3"/>
      <c r="D78" s="17"/>
      <c r="E78" s="17"/>
      <c r="F78" s="18"/>
      <c r="G78" s="18"/>
      <c r="H78" s="19"/>
      <c r="I78" s="3"/>
      <c r="J78" s="20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9"/>
      <c r="V78" s="21"/>
    </row>
    <row r="79" spans="1:22" ht="18" customHeight="1" x14ac:dyDescent="0.3">
      <c r="A79" s="15">
        <v>74</v>
      </c>
      <c r="B79" s="16"/>
      <c r="C79" s="3"/>
      <c r="D79" s="17"/>
      <c r="E79" s="17"/>
      <c r="F79" s="18"/>
      <c r="G79" s="18"/>
      <c r="H79" s="19"/>
      <c r="I79" s="3"/>
      <c r="J79" s="20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9"/>
      <c r="V79" s="21"/>
    </row>
    <row r="80" spans="1:22" ht="18" customHeight="1" x14ac:dyDescent="0.3">
      <c r="A80" s="15">
        <v>75</v>
      </c>
      <c r="B80" s="16"/>
      <c r="C80" s="3"/>
      <c r="D80" s="17"/>
      <c r="E80" s="3"/>
      <c r="F80" s="18"/>
      <c r="G80" s="18"/>
      <c r="H80" s="19"/>
      <c r="I80" s="3"/>
      <c r="J80" s="20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9"/>
      <c r="V80" s="21"/>
    </row>
    <row r="81" spans="1:22" ht="18" customHeight="1" x14ac:dyDescent="0.3">
      <c r="A81" s="15">
        <v>76</v>
      </c>
      <c r="B81" s="16"/>
      <c r="C81" s="3"/>
      <c r="D81" s="17"/>
      <c r="E81" s="3"/>
      <c r="F81" s="18"/>
      <c r="G81" s="18"/>
      <c r="H81" s="19"/>
      <c r="I81" s="3"/>
      <c r="J81" s="20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9"/>
      <c r="V81" s="21"/>
    </row>
    <row r="82" spans="1:22" ht="18" customHeight="1" x14ac:dyDescent="0.3">
      <c r="A82" s="15">
        <v>77</v>
      </c>
      <c r="B82" s="16"/>
      <c r="C82" s="3"/>
      <c r="D82" s="17"/>
      <c r="E82" s="3"/>
      <c r="F82" s="18"/>
      <c r="G82" s="18"/>
      <c r="H82" s="28"/>
      <c r="I82" s="3"/>
      <c r="J82" s="20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9"/>
      <c r="V82" s="21"/>
    </row>
    <row r="83" spans="1:22" ht="18" customHeight="1" x14ac:dyDescent="0.3">
      <c r="A83" s="15">
        <v>78</v>
      </c>
      <c r="B83" s="16"/>
      <c r="C83" s="3"/>
      <c r="D83" s="17"/>
      <c r="E83" s="3"/>
      <c r="F83" s="18"/>
      <c r="G83" s="18"/>
      <c r="H83" s="28"/>
      <c r="I83" s="3"/>
      <c r="J83" s="20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9"/>
      <c r="V83" s="21"/>
    </row>
    <row r="84" spans="1:22" ht="18" customHeight="1" x14ac:dyDescent="0.3">
      <c r="A84" s="15">
        <v>79</v>
      </c>
      <c r="B84" s="16"/>
      <c r="C84" s="3"/>
      <c r="D84" s="17"/>
      <c r="E84" s="3"/>
      <c r="F84" s="18"/>
      <c r="G84" s="18"/>
      <c r="H84" s="28"/>
      <c r="I84" s="3"/>
      <c r="J84" s="20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9"/>
      <c r="V84" s="21"/>
    </row>
    <row r="85" spans="1:22" ht="18" customHeight="1" x14ac:dyDescent="0.3">
      <c r="A85" s="15">
        <v>80</v>
      </c>
      <c r="B85" s="16"/>
      <c r="C85" s="3"/>
      <c r="D85" s="17"/>
      <c r="E85" s="3"/>
      <c r="F85" s="18"/>
      <c r="G85" s="18"/>
      <c r="H85" s="28"/>
      <c r="I85" s="3"/>
      <c r="J85" s="20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9"/>
      <c r="V85" s="21"/>
    </row>
    <row r="86" spans="1:22" ht="18" customHeight="1" x14ac:dyDescent="0.3">
      <c r="A86" s="15">
        <v>81</v>
      </c>
      <c r="B86" s="16"/>
      <c r="C86" s="3"/>
      <c r="D86" s="17"/>
      <c r="E86" s="3"/>
      <c r="F86" s="18"/>
      <c r="G86" s="18"/>
      <c r="H86" s="28"/>
      <c r="I86" s="3"/>
      <c r="J86" s="20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9"/>
      <c r="V86" s="21"/>
    </row>
    <row r="87" spans="1:22" ht="18" customHeight="1" x14ac:dyDescent="0.3">
      <c r="A87" s="15">
        <v>82</v>
      </c>
      <c r="B87" s="16"/>
      <c r="C87" s="3"/>
      <c r="D87" s="17"/>
      <c r="E87" s="3"/>
      <c r="F87" s="18"/>
      <c r="G87" s="18"/>
      <c r="H87" s="28"/>
      <c r="I87" s="3"/>
      <c r="J87" s="20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9"/>
      <c r="V87" s="21"/>
    </row>
    <row r="88" spans="1:22" ht="18" customHeight="1" x14ac:dyDescent="0.3">
      <c r="A88" s="15">
        <v>83</v>
      </c>
      <c r="B88" s="16"/>
      <c r="C88" s="3"/>
      <c r="D88" s="17"/>
      <c r="E88" s="3"/>
      <c r="F88" s="18"/>
      <c r="G88" s="18"/>
      <c r="H88" s="28"/>
      <c r="I88" s="3"/>
      <c r="J88" s="20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9"/>
      <c r="V88" s="21"/>
    </row>
    <row r="89" spans="1:22" ht="18" customHeight="1" x14ac:dyDescent="0.3">
      <c r="A89" s="15">
        <v>84</v>
      </c>
      <c r="B89" s="16"/>
      <c r="C89" s="3"/>
      <c r="D89" s="17"/>
      <c r="E89" s="17"/>
      <c r="F89" s="18"/>
      <c r="G89" s="18"/>
      <c r="H89" s="19"/>
      <c r="I89" s="3"/>
      <c r="J89" s="20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9"/>
      <c r="V89" s="21"/>
    </row>
    <row r="90" spans="1:22" ht="18" customHeight="1" x14ac:dyDescent="0.3">
      <c r="A90" s="15">
        <v>85</v>
      </c>
      <c r="B90" s="16"/>
      <c r="C90" s="3"/>
      <c r="D90" s="17"/>
      <c r="E90" s="17"/>
      <c r="F90" s="18"/>
      <c r="G90" s="18"/>
      <c r="H90" s="19"/>
      <c r="I90" s="3"/>
      <c r="J90" s="20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9"/>
      <c r="V90" s="21"/>
    </row>
    <row r="91" spans="1:22" ht="18" customHeight="1" x14ac:dyDescent="0.3">
      <c r="A91" s="15">
        <v>86</v>
      </c>
      <c r="B91" s="16"/>
      <c r="C91" s="3"/>
      <c r="D91" s="17"/>
      <c r="E91" s="3"/>
      <c r="F91" s="18"/>
      <c r="G91" s="18"/>
      <c r="H91" s="19"/>
      <c r="I91" s="3"/>
      <c r="J91" s="20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9"/>
      <c r="V91" s="21"/>
    </row>
    <row r="92" spans="1:22" ht="18" customHeight="1" x14ac:dyDescent="0.3">
      <c r="A92" s="15">
        <v>87</v>
      </c>
      <c r="B92" s="16"/>
      <c r="C92" s="3"/>
      <c r="D92" s="17"/>
      <c r="E92" s="3"/>
      <c r="F92" s="18"/>
      <c r="G92" s="18"/>
      <c r="H92" s="28"/>
      <c r="I92" s="3"/>
      <c r="J92" s="20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9"/>
      <c r="V92" s="21"/>
    </row>
    <row r="93" spans="1:22" ht="18" customHeight="1" x14ac:dyDescent="0.3">
      <c r="A93" s="15">
        <v>88</v>
      </c>
      <c r="B93" s="16"/>
      <c r="C93" s="3"/>
      <c r="D93" s="17"/>
      <c r="E93" s="3"/>
      <c r="F93" s="18"/>
      <c r="G93" s="18"/>
      <c r="H93" s="28"/>
      <c r="I93" s="3"/>
      <c r="J93" s="20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9"/>
      <c r="V93" s="21"/>
    </row>
    <row r="94" spans="1:22" ht="18" customHeight="1" x14ac:dyDescent="0.3">
      <c r="A94" s="15">
        <v>89</v>
      </c>
      <c r="B94" s="16"/>
      <c r="C94" s="3"/>
      <c r="D94" s="17"/>
      <c r="E94" s="3"/>
      <c r="F94" s="18"/>
      <c r="G94" s="18"/>
      <c r="H94" s="28"/>
      <c r="I94" s="3"/>
      <c r="J94" s="20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9"/>
      <c r="V94" s="21"/>
    </row>
    <row r="95" spans="1:22" ht="18" customHeight="1" x14ac:dyDescent="0.3">
      <c r="A95" s="15">
        <v>90</v>
      </c>
      <c r="B95" s="16"/>
      <c r="C95" s="3"/>
      <c r="D95" s="17"/>
      <c r="E95" s="3"/>
      <c r="F95" s="18"/>
      <c r="G95" s="18"/>
      <c r="H95" s="28"/>
      <c r="I95" s="3"/>
      <c r="J95" s="20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9"/>
      <c r="V95" s="21"/>
    </row>
    <row r="96" spans="1:22" ht="18" customHeight="1" x14ac:dyDescent="0.3">
      <c r="A96" s="15">
        <v>91</v>
      </c>
      <c r="B96" s="16"/>
      <c r="C96" s="3"/>
      <c r="D96" s="17"/>
      <c r="E96" s="3"/>
      <c r="F96" s="18"/>
      <c r="G96" s="18"/>
      <c r="H96" s="28"/>
      <c r="I96" s="3"/>
      <c r="J96" s="20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9"/>
      <c r="V96" s="21"/>
    </row>
    <row r="97" spans="1:22" ht="18" customHeight="1" x14ac:dyDescent="0.3">
      <c r="A97" s="15">
        <v>92</v>
      </c>
      <c r="B97" s="16"/>
      <c r="C97" s="3"/>
      <c r="D97" s="17"/>
      <c r="E97" s="3"/>
      <c r="F97" s="18"/>
      <c r="G97" s="18"/>
      <c r="H97" s="28"/>
      <c r="I97" s="3"/>
      <c r="J97" s="20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9"/>
      <c r="V97" s="21"/>
    </row>
    <row r="98" spans="1:22" ht="18" customHeight="1" x14ac:dyDescent="0.3">
      <c r="A98" s="15">
        <v>93</v>
      </c>
      <c r="B98" s="16"/>
      <c r="C98" s="3"/>
      <c r="D98" s="17"/>
      <c r="E98" s="3"/>
      <c r="F98" s="18"/>
      <c r="G98" s="18"/>
      <c r="H98" s="28"/>
      <c r="I98" s="3"/>
      <c r="J98" s="20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9"/>
      <c r="V98" s="21"/>
    </row>
    <row r="99" spans="1:22" ht="18" customHeight="1" x14ac:dyDescent="0.3">
      <c r="A99" s="15">
        <v>94</v>
      </c>
      <c r="B99" s="16"/>
      <c r="C99" s="3"/>
      <c r="D99" s="17"/>
      <c r="E99" s="3"/>
      <c r="F99" s="18"/>
      <c r="G99" s="18"/>
      <c r="H99" s="28"/>
      <c r="I99" s="3"/>
      <c r="J99" s="20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9"/>
      <c r="V99" s="21"/>
    </row>
    <row r="100" spans="1:22" ht="18" customHeight="1" x14ac:dyDescent="0.3">
      <c r="A100" s="15">
        <v>95</v>
      </c>
      <c r="B100" s="16"/>
      <c r="C100" s="3"/>
      <c r="D100" s="17"/>
      <c r="E100" s="17"/>
      <c r="F100" s="18"/>
      <c r="G100" s="18"/>
      <c r="H100" s="28"/>
      <c r="I100" s="3"/>
      <c r="J100" s="20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9"/>
      <c r="V100" s="21"/>
    </row>
    <row r="101" spans="1:22" ht="18" customHeight="1" x14ac:dyDescent="0.3">
      <c r="A101" s="15">
        <v>96</v>
      </c>
      <c r="B101" s="16"/>
      <c r="C101" s="3"/>
      <c r="D101" s="17"/>
      <c r="E101" s="3"/>
      <c r="F101" s="18"/>
      <c r="G101" s="18"/>
      <c r="H101" s="28"/>
      <c r="I101" s="3"/>
      <c r="J101" s="20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9"/>
      <c r="V101" s="21"/>
    </row>
    <row r="102" spans="1:22" ht="18" customHeight="1" x14ac:dyDescent="0.3">
      <c r="A102" s="15">
        <v>97</v>
      </c>
      <c r="B102" s="16"/>
      <c r="C102" s="3"/>
      <c r="D102" s="17"/>
      <c r="E102" s="3"/>
      <c r="F102" s="18"/>
      <c r="G102" s="18"/>
      <c r="H102" s="28"/>
      <c r="I102" s="3"/>
      <c r="J102" s="20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9"/>
      <c r="V102" s="21"/>
    </row>
    <row r="103" spans="1:22" ht="18" customHeight="1" x14ac:dyDescent="0.3">
      <c r="A103" s="15">
        <v>98</v>
      </c>
      <c r="B103" s="16"/>
      <c r="C103" s="3"/>
      <c r="D103" s="17"/>
      <c r="E103" s="3"/>
      <c r="F103" s="18"/>
      <c r="G103" s="18"/>
      <c r="H103" s="28"/>
      <c r="I103" s="3"/>
      <c r="J103" s="20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9"/>
      <c r="V103" s="21"/>
    </row>
    <row r="104" spans="1:22" ht="18" customHeight="1" x14ac:dyDescent="0.3">
      <c r="A104" s="15">
        <v>99</v>
      </c>
      <c r="B104" s="16"/>
      <c r="C104" s="3"/>
      <c r="D104" s="17"/>
      <c r="E104" s="3"/>
      <c r="F104" s="18"/>
      <c r="G104" s="18"/>
      <c r="H104" s="28"/>
      <c r="I104" s="3"/>
      <c r="J104" s="20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9"/>
      <c r="V104" s="21"/>
    </row>
    <row r="105" spans="1:22" ht="18" customHeight="1" x14ac:dyDescent="0.3">
      <c r="A105" s="15">
        <v>100</v>
      </c>
      <c r="B105" s="16"/>
      <c r="C105" s="3"/>
      <c r="D105" s="17"/>
      <c r="E105" s="3"/>
      <c r="F105" s="18"/>
      <c r="G105" s="18"/>
      <c r="H105" s="28"/>
      <c r="I105" s="3"/>
      <c r="J105" s="20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9"/>
      <c r="V105" s="21"/>
    </row>
    <row r="106" spans="1:22" ht="18" customHeight="1" x14ac:dyDescent="0.3">
      <c r="A106" s="15">
        <v>101</v>
      </c>
      <c r="B106" s="16"/>
      <c r="C106" s="3"/>
      <c r="D106" s="17"/>
      <c r="E106" s="17"/>
      <c r="F106" s="18"/>
      <c r="G106" s="18"/>
      <c r="H106" s="28"/>
      <c r="I106" s="3"/>
      <c r="J106" s="20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9"/>
      <c r="V106" s="21"/>
    </row>
    <row r="107" spans="1:22" ht="18" customHeight="1" x14ac:dyDescent="0.3">
      <c r="A107" s="15">
        <v>102</v>
      </c>
      <c r="B107" s="16"/>
      <c r="C107" s="3"/>
      <c r="D107" s="17"/>
      <c r="E107" s="17"/>
      <c r="F107" s="18"/>
      <c r="G107" s="18"/>
      <c r="H107" s="28"/>
      <c r="I107" s="3"/>
      <c r="J107" s="20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9"/>
      <c r="V107" s="21"/>
    </row>
    <row r="108" spans="1:22" ht="18" customHeight="1" x14ac:dyDescent="0.3">
      <c r="A108" s="15">
        <v>103</v>
      </c>
      <c r="B108" s="16"/>
      <c r="C108" s="3"/>
      <c r="D108" s="17"/>
      <c r="E108" s="3"/>
      <c r="F108" s="18"/>
      <c r="G108" s="18"/>
      <c r="H108" s="28"/>
      <c r="I108" s="3"/>
      <c r="J108" s="20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9"/>
      <c r="V108" s="21"/>
    </row>
    <row r="109" spans="1:22" ht="18" customHeight="1" x14ac:dyDescent="0.3">
      <c r="A109" s="15">
        <v>104</v>
      </c>
      <c r="B109" s="16"/>
      <c r="C109" s="3"/>
      <c r="D109" s="17"/>
      <c r="E109" s="3"/>
      <c r="F109" s="18"/>
      <c r="G109" s="18"/>
      <c r="H109" s="28"/>
      <c r="I109" s="3"/>
      <c r="J109" s="20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9"/>
      <c r="V109" s="21"/>
    </row>
    <row r="110" spans="1:22" ht="18" customHeight="1" x14ac:dyDescent="0.3">
      <c r="A110" s="15">
        <v>105</v>
      </c>
      <c r="B110" s="16"/>
      <c r="C110" s="3"/>
      <c r="D110" s="17"/>
      <c r="E110" s="3"/>
      <c r="F110" s="18"/>
      <c r="G110" s="18"/>
      <c r="H110" s="28"/>
      <c r="I110" s="3"/>
      <c r="J110" s="20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9"/>
      <c r="V110" s="21"/>
    </row>
    <row r="111" spans="1:22" ht="18" customHeight="1" x14ac:dyDescent="0.3">
      <c r="A111" s="15">
        <v>106</v>
      </c>
      <c r="B111" s="16"/>
      <c r="C111" s="3"/>
      <c r="D111" s="17"/>
      <c r="E111" s="3"/>
      <c r="F111" s="18"/>
      <c r="G111" s="18"/>
      <c r="H111" s="28"/>
      <c r="I111" s="3"/>
      <c r="J111" s="20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9"/>
      <c r="V111" s="21"/>
    </row>
    <row r="112" spans="1:22" ht="18" customHeight="1" x14ac:dyDescent="0.3">
      <c r="A112" s="15">
        <v>107</v>
      </c>
      <c r="B112" s="16"/>
      <c r="C112" s="3"/>
      <c r="D112" s="17"/>
      <c r="E112" s="3"/>
      <c r="F112" s="18"/>
      <c r="G112" s="18"/>
      <c r="H112" s="28"/>
      <c r="I112" s="3"/>
      <c r="J112" s="20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9"/>
      <c r="V112" s="21"/>
    </row>
    <row r="113" spans="1:22" ht="18" customHeight="1" thickBot="1" x14ac:dyDescent="0.35">
      <c r="A113" s="15">
        <v>108</v>
      </c>
      <c r="B113" s="16"/>
      <c r="C113" s="3"/>
      <c r="D113" s="17"/>
      <c r="E113" s="3"/>
      <c r="F113" s="18"/>
      <c r="G113" s="18"/>
      <c r="H113" s="28"/>
      <c r="I113" s="3"/>
      <c r="J113" s="35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9"/>
      <c r="V113" s="21"/>
    </row>
    <row r="114" spans="1:22" ht="14.25" x14ac:dyDescent="0.3">
      <c r="A114" s="21"/>
      <c r="B114" s="16"/>
      <c r="C114" s="3"/>
      <c r="D114" s="17"/>
      <c r="E114" s="3"/>
      <c r="F114" s="18"/>
      <c r="G114" s="18"/>
      <c r="H114" s="28"/>
      <c r="I114" s="3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9"/>
    </row>
    <row r="115" spans="1:22" ht="14.25" x14ac:dyDescent="0.3">
      <c r="A115" s="21"/>
      <c r="B115" s="16"/>
      <c r="C115" s="3"/>
      <c r="D115" s="17"/>
      <c r="E115" s="3"/>
      <c r="F115" s="18"/>
      <c r="G115" s="18"/>
      <c r="H115" s="28"/>
      <c r="I115" s="3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9"/>
    </row>
    <row r="116" spans="1:22" ht="14.25" x14ac:dyDescent="0.3">
      <c r="B116" s="16"/>
      <c r="C116" s="3"/>
      <c r="D116" s="17"/>
      <c r="E116" s="3"/>
      <c r="F116" s="18"/>
      <c r="G116" s="18"/>
      <c r="H116" s="28"/>
      <c r="I116" s="3"/>
    </row>
    <row r="117" spans="1:22" ht="14.25" x14ac:dyDescent="0.3">
      <c r="B117" s="16"/>
      <c r="C117" s="3"/>
      <c r="D117" s="17"/>
      <c r="E117" s="3"/>
      <c r="F117" s="18"/>
      <c r="G117" s="18"/>
      <c r="H117" s="28"/>
      <c r="I117" s="3"/>
    </row>
    <row r="118" spans="1:22" ht="14.25" x14ac:dyDescent="0.3">
      <c r="B118" s="16"/>
      <c r="C118" s="3"/>
      <c r="D118" s="17"/>
      <c r="E118" s="3"/>
      <c r="F118" s="18"/>
      <c r="G118" s="18"/>
      <c r="H118" s="28"/>
      <c r="I118" s="3"/>
    </row>
    <row r="119" spans="1:22" x14ac:dyDescent="0.3">
      <c r="F119" s="36">
        <f>SUM(F6:F118)</f>
        <v>184500</v>
      </c>
      <c r="G119" s="36">
        <f>SUM(G6:G118)</f>
        <v>399100</v>
      </c>
      <c r="H119" s="36">
        <f>SUM(H6:H118)</f>
        <v>45847568</v>
      </c>
      <c r="I119" s="36">
        <f>SUM(I6:I118)</f>
        <v>0</v>
      </c>
      <c r="J119" s="36">
        <f>SUM(F119:I119)</f>
        <v>46431168</v>
      </c>
    </row>
  </sheetData>
  <mergeCells count="75">
    <mergeCell ref="A1:G4"/>
    <mergeCell ref="L1:U3"/>
    <mergeCell ref="H2:J2"/>
    <mergeCell ref="L4:M4"/>
    <mergeCell ref="N4:N5"/>
    <mergeCell ref="O4:T4"/>
    <mergeCell ref="U4:U5"/>
    <mergeCell ref="R5:T5"/>
    <mergeCell ref="L6:L11"/>
    <mergeCell ref="R6:T6"/>
    <mergeCell ref="R7:T7"/>
    <mergeCell ref="R8:T8"/>
    <mergeCell ref="R9:T9"/>
    <mergeCell ref="R10:T10"/>
    <mergeCell ref="R11:T11"/>
    <mergeCell ref="L12:L17"/>
    <mergeCell ref="R12:T12"/>
    <mergeCell ref="R13:T13"/>
    <mergeCell ref="R14:T14"/>
    <mergeCell ref="R15:T15"/>
    <mergeCell ref="R16:T16"/>
    <mergeCell ref="R17:T17"/>
    <mergeCell ref="R32:T32"/>
    <mergeCell ref="R18:T18"/>
    <mergeCell ref="R19:T19"/>
    <mergeCell ref="R20:T20"/>
    <mergeCell ref="L21:L34"/>
    <mergeCell ref="R21:T21"/>
    <mergeCell ref="R22:T22"/>
    <mergeCell ref="R23:T23"/>
    <mergeCell ref="R24:T24"/>
    <mergeCell ref="R25:T25"/>
    <mergeCell ref="R26:T26"/>
    <mergeCell ref="R27:T27"/>
    <mergeCell ref="R28:T28"/>
    <mergeCell ref="R29:T29"/>
    <mergeCell ref="R30:T30"/>
    <mergeCell ref="R31:T31"/>
    <mergeCell ref="R33:T33"/>
    <mergeCell ref="R34:T34"/>
    <mergeCell ref="L35:L40"/>
    <mergeCell ref="R35:T35"/>
    <mergeCell ref="R36:T36"/>
    <mergeCell ref="R37:T37"/>
    <mergeCell ref="R38:T38"/>
    <mergeCell ref="R39:T39"/>
    <mergeCell ref="R40:T40"/>
    <mergeCell ref="R44:T44"/>
    <mergeCell ref="L47:L50"/>
    <mergeCell ref="R47:T47"/>
    <mergeCell ref="R48:T48"/>
    <mergeCell ref="R49:T49"/>
    <mergeCell ref="R50:T50"/>
    <mergeCell ref="L45:L46"/>
    <mergeCell ref="R45:T45"/>
    <mergeCell ref="R46:T46"/>
    <mergeCell ref="L41:L44"/>
    <mergeCell ref="R41:T41"/>
    <mergeCell ref="R42:T42"/>
    <mergeCell ref="R43:T43"/>
    <mergeCell ref="R55:T55"/>
    <mergeCell ref="R56:T56"/>
    <mergeCell ref="R57:T57"/>
    <mergeCell ref="R58:T58"/>
    <mergeCell ref="L59:N60"/>
    <mergeCell ref="O59:O60"/>
    <mergeCell ref="P59:P60"/>
    <mergeCell ref="Q59:Q60"/>
    <mergeCell ref="R59:R60"/>
    <mergeCell ref="S59:U60"/>
    <mergeCell ref="L51:L58"/>
    <mergeCell ref="R51:T51"/>
    <mergeCell ref="R52:T52"/>
    <mergeCell ref="R53:T53"/>
    <mergeCell ref="R54:T54"/>
  </mergeCells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DA012-AE6E-4873-BCBF-392874093510}">
  <sheetPr>
    <tabColor rgb="FF00B0F0"/>
  </sheetPr>
  <dimension ref="A1:X122"/>
  <sheetViews>
    <sheetView tabSelected="1" topLeftCell="F1" zoomScale="85" zoomScaleNormal="85" workbookViewId="0">
      <pane ySplit="5" topLeftCell="A49" activePane="bottomLeft" state="frozen"/>
      <selection activeCell="H29" sqref="H29"/>
      <selection pane="bottomLeft" activeCell="I60" sqref="I60"/>
    </sheetView>
  </sheetViews>
  <sheetFormatPr defaultColWidth="9" defaultRowHeight="13.5" x14ac:dyDescent="0.3"/>
  <cols>
    <col min="1" max="1" width="7.75" style="2" bestFit="1" customWidth="1"/>
    <col min="2" max="2" width="16.625" style="2" bestFit="1" customWidth="1"/>
    <col min="3" max="3" width="18" style="2" customWidth="1"/>
    <col min="4" max="4" width="23.75" style="2" bestFit="1" customWidth="1"/>
    <col min="5" max="5" width="22" style="2" bestFit="1" customWidth="1"/>
    <col min="6" max="8" width="18.5" style="36" customWidth="1"/>
    <col min="9" max="10" width="18.5" style="2" customWidth="1"/>
    <col min="11" max="11" width="9" style="2"/>
    <col min="12" max="12" width="17.125" style="2" bestFit="1" customWidth="1"/>
    <col min="13" max="13" width="23.375" style="2" bestFit="1" customWidth="1"/>
    <col min="14" max="14" width="28" style="2" bestFit="1" customWidth="1"/>
    <col min="15" max="17" width="18.25" style="2" hidden="1" customWidth="1"/>
    <col min="18" max="20" width="13.25" style="2" hidden="1" customWidth="1"/>
    <col min="21" max="21" width="19.125" style="36" customWidth="1"/>
    <col min="22" max="22" width="9" style="2"/>
    <col min="23" max="23" width="13.375" style="86" bestFit="1" customWidth="1"/>
    <col min="24" max="24" width="11.875" style="2" bestFit="1" customWidth="1"/>
    <col min="25" max="16384" width="9" style="2"/>
  </cols>
  <sheetData>
    <row r="1" spans="1:23" ht="13.5" customHeight="1" x14ac:dyDescent="0.3">
      <c r="A1" s="107" t="s">
        <v>0</v>
      </c>
      <c r="B1" s="107"/>
      <c r="C1" s="107"/>
      <c r="D1" s="107"/>
      <c r="E1" s="107"/>
      <c r="F1" s="107"/>
      <c r="G1" s="107"/>
      <c r="H1" s="39"/>
      <c r="I1" s="1"/>
      <c r="J1" s="1"/>
      <c r="L1" s="109" t="s">
        <v>96</v>
      </c>
      <c r="M1" s="109"/>
      <c r="N1" s="109"/>
      <c r="O1" s="109"/>
      <c r="P1" s="109"/>
      <c r="Q1" s="109"/>
      <c r="R1" s="109"/>
      <c r="S1" s="109"/>
      <c r="T1" s="109"/>
      <c r="U1" s="109"/>
    </row>
    <row r="2" spans="1:23" ht="31.5" customHeight="1" x14ac:dyDescent="0.3">
      <c r="A2" s="107"/>
      <c r="B2" s="107"/>
      <c r="C2" s="107"/>
      <c r="D2" s="107"/>
      <c r="E2" s="107"/>
      <c r="F2" s="107"/>
      <c r="G2" s="107"/>
      <c r="H2" s="110" t="s">
        <v>1</v>
      </c>
      <c r="I2" s="110"/>
      <c r="J2" s="110"/>
      <c r="L2" s="109"/>
      <c r="M2" s="109"/>
      <c r="N2" s="109"/>
      <c r="O2" s="109"/>
      <c r="P2" s="109"/>
      <c r="Q2" s="109"/>
      <c r="R2" s="109"/>
      <c r="S2" s="109"/>
      <c r="T2" s="109"/>
      <c r="U2" s="109"/>
    </row>
    <row r="3" spans="1:23" ht="31.5" customHeight="1" thickBot="1" x14ac:dyDescent="0.35">
      <c r="A3" s="107"/>
      <c r="B3" s="107"/>
      <c r="C3" s="107"/>
      <c r="D3" s="107"/>
      <c r="E3" s="107"/>
      <c r="F3" s="107"/>
      <c r="G3" s="107"/>
      <c r="H3" s="3" t="s">
        <v>99</v>
      </c>
      <c r="I3" s="3" t="s">
        <v>97</v>
      </c>
      <c r="J3" s="3" t="s">
        <v>2</v>
      </c>
      <c r="L3" s="109"/>
      <c r="M3" s="109"/>
      <c r="N3" s="109"/>
      <c r="O3" s="109"/>
      <c r="P3" s="109"/>
      <c r="Q3" s="109"/>
      <c r="R3" s="109"/>
      <c r="S3" s="109"/>
      <c r="T3" s="109"/>
      <c r="U3" s="109"/>
    </row>
    <row r="4" spans="1:23" ht="31.5" customHeight="1" thickBot="1" x14ac:dyDescent="0.35">
      <c r="A4" s="108"/>
      <c r="B4" s="108"/>
      <c r="C4" s="108"/>
      <c r="D4" s="108"/>
      <c r="E4" s="108"/>
      <c r="F4" s="108"/>
      <c r="G4" s="108"/>
      <c r="H4" s="43"/>
      <c r="I4" s="3"/>
      <c r="J4" s="3"/>
      <c r="L4" s="111" t="s">
        <v>3</v>
      </c>
      <c r="M4" s="112"/>
      <c r="N4" s="112" t="s">
        <v>4</v>
      </c>
      <c r="O4" s="112" t="s">
        <v>5</v>
      </c>
      <c r="P4" s="112"/>
      <c r="Q4" s="112"/>
      <c r="R4" s="112"/>
      <c r="S4" s="112"/>
      <c r="T4" s="112"/>
      <c r="U4" s="114" t="s">
        <v>6</v>
      </c>
    </row>
    <row r="5" spans="1:23" ht="18" customHeight="1" x14ac:dyDescent="0.3">
      <c r="A5" s="5" t="s">
        <v>7</v>
      </c>
      <c r="B5" s="6" t="s">
        <v>8</v>
      </c>
      <c r="C5" s="7" t="s">
        <v>9</v>
      </c>
      <c r="D5" s="7" t="s">
        <v>10</v>
      </c>
      <c r="E5" s="7" t="s">
        <v>11</v>
      </c>
      <c r="F5" s="8" t="s">
        <v>12</v>
      </c>
      <c r="G5" s="8" t="s">
        <v>13</v>
      </c>
      <c r="H5" s="40" t="s">
        <v>14</v>
      </c>
      <c r="I5" s="41" t="s">
        <v>15</v>
      </c>
      <c r="J5" s="42" t="s">
        <v>16</v>
      </c>
      <c r="L5" s="12" t="s">
        <v>17</v>
      </c>
      <c r="M5" s="13" t="s">
        <v>18</v>
      </c>
      <c r="N5" s="113"/>
      <c r="O5" s="14" t="s">
        <v>12</v>
      </c>
      <c r="P5" s="13" t="s">
        <v>13</v>
      </c>
      <c r="Q5" s="13" t="s">
        <v>14</v>
      </c>
      <c r="R5" s="113" t="s">
        <v>19</v>
      </c>
      <c r="S5" s="113"/>
      <c r="T5" s="113"/>
      <c r="U5" s="115"/>
    </row>
    <row r="6" spans="1:23" ht="18" customHeight="1" x14ac:dyDescent="0.3">
      <c r="A6" s="15">
        <v>1</v>
      </c>
      <c r="B6" s="61">
        <v>45901</v>
      </c>
      <c r="C6" s="45" t="s">
        <v>120</v>
      </c>
      <c r="D6" s="50" t="s">
        <v>93</v>
      </c>
      <c r="E6" s="88" t="s">
        <v>257</v>
      </c>
      <c r="F6" s="89"/>
      <c r="G6" s="89"/>
      <c r="H6" s="47">
        <v>180300</v>
      </c>
      <c r="I6" s="48"/>
      <c r="J6" s="65" t="s">
        <v>317</v>
      </c>
      <c r="K6" s="21"/>
      <c r="L6" s="93" t="s">
        <v>20</v>
      </c>
      <c r="M6" s="17" t="s">
        <v>194</v>
      </c>
      <c r="N6" s="17" t="s">
        <v>22</v>
      </c>
      <c r="O6" s="22">
        <f t="shared" ref="O6:O37" si="0">SUMIF($D$6:$D$133,$M6,$F$6:$F$133)</f>
        <v>0</v>
      </c>
      <c r="P6" s="22">
        <f t="shared" ref="P6:P37" si="1">SUMIF($D$6:$D$133,$M6,$G$6:$G$133)</f>
        <v>0</v>
      </c>
      <c r="Q6" s="22">
        <f t="shared" ref="Q6:Q37" si="2">SUMIF($D$6:$D$133,$M6,$H$6:$H$133)</f>
        <v>9076540</v>
      </c>
      <c r="R6" s="92"/>
      <c r="S6" s="92"/>
      <c r="T6" s="92"/>
      <c r="U6" s="55">
        <f t="shared" ref="U6:U58" si="3">SUM(O6:Q6)</f>
        <v>9076540</v>
      </c>
      <c r="V6" s="21"/>
    </row>
    <row r="7" spans="1:23" ht="18" customHeight="1" x14ac:dyDescent="0.3">
      <c r="A7" s="15">
        <v>2</v>
      </c>
      <c r="B7" s="61">
        <v>45901</v>
      </c>
      <c r="C7" s="17" t="s">
        <v>190</v>
      </c>
      <c r="D7" s="17" t="s">
        <v>239</v>
      </c>
      <c r="E7" s="57" t="s">
        <v>262</v>
      </c>
      <c r="F7" s="46"/>
      <c r="G7" s="46"/>
      <c r="H7" s="47">
        <v>220000</v>
      </c>
      <c r="I7" s="48"/>
      <c r="J7" s="62" t="s">
        <v>263</v>
      </c>
      <c r="K7" s="21"/>
      <c r="L7" s="93"/>
      <c r="M7" s="17" t="s">
        <v>197</v>
      </c>
      <c r="N7" s="17"/>
      <c r="O7" s="22">
        <f t="shared" si="0"/>
        <v>0</v>
      </c>
      <c r="P7" s="22">
        <f t="shared" si="1"/>
        <v>0</v>
      </c>
      <c r="Q7" s="22">
        <f t="shared" si="2"/>
        <v>6243770</v>
      </c>
      <c r="R7" s="92"/>
      <c r="S7" s="92"/>
      <c r="T7" s="92"/>
      <c r="U7" s="55">
        <f t="shared" si="3"/>
        <v>6243770</v>
      </c>
      <c r="V7" s="21"/>
    </row>
    <row r="8" spans="1:23" ht="18" customHeight="1" x14ac:dyDescent="0.3">
      <c r="A8" s="15">
        <v>3</v>
      </c>
      <c r="B8" s="61">
        <v>45901</v>
      </c>
      <c r="C8" s="45" t="s">
        <v>195</v>
      </c>
      <c r="D8" s="17" t="s">
        <v>240</v>
      </c>
      <c r="E8" s="57" t="s">
        <v>264</v>
      </c>
      <c r="F8" s="46"/>
      <c r="G8" s="46"/>
      <c r="H8" s="47">
        <v>440000</v>
      </c>
      <c r="I8" s="48"/>
      <c r="J8" s="62" t="s">
        <v>265</v>
      </c>
      <c r="K8" s="21"/>
      <c r="L8" s="93"/>
      <c r="M8" s="17" t="s">
        <v>91</v>
      </c>
      <c r="N8" s="17"/>
      <c r="O8" s="22">
        <f t="shared" si="0"/>
        <v>0</v>
      </c>
      <c r="P8" s="22">
        <f t="shared" si="1"/>
        <v>0</v>
      </c>
      <c r="Q8" s="22">
        <f t="shared" si="2"/>
        <v>3944180</v>
      </c>
      <c r="R8" s="92"/>
      <c r="S8" s="92"/>
      <c r="T8" s="92"/>
      <c r="U8" s="55">
        <f t="shared" si="3"/>
        <v>3944180</v>
      </c>
      <c r="V8" s="21"/>
    </row>
    <row r="9" spans="1:23" ht="18" customHeight="1" x14ac:dyDescent="0.3">
      <c r="A9" s="15">
        <v>4</v>
      </c>
      <c r="B9" s="61">
        <v>45903</v>
      </c>
      <c r="C9" s="45" t="s">
        <v>244</v>
      </c>
      <c r="D9" s="24" t="s">
        <v>83</v>
      </c>
      <c r="E9" s="57" t="s">
        <v>245</v>
      </c>
      <c r="F9" s="46"/>
      <c r="G9" s="46"/>
      <c r="H9" s="47"/>
      <c r="I9" s="48"/>
      <c r="J9" s="62" t="s">
        <v>246</v>
      </c>
      <c r="K9" s="21"/>
      <c r="L9" s="93"/>
      <c r="M9" s="17" t="s">
        <v>318</v>
      </c>
      <c r="N9" s="17"/>
      <c r="O9" s="22">
        <f t="shared" si="0"/>
        <v>0</v>
      </c>
      <c r="P9" s="22">
        <f t="shared" si="1"/>
        <v>0</v>
      </c>
      <c r="Q9" s="22">
        <f t="shared" si="2"/>
        <v>4835000</v>
      </c>
      <c r="R9" s="92"/>
      <c r="S9" s="92"/>
      <c r="T9" s="92"/>
      <c r="U9" s="23">
        <f t="shared" si="3"/>
        <v>4835000</v>
      </c>
      <c r="V9" s="21"/>
    </row>
    <row r="10" spans="1:23" ht="18" customHeight="1" x14ac:dyDescent="0.3">
      <c r="A10" s="15">
        <v>5</v>
      </c>
      <c r="B10" s="61">
        <v>45905</v>
      </c>
      <c r="C10" s="45" t="s">
        <v>244</v>
      </c>
      <c r="D10" s="24" t="s">
        <v>83</v>
      </c>
      <c r="E10" s="57" t="s">
        <v>245</v>
      </c>
      <c r="F10" s="46"/>
      <c r="G10" s="46">
        <v>6700</v>
      </c>
      <c r="H10" s="47"/>
      <c r="I10" s="48"/>
      <c r="J10" s="62" t="s">
        <v>247</v>
      </c>
      <c r="K10" s="21"/>
      <c r="L10" s="93"/>
      <c r="M10" s="17" t="s">
        <v>24</v>
      </c>
      <c r="N10" s="17" t="s">
        <v>282</v>
      </c>
      <c r="O10" s="22">
        <f t="shared" si="0"/>
        <v>0</v>
      </c>
      <c r="P10" s="22">
        <f t="shared" si="1"/>
        <v>0</v>
      </c>
      <c r="Q10" s="22">
        <f t="shared" si="2"/>
        <v>1508520</v>
      </c>
      <c r="R10" s="92"/>
      <c r="S10" s="92"/>
      <c r="T10" s="92"/>
      <c r="U10" s="55">
        <f t="shared" si="3"/>
        <v>1508520</v>
      </c>
      <c r="V10" s="21"/>
    </row>
    <row r="11" spans="1:23" ht="18" customHeight="1" x14ac:dyDescent="0.3">
      <c r="A11" s="15">
        <v>6</v>
      </c>
      <c r="B11" s="61">
        <v>45905</v>
      </c>
      <c r="C11" s="45" t="s">
        <v>272</v>
      </c>
      <c r="D11" s="17" t="s">
        <v>273</v>
      </c>
      <c r="E11" s="57"/>
      <c r="F11" s="46"/>
      <c r="G11" s="46">
        <v>11000</v>
      </c>
      <c r="H11" s="47"/>
      <c r="I11" s="48"/>
      <c r="J11" s="62"/>
      <c r="K11" s="21"/>
      <c r="L11" s="93"/>
      <c r="M11" s="17" t="s">
        <v>26</v>
      </c>
      <c r="N11" s="17" t="s">
        <v>27</v>
      </c>
      <c r="O11" s="22">
        <f t="shared" si="0"/>
        <v>0</v>
      </c>
      <c r="P11" s="22">
        <f t="shared" si="1"/>
        <v>0</v>
      </c>
      <c r="Q11" s="22">
        <f t="shared" si="2"/>
        <v>0</v>
      </c>
      <c r="R11" s="92"/>
      <c r="S11" s="92"/>
      <c r="T11" s="92"/>
      <c r="U11" s="23">
        <f t="shared" si="3"/>
        <v>0</v>
      </c>
      <c r="V11" s="21"/>
    </row>
    <row r="12" spans="1:23" ht="18" customHeight="1" x14ac:dyDescent="0.3">
      <c r="A12" s="15">
        <v>7</v>
      </c>
      <c r="B12" s="61">
        <v>45910</v>
      </c>
      <c r="C12" s="45" t="s">
        <v>120</v>
      </c>
      <c r="D12" s="50" t="s">
        <v>93</v>
      </c>
      <c r="E12" s="88" t="s">
        <v>257</v>
      </c>
      <c r="F12" s="89"/>
      <c r="G12" s="89"/>
      <c r="H12" s="47">
        <v>145450</v>
      </c>
      <c r="I12" s="48"/>
      <c r="J12" s="62" t="s">
        <v>258</v>
      </c>
      <c r="K12" s="21"/>
      <c r="L12" s="93" t="s">
        <v>28</v>
      </c>
      <c r="M12" s="17" t="s">
        <v>90</v>
      </c>
      <c r="N12" s="17"/>
      <c r="O12" s="22">
        <f t="shared" si="0"/>
        <v>0</v>
      </c>
      <c r="P12" s="22">
        <f t="shared" si="1"/>
        <v>0</v>
      </c>
      <c r="Q12" s="22">
        <f t="shared" si="2"/>
        <v>0</v>
      </c>
      <c r="R12" s="104"/>
      <c r="S12" s="105"/>
      <c r="T12" s="106"/>
      <c r="U12" s="23">
        <f t="shared" si="3"/>
        <v>0</v>
      </c>
      <c r="V12" s="21"/>
    </row>
    <row r="13" spans="1:23" ht="18" customHeight="1" x14ac:dyDescent="0.3">
      <c r="A13" s="15">
        <v>8</v>
      </c>
      <c r="B13" s="61">
        <v>45910</v>
      </c>
      <c r="C13" s="45" t="s">
        <v>120</v>
      </c>
      <c r="D13" s="50" t="s">
        <v>93</v>
      </c>
      <c r="E13" s="88" t="s">
        <v>257</v>
      </c>
      <c r="F13" s="89"/>
      <c r="G13" s="89"/>
      <c r="H13" s="47">
        <v>526200</v>
      </c>
      <c r="I13" s="48"/>
      <c r="J13" s="65" t="s">
        <v>317</v>
      </c>
      <c r="K13" s="21"/>
      <c r="L13" s="93"/>
      <c r="M13" s="17" t="s">
        <v>29</v>
      </c>
      <c r="N13" s="17"/>
      <c r="O13" s="22">
        <f t="shared" si="0"/>
        <v>0</v>
      </c>
      <c r="P13" s="22">
        <f t="shared" si="1"/>
        <v>0</v>
      </c>
      <c r="Q13" s="22">
        <f t="shared" si="2"/>
        <v>0</v>
      </c>
      <c r="R13" s="104"/>
      <c r="S13" s="105"/>
      <c r="T13" s="106"/>
      <c r="U13" s="23">
        <f t="shared" si="3"/>
        <v>0</v>
      </c>
      <c r="V13" s="21"/>
    </row>
    <row r="14" spans="1:23" ht="18" customHeight="1" x14ac:dyDescent="0.3">
      <c r="A14" s="15">
        <v>9</v>
      </c>
      <c r="B14" s="61">
        <v>45910</v>
      </c>
      <c r="C14" s="45" t="s">
        <v>132</v>
      </c>
      <c r="D14" s="24" t="s">
        <v>33</v>
      </c>
      <c r="E14" s="57" t="s">
        <v>248</v>
      </c>
      <c r="F14" s="46"/>
      <c r="G14" s="46">
        <v>32200</v>
      </c>
      <c r="H14" s="47"/>
      <c r="I14" s="48"/>
      <c r="J14" s="62"/>
      <c r="K14" s="21"/>
      <c r="L14" s="93"/>
      <c r="M14" s="17" t="s">
        <v>95</v>
      </c>
      <c r="N14" s="17"/>
      <c r="O14" s="22">
        <f t="shared" si="0"/>
        <v>0</v>
      </c>
      <c r="P14" s="22">
        <f t="shared" si="1"/>
        <v>0</v>
      </c>
      <c r="Q14" s="22">
        <f t="shared" si="2"/>
        <v>0</v>
      </c>
      <c r="R14" s="104"/>
      <c r="S14" s="105"/>
      <c r="T14" s="106"/>
      <c r="U14" s="23">
        <f t="shared" si="3"/>
        <v>0</v>
      </c>
      <c r="V14" s="21"/>
      <c r="W14" s="86">
        <f>U16+U17</f>
        <v>1391680</v>
      </c>
    </row>
    <row r="15" spans="1:23" ht="18" customHeight="1" x14ac:dyDescent="0.3">
      <c r="A15" s="15">
        <v>10</v>
      </c>
      <c r="B15" s="61">
        <v>45910</v>
      </c>
      <c r="C15" s="45" t="s">
        <v>274</v>
      </c>
      <c r="D15" s="17" t="s">
        <v>140</v>
      </c>
      <c r="E15" s="57" t="s">
        <v>275</v>
      </c>
      <c r="F15" s="46"/>
      <c r="G15" s="46"/>
      <c r="H15" s="47">
        <v>180000</v>
      </c>
      <c r="I15" s="48"/>
      <c r="J15" s="62"/>
      <c r="K15" s="21"/>
      <c r="L15" s="93"/>
      <c r="M15" s="17" t="s">
        <v>92</v>
      </c>
      <c r="N15" s="17"/>
      <c r="O15" s="22">
        <f t="shared" si="0"/>
        <v>0</v>
      </c>
      <c r="P15" s="22">
        <f t="shared" si="1"/>
        <v>0</v>
      </c>
      <c r="Q15" s="22">
        <f t="shared" si="2"/>
        <v>0</v>
      </c>
      <c r="R15" s="104"/>
      <c r="S15" s="105"/>
      <c r="T15" s="106"/>
      <c r="U15" s="23">
        <f t="shared" si="3"/>
        <v>0</v>
      </c>
      <c r="V15" s="21"/>
    </row>
    <row r="16" spans="1:23" ht="18" customHeight="1" x14ac:dyDescent="0.3">
      <c r="A16" s="15">
        <v>11</v>
      </c>
      <c r="B16" s="63">
        <v>45913</v>
      </c>
      <c r="C16" s="59" t="s">
        <v>228</v>
      </c>
      <c r="D16" s="17" t="s">
        <v>82</v>
      </c>
      <c r="E16" s="59" t="s">
        <v>269</v>
      </c>
      <c r="F16" s="60"/>
      <c r="G16" s="60"/>
      <c r="H16" s="64">
        <v>3168000</v>
      </c>
      <c r="I16" s="59"/>
      <c r="J16" s="62" t="s">
        <v>265</v>
      </c>
      <c r="K16" s="21"/>
      <c r="L16" s="93"/>
      <c r="M16" s="17" t="s">
        <v>83</v>
      </c>
      <c r="N16" s="17" t="s">
        <v>30</v>
      </c>
      <c r="O16" s="22">
        <f t="shared" si="0"/>
        <v>0</v>
      </c>
      <c r="P16" s="22">
        <f t="shared" si="1"/>
        <v>40000</v>
      </c>
      <c r="Q16" s="22">
        <f t="shared" si="2"/>
        <v>0</v>
      </c>
      <c r="R16" s="92"/>
      <c r="S16" s="92"/>
      <c r="T16" s="92"/>
      <c r="U16" s="55">
        <f t="shared" si="3"/>
        <v>40000</v>
      </c>
      <c r="V16" s="21"/>
      <c r="W16" s="87">
        <v>180000</v>
      </c>
    </row>
    <row r="17" spans="1:23" ht="18" customHeight="1" x14ac:dyDescent="0.3">
      <c r="A17" s="15">
        <v>12</v>
      </c>
      <c r="B17" s="63">
        <v>45914</v>
      </c>
      <c r="C17" s="59" t="s">
        <v>138</v>
      </c>
      <c r="D17" s="24" t="s">
        <v>33</v>
      </c>
      <c r="E17" s="59" t="s">
        <v>249</v>
      </c>
      <c r="F17" s="60"/>
      <c r="G17" s="64">
        <v>61600</v>
      </c>
      <c r="H17" s="64"/>
      <c r="I17" s="59"/>
      <c r="J17" s="62"/>
      <c r="K17" s="21"/>
      <c r="L17" s="93"/>
      <c r="M17" s="17" t="s">
        <v>93</v>
      </c>
      <c r="N17" s="17"/>
      <c r="O17" s="22">
        <f t="shared" si="0"/>
        <v>0</v>
      </c>
      <c r="P17" s="22">
        <f t="shared" si="1"/>
        <v>0</v>
      </c>
      <c r="Q17" s="22">
        <f t="shared" si="2"/>
        <v>1351680</v>
      </c>
      <c r="R17" s="92"/>
      <c r="S17" s="92"/>
      <c r="T17" s="92"/>
      <c r="U17" s="55">
        <f t="shared" si="3"/>
        <v>1351680</v>
      </c>
      <c r="V17" s="21"/>
      <c r="W17" s="87">
        <v>526200</v>
      </c>
    </row>
    <row r="18" spans="1:23" ht="18" customHeight="1" x14ac:dyDescent="0.3">
      <c r="A18" s="15">
        <v>13</v>
      </c>
      <c r="B18" s="63">
        <v>45914</v>
      </c>
      <c r="C18" s="59" t="s">
        <v>244</v>
      </c>
      <c r="D18" s="24" t="s">
        <v>83</v>
      </c>
      <c r="E18" s="59" t="s">
        <v>245</v>
      </c>
      <c r="F18" s="60"/>
      <c r="G18" s="60">
        <v>11800</v>
      </c>
      <c r="H18" s="64"/>
      <c r="I18" s="59"/>
      <c r="J18" s="62" t="s">
        <v>246</v>
      </c>
      <c r="K18" s="21"/>
      <c r="L18" s="25" t="s">
        <v>31</v>
      </c>
      <c r="M18" s="17" t="s">
        <v>88</v>
      </c>
      <c r="N18" s="17"/>
      <c r="O18" s="22">
        <f t="shared" si="0"/>
        <v>0</v>
      </c>
      <c r="P18" s="22">
        <f t="shared" si="1"/>
        <v>0</v>
      </c>
      <c r="Q18" s="22">
        <f t="shared" si="2"/>
        <v>793190</v>
      </c>
      <c r="R18" s="92"/>
      <c r="S18" s="92"/>
      <c r="T18" s="92"/>
      <c r="U18" s="55">
        <f t="shared" si="3"/>
        <v>793190</v>
      </c>
      <c r="V18" s="21"/>
      <c r="W18" s="86">
        <v>23400</v>
      </c>
    </row>
    <row r="19" spans="1:23" ht="18" customHeight="1" x14ac:dyDescent="0.3">
      <c r="A19" s="15">
        <v>14</v>
      </c>
      <c r="B19" s="63">
        <v>45915</v>
      </c>
      <c r="C19" s="59" t="s">
        <v>120</v>
      </c>
      <c r="D19" s="50" t="s">
        <v>93</v>
      </c>
      <c r="E19" s="88" t="s">
        <v>257</v>
      </c>
      <c r="F19" s="84"/>
      <c r="G19" s="84"/>
      <c r="H19" s="64">
        <v>294780</v>
      </c>
      <c r="I19" s="59"/>
      <c r="J19" s="62" t="s">
        <v>259</v>
      </c>
      <c r="K19" s="21"/>
      <c r="L19" s="25" t="s">
        <v>32</v>
      </c>
      <c r="M19" s="17" t="s">
        <v>33</v>
      </c>
      <c r="N19" s="17"/>
      <c r="O19" s="22">
        <f t="shared" si="0"/>
        <v>0</v>
      </c>
      <c r="P19" s="22">
        <f t="shared" si="1"/>
        <v>211600</v>
      </c>
      <c r="Q19" s="22">
        <f t="shared" si="2"/>
        <v>900000</v>
      </c>
      <c r="R19" s="92"/>
      <c r="S19" s="92"/>
      <c r="T19" s="92"/>
      <c r="U19" s="55">
        <f t="shared" si="3"/>
        <v>1111600</v>
      </c>
      <c r="V19" s="21"/>
      <c r="W19" s="87">
        <v>145450</v>
      </c>
    </row>
    <row r="20" spans="1:23" ht="18" customHeight="1" x14ac:dyDescent="0.3">
      <c r="A20" s="15">
        <v>15</v>
      </c>
      <c r="B20" s="63">
        <v>45915</v>
      </c>
      <c r="C20" s="59" t="s">
        <v>132</v>
      </c>
      <c r="D20" s="24" t="s">
        <v>33</v>
      </c>
      <c r="E20" s="59" t="s">
        <v>250</v>
      </c>
      <c r="F20" s="60"/>
      <c r="G20" s="60">
        <v>87000</v>
      </c>
      <c r="H20" s="64"/>
      <c r="I20" s="59"/>
      <c r="J20" s="62" t="s">
        <v>251</v>
      </c>
      <c r="K20" s="21"/>
      <c r="L20" s="25" t="s">
        <v>34</v>
      </c>
      <c r="M20" s="17" t="s">
        <v>72</v>
      </c>
      <c r="N20" s="17"/>
      <c r="O20" s="22">
        <f t="shared" si="0"/>
        <v>0</v>
      </c>
      <c r="P20" s="22">
        <f t="shared" si="1"/>
        <v>0</v>
      </c>
      <c r="Q20" s="22">
        <f t="shared" si="2"/>
        <v>1000000</v>
      </c>
      <c r="R20" s="104"/>
      <c r="S20" s="105"/>
      <c r="T20" s="106"/>
      <c r="U20" s="55">
        <f t="shared" si="3"/>
        <v>1000000</v>
      </c>
      <c r="V20" s="21"/>
      <c r="W20" s="87">
        <v>294780</v>
      </c>
    </row>
    <row r="21" spans="1:23" ht="18" customHeight="1" x14ac:dyDescent="0.3">
      <c r="A21" s="15">
        <v>16</v>
      </c>
      <c r="B21" s="63">
        <v>45915</v>
      </c>
      <c r="C21" s="59" t="s">
        <v>215</v>
      </c>
      <c r="D21" s="17" t="s">
        <v>80</v>
      </c>
      <c r="E21" s="59"/>
      <c r="F21" s="60"/>
      <c r="G21" s="60"/>
      <c r="H21" s="64">
        <v>275460</v>
      </c>
      <c r="I21" s="59"/>
      <c r="J21" s="62"/>
      <c r="K21" s="21"/>
      <c r="L21" s="93" t="s">
        <v>35</v>
      </c>
      <c r="M21" s="17" t="s">
        <v>240</v>
      </c>
      <c r="N21" s="17" t="s">
        <v>104</v>
      </c>
      <c r="O21" s="22">
        <f t="shared" si="0"/>
        <v>0</v>
      </c>
      <c r="P21" s="22">
        <f t="shared" si="1"/>
        <v>0</v>
      </c>
      <c r="Q21" s="22">
        <f t="shared" si="2"/>
        <v>440000</v>
      </c>
      <c r="R21" s="92"/>
      <c r="S21" s="92"/>
      <c r="T21" s="92"/>
      <c r="U21" s="55">
        <f t="shared" si="3"/>
        <v>440000</v>
      </c>
      <c r="V21" s="21"/>
      <c r="W21" s="86">
        <v>75200</v>
      </c>
    </row>
    <row r="22" spans="1:23" ht="18" customHeight="1" x14ac:dyDescent="0.3">
      <c r="A22" s="15">
        <v>17</v>
      </c>
      <c r="B22" s="63">
        <v>45915</v>
      </c>
      <c r="C22" s="59" t="s">
        <v>270</v>
      </c>
      <c r="D22" s="17" t="s">
        <v>33</v>
      </c>
      <c r="E22" s="59" t="s">
        <v>271</v>
      </c>
      <c r="F22" s="60"/>
      <c r="G22" s="60"/>
      <c r="H22" s="64">
        <v>900000</v>
      </c>
      <c r="I22" s="59"/>
      <c r="J22" s="65" t="s">
        <v>317</v>
      </c>
      <c r="K22" s="21"/>
      <c r="L22" s="93"/>
      <c r="M22" s="17" t="s">
        <v>140</v>
      </c>
      <c r="N22" s="17" t="s">
        <v>192</v>
      </c>
      <c r="O22" s="22">
        <f t="shared" si="0"/>
        <v>0</v>
      </c>
      <c r="P22" s="22">
        <f t="shared" si="1"/>
        <v>0</v>
      </c>
      <c r="Q22" s="22">
        <f t="shared" si="2"/>
        <v>180000</v>
      </c>
      <c r="R22" s="92"/>
      <c r="S22" s="92"/>
      <c r="T22" s="92"/>
      <c r="U22" s="55">
        <f t="shared" si="3"/>
        <v>180000</v>
      </c>
      <c r="V22" s="21"/>
      <c r="W22" s="87">
        <v>55230</v>
      </c>
    </row>
    <row r="23" spans="1:23" ht="18" customHeight="1" x14ac:dyDescent="0.3">
      <c r="A23" s="15">
        <v>18</v>
      </c>
      <c r="B23" s="63">
        <v>45916</v>
      </c>
      <c r="C23" s="59" t="s">
        <v>252</v>
      </c>
      <c r="D23" s="17" t="s">
        <v>88</v>
      </c>
      <c r="E23" s="59" t="s">
        <v>253</v>
      </c>
      <c r="F23" s="60"/>
      <c r="G23" s="60"/>
      <c r="H23" s="64">
        <v>200000</v>
      </c>
      <c r="I23" s="59"/>
      <c r="J23" s="62" t="s">
        <v>254</v>
      </c>
      <c r="K23" s="21"/>
      <c r="L23" s="93"/>
      <c r="M23" s="17" t="s">
        <v>75</v>
      </c>
      <c r="N23" s="17"/>
      <c r="O23" s="22">
        <f t="shared" si="0"/>
        <v>0</v>
      </c>
      <c r="P23" s="22">
        <f t="shared" si="1"/>
        <v>0</v>
      </c>
      <c r="Q23" s="22">
        <f t="shared" si="2"/>
        <v>0</v>
      </c>
      <c r="R23" s="92"/>
      <c r="S23" s="92"/>
      <c r="T23" s="92"/>
      <c r="U23" s="23">
        <f t="shared" si="3"/>
        <v>0</v>
      </c>
      <c r="V23" s="21"/>
      <c r="W23" s="87">
        <v>51120</v>
      </c>
    </row>
    <row r="24" spans="1:23" ht="18" customHeight="1" x14ac:dyDescent="0.3">
      <c r="A24" s="15">
        <v>19</v>
      </c>
      <c r="B24" s="63">
        <v>45920</v>
      </c>
      <c r="C24" s="59" t="s">
        <v>185</v>
      </c>
      <c r="D24" s="17" t="s">
        <v>83</v>
      </c>
      <c r="E24" s="59" t="s">
        <v>255</v>
      </c>
      <c r="F24" s="60"/>
      <c r="G24" s="60">
        <v>21500</v>
      </c>
      <c r="H24" s="64"/>
      <c r="I24" s="59"/>
      <c r="J24" s="62"/>
      <c r="K24" s="21"/>
      <c r="L24" s="93"/>
      <c r="M24" s="17" t="s">
        <v>39</v>
      </c>
      <c r="N24" s="17"/>
      <c r="O24" s="22">
        <f t="shared" si="0"/>
        <v>0</v>
      </c>
      <c r="P24" s="22">
        <f t="shared" si="1"/>
        <v>0</v>
      </c>
      <c r="Q24" s="22">
        <f t="shared" si="2"/>
        <v>3032850</v>
      </c>
      <c r="R24" s="92"/>
      <c r="S24" s="92"/>
      <c r="T24" s="92"/>
      <c r="U24" s="55">
        <f t="shared" si="3"/>
        <v>3032850</v>
      </c>
      <c r="V24" s="21"/>
      <c r="W24" s="87">
        <f>SUM(U24:U26)</f>
        <v>6399424</v>
      </c>
    </row>
    <row r="25" spans="1:23" ht="18" customHeight="1" x14ac:dyDescent="0.3">
      <c r="A25" s="15">
        <v>20</v>
      </c>
      <c r="B25" s="63">
        <v>45922</v>
      </c>
      <c r="C25" s="59" t="s">
        <v>120</v>
      </c>
      <c r="D25" s="50" t="s">
        <v>93</v>
      </c>
      <c r="E25" s="83" t="s">
        <v>257</v>
      </c>
      <c r="F25" s="84"/>
      <c r="G25" s="84"/>
      <c r="H25" s="84">
        <v>55230</v>
      </c>
      <c r="I25" s="59"/>
      <c r="J25" s="62" t="s">
        <v>260</v>
      </c>
      <c r="K25" s="21"/>
      <c r="L25" s="93"/>
      <c r="M25" s="17" t="s">
        <v>40</v>
      </c>
      <c r="N25" s="17"/>
      <c r="O25" s="22">
        <f t="shared" si="0"/>
        <v>0</v>
      </c>
      <c r="P25" s="22">
        <f t="shared" si="1"/>
        <v>0</v>
      </c>
      <c r="Q25" s="22">
        <f t="shared" si="2"/>
        <v>949250</v>
      </c>
      <c r="R25" s="92"/>
      <c r="S25" s="92"/>
      <c r="T25" s="92"/>
      <c r="U25" s="55">
        <f t="shared" si="3"/>
        <v>949250</v>
      </c>
      <c r="V25" s="21"/>
    </row>
    <row r="26" spans="1:23" ht="18" customHeight="1" x14ac:dyDescent="0.3">
      <c r="A26" s="15">
        <v>21</v>
      </c>
      <c r="B26" s="63">
        <v>45923</v>
      </c>
      <c r="C26" s="59" t="s">
        <v>120</v>
      </c>
      <c r="D26" s="50" t="s">
        <v>93</v>
      </c>
      <c r="E26" s="83" t="s">
        <v>257</v>
      </c>
      <c r="F26" s="84"/>
      <c r="G26" s="84"/>
      <c r="H26" s="84">
        <v>51120</v>
      </c>
      <c r="I26" s="59"/>
      <c r="J26" s="62" t="s">
        <v>261</v>
      </c>
      <c r="K26" s="21"/>
      <c r="L26" s="93"/>
      <c r="M26" s="17" t="s">
        <v>41</v>
      </c>
      <c r="N26" s="17"/>
      <c r="O26" s="22">
        <f t="shared" si="0"/>
        <v>0</v>
      </c>
      <c r="P26" s="22">
        <f t="shared" si="1"/>
        <v>0</v>
      </c>
      <c r="Q26" s="22">
        <f t="shared" si="2"/>
        <v>2417324</v>
      </c>
      <c r="R26" s="92"/>
      <c r="S26" s="92"/>
      <c r="T26" s="92"/>
      <c r="U26" s="55">
        <f t="shared" si="3"/>
        <v>2417324</v>
      </c>
      <c r="V26" s="21"/>
      <c r="W26" s="86">
        <v>23400</v>
      </c>
    </row>
    <row r="27" spans="1:23" ht="18" customHeight="1" x14ac:dyDescent="0.3">
      <c r="A27" s="15">
        <v>22</v>
      </c>
      <c r="B27" s="82">
        <v>45923</v>
      </c>
      <c r="C27" s="83" t="s">
        <v>266</v>
      </c>
      <c r="D27" s="50" t="s">
        <v>136</v>
      </c>
      <c r="E27" s="83" t="s">
        <v>268</v>
      </c>
      <c r="F27" s="84"/>
      <c r="G27" s="84"/>
      <c r="H27" s="84">
        <v>8027830</v>
      </c>
      <c r="I27" s="83"/>
      <c r="J27" s="85" t="s">
        <v>267</v>
      </c>
      <c r="K27" s="21"/>
      <c r="L27" s="93"/>
      <c r="M27" s="17" t="s">
        <v>77</v>
      </c>
      <c r="N27" s="17"/>
      <c r="O27" s="22">
        <f t="shared" si="0"/>
        <v>0</v>
      </c>
      <c r="P27" s="22">
        <f t="shared" si="1"/>
        <v>0</v>
      </c>
      <c r="Q27" s="22">
        <f t="shared" si="2"/>
        <v>0</v>
      </c>
      <c r="R27" s="92"/>
      <c r="S27" s="92"/>
      <c r="T27" s="92"/>
      <c r="U27" s="23">
        <f t="shared" si="3"/>
        <v>0</v>
      </c>
      <c r="V27" s="21"/>
      <c r="W27" s="86">
        <v>75200</v>
      </c>
    </row>
    <row r="28" spans="1:23" ht="18" customHeight="1" x14ac:dyDescent="0.3">
      <c r="A28" s="15">
        <v>23</v>
      </c>
      <c r="B28" s="63"/>
      <c r="C28" s="59"/>
      <c r="D28" s="17"/>
      <c r="E28" s="59"/>
      <c r="F28" s="60"/>
      <c r="G28" s="60"/>
      <c r="H28" s="60"/>
      <c r="I28" s="59"/>
      <c r="J28" s="62"/>
      <c r="K28" s="21"/>
      <c r="L28" s="93"/>
      <c r="M28" s="17" t="s">
        <v>78</v>
      </c>
      <c r="N28" s="17"/>
      <c r="O28" s="22">
        <f t="shared" si="0"/>
        <v>0</v>
      </c>
      <c r="P28" s="22">
        <f t="shared" si="1"/>
        <v>0</v>
      </c>
      <c r="Q28" s="22">
        <f t="shared" si="2"/>
        <v>0</v>
      </c>
      <c r="R28" s="92"/>
      <c r="S28" s="92"/>
      <c r="T28" s="92"/>
      <c r="U28" s="23">
        <f t="shared" si="3"/>
        <v>0</v>
      </c>
      <c r="V28" s="21"/>
    </row>
    <row r="29" spans="1:23" ht="18" customHeight="1" x14ac:dyDescent="0.3">
      <c r="A29" s="15">
        <v>24</v>
      </c>
      <c r="B29" s="63">
        <v>45925</v>
      </c>
      <c r="C29" s="59" t="s">
        <v>138</v>
      </c>
      <c r="D29" s="24" t="s">
        <v>33</v>
      </c>
      <c r="E29" s="59" t="s">
        <v>256</v>
      </c>
      <c r="F29" s="60"/>
      <c r="G29" s="60">
        <v>30800</v>
      </c>
      <c r="H29" s="64"/>
      <c r="I29" s="59"/>
      <c r="J29" s="62"/>
      <c r="K29" s="21"/>
      <c r="L29" s="93"/>
      <c r="M29" s="17" t="s">
        <v>86</v>
      </c>
      <c r="N29" s="17"/>
      <c r="O29" s="22">
        <f t="shared" si="0"/>
        <v>0</v>
      </c>
      <c r="P29" s="22">
        <f t="shared" si="1"/>
        <v>0</v>
      </c>
      <c r="Q29" s="22">
        <f t="shared" si="2"/>
        <v>2639439</v>
      </c>
      <c r="R29" s="92"/>
      <c r="S29" s="92"/>
      <c r="T29" s="92"/>
      <c r="U29" s="55">
        <f t="shared" si="3"/>
        <v>2639439</v>
      </c>
      <c r="V29" s="21"/>
    </row>
    <row r="30" spans="1:23" ht="18" customHeight="1" x14ac:dyDescent="0.3">
      <c r="A30" s="15">
        <v>25</v>
      </c>
      <c r="B30" s="63"/>
      <c r="C30" s="17" t="s">
        <v>276</v>
      </c>
      <c r="D30" s="17" t="s">
        <v>194</v>
      </c>
      <c r="E30" s="59" t="s">
        <v>284</v>
      </c>
      <c r="F30" s="60"/>
      <c r="G30" s="60"/>
      <c r="H30" s="60">
        <v>3609290</v>
      </c>
      <c r="I30" s="59"/>
      <c r="J30" s="62"/>
      <c r="K30" s="21"/>
      <c r="L30" s="93"/>
      <c r="M30" s="17" t="s">
        <v>94</v>
      </c>
      <c r="N30" s="17" t="s">
        <v>42</v>
      </c>
      <c r="O30" s="22">
        <f t="shared" si="0"/>
        <v>0</v>
      </c>
      <c r="P30" s="22">
        <f t="shared" si="1"/>
        <v>0</v>
      </c>
      <c r="Q30" s="22">
        <f t="shared" si="2"/>
        <v>5037000</v>
      </c>
      <c r="R30" s="92"/>
      <c r="S30" s="92"/>
      <c r="T30" s="92"/>
      <c r="U30" s="55">
        <f t="shared" si="3"/>
        <v>5037000</v>
      </c>
      <c r="V30" s="21"/>
    </row>
    <row r="31" spans="1:23" ht="18" customHeight="1" x14ac:dyDescent="0.3">
      <c r="A31" s="15">
        <v>26</v>
      </c>
      <c r="B31" s="63"/>
      <c r="C31" s="17" t="s">
        <v>277</v>
      </c>
      <c r="D31" s="17" t="s">
        <v>194</v>
      </c>
      <c r="E31" s="59" t="s">
        <v>284</v>
      </c>
      <c r="F31" s="60"/>
      <c r="G31" s="60"/>
      <c r="H31" s="60">
        <v>2711850</v>
      </c>
      <c r="I31" s="59"/>
      <c r="J31" s="62"/>
      <c r="K31" s="21"/>
      <c r="L31" s="93"/>
      <c r="M31" s="17" t="s">
        <v>43</v>
      </c>
      <c r="N31" s="17" t="s">
        <v>44</v>
      </c>
      <c r="O31" s="22">
        <f t="shared" si="0"/>
        <v>0</v>
      </c>
      <c r="P31" s="22">
        <f t="shared" si="1"/>
        <v>0</v>
      </c>
      <c r="Q31" s="22">
        <f t="shared" si="2"/>
        <v>0</v>
      </c>
      <c r="R31" s="92"/>
      <c r="S31" s="92"/>
      <c r="T31" s="92"/>
      <c r="U31" s="23">
        <f t="shared" si="3"/>
        <v>0</v>
      </c>
      <c r="V31" s="21"/>
    </row>
    <row r="32" spans="1:23" ht="18" customHeight="1" x14ac:dyDescent="0.3">
      <c r="A32" s="15">
        <v>27</v>
      </c>
      <c r="B32" s="63"/>
      <c r="C32" s="17" t="s">
        <v>278</v>
      </c>
      <c r="D32" s="17" t="s">
        <v>194</v>
      </c>
      <c r="E32" s="59" t="s">
        <v>284</v>
      </c>
      <c r="F32" s="60"/>
      <c r="G32" s="60"/>
      <c r="H32" s="60">
        <v>2755400</v>
      </c>
      <c r="I32" s="59"/>
      <c r="J32" s="62"/>
      <c r="K32" s="21"/>
      <c r="L32" s="93"/>
      <c r="M32" s="17" t="s">
        <v>45</v>
      </c>
      <c r="N32" s="17" t="s">
        <v>46</v>
      </c>
      <c r="O32" s="22">
        <f t="shared" si="0"/>
        <v>0</v>
      </c>
      <c r="P32" s="22">
        <f t="shared" si="1"/>
        <v>0</v>
      </c>
      <c r="Q32" s="22">
        <f t="shared" si="2"/>
        <v>0</v>
      </c>
      <c r="R32" s="92"/>
      <c r="S32" s="92"/>
      <c r="T32" s="92"/>
      <c r="U32" s="23">
        <f t="shared" si="3"/>
        <v>0</v>
      </c>
      <c r="V32" s="21"/>
    </row>
    <row r="33" spans="1:24" ht="18" customHeight="1" x14ac:dyDescent="0.3">
      <c r="A33" s="15">
        <v>28</v>
      </c>
      <c r="B33" s="63"/>
      <c r="C33" s="56" t="s">
        <v>279</v>
      </c>
      <c r="D33" s="17" t="s">
        <v>197</v>
      </c>
      <c r="E33" s="59" t="s">
        <v>284</v>
      </c>
      <c r="F33" s="60"/>
      <c r="G33" s="60"/>
      <c r="H33" s="60">
        <v>2251650</v>
      </c>
      <c r="I33" s="59"/>
      <c r="J33" s="62"/>
      <c r="K33" s="21"/>
      <c r="L33" s="93"/>
      <c r="M33" s="17" t="s">
        <v>47</v>
      </c>
      <c r="N33" s="17"/>
      <c r="O33" s="22">
        <f t="shared" si="0"/>
        <v>0</v>
      </c>
      <c r="P33" s="22">
        <f t="shared" si="1"/>
        <v>0</v>
      </c>
      <c r="Q33" s="22">
        <f t="shared" si="2"/>
        <v>0</v>
      </c>
      <c r="R33" s="92"/>
      <c r="S33" s="92"/>
      <c r="T33" s="92"/>
      <c r="U33" s="23">
        <f t="shared" si="3"/>
        <v>0</v>
      </c>
      <c r="V33" s="21"/>
    </row>
    <row r="34" spans="1:24" ht="18" customHeight="1" x14ac:dyDescent="0.3">
      <c r="A34" s="15">
        <v>29</v>
      </c>
      <c r="B34" s="63"/>
      <c r="C34" s="56" t="s">
        <v>280</v>
      </c>
      <c r="D34" s="17" t="s">
        <v>197</v>
      </c>
      <c r="E34" s="59" t="s">
        <v>284</v>
      </c>
      <c r="F34" s="60"/>
      <c r="G34" s="60"/>
      <c r="H34" s="60">
        <v>2417500</v>
      </c>
      <c r="I34" s="59"/>
      <c r="J34" s="62"/>
      <c r="K34" s="21"/>
      <c r="L34" s="93"/>
      <c r="M34" s="17" t="s">
        <v>205</v>
      </c>
      <c r="N34" s="17"/>
      <c r="O34" s="22">
        <f t="shared" si="0"/>
        <v>0</v>
      </c>
      <c r="P34" s="22">
        <f t="shared" si="1"/>
        <v>0</v>
      </c>
      <c r="Q34" s="22">
        <f t="shared" si="2"/>
        <v>18955000</v>
      </c>
      <c r="R34" s="92"/>
      <c r="S34" s="92"/>
      <c r="T34" s="92"/>
      <c r="U34" s="55">
        <f t="shared" si="3"/>
        <v>18955000</v>
      </c>
      <c r="V34" s="21"/>
    </row>
    <row r="35" spans="1:24" ht="18" customHeight="1" x14ac:dyDescent="0.3">
      <c r="A35" s="15">
        <v>30</v>
      </c>
      <c r="B35" s="63"/>
      <c r="C35" s="56" t="s">
        <v>281</v>
      </c>
      <c r="D35" s="17" t="s">
        <v>197</v>
      </c>
      <c r="E35" s="59" t="s">
        <v>284</v>
      </c>
      <c r="F35" s="60"/>
      <c r="G35" s="60"/>
      <c r="H35" s="60">
        <v>1574620</v>
      </c>
      <c r="I35" s="59"/>
      <c r="J35" s="62"/>
      <c r="K35" s="21"/>
      <c r="L35" s="93" t="s">
        <v>49</v>
      </c>
      <c r="M35" s="17" t="s">
        <v>50</v>
      </c>
      <c r="N35" s="17"/>
      <c r="O35" s="22">
        <f t="shared" si="0"/>
        <v>0</v>
      </c>
      <c r="P35" s="22">
        <f t="shared" si="1"/>
        <v>0</v>
      </c>
      <c r="Q35" s="22">
        <f t="shared" si="2"/>
        <v>0</v>
      </c>
      <c r="R35" s="92"/>
      <c r="S35" s="92"/>
      <c r="T35" s="92"/>
      <c r="U35" s="23">
        <f t="shared" si="3"/>
        <v>0</v>
      </c>
      <c r="V35" s="21"/>
      <c r="W35" s="86">
        <v>3900000</v>
      </c>
      <c r="X35" s="90">
        <f>W35/12</f>
        <v>325000</v>
      </c>
    </row>
    <row r="36" spans="1:24" ht="18" customHeight="1" x14ac:dyDescent="0.3">
      <c r="A36" s="15">
        <v>31</v>
      </c>
      <c r="B36" s="63"/>
      <c r="C36" s="17" t="s">
        <v>283</v>
      </c>
      <c r="D36" s="17" t="s">
        <v>24</v>
      </c>
      <c r="E36" s="59" t="s">
        <v>284</v>
      </c>
      <c r="F36" s="60"/>
      <c r="G36" s="60"/>
      <c r="H36" s="60">
        <v>1508520</v>
      </c>
      <c r="I36" s="59"/>
      <c r="J36" s="62"/>
      <c r="K36" s="21"/>
      <c r="L36" s="93"/>
      <c r="M36" s="17" t="s">
        <v>273</v>
      </c>
      <c r="N36" s="17"/>
      <c r="O36" s="22">
        <f t="shared" si="0"/>
        <v>0</v>
      </c>
      <c r="P36" s="22">
        <f t="shared" si="1"/>
        <v>11000</v>
      </c>
      <c r="Q36" s="22">
        <f t="shared" si="2"/>
        <v>0</v>
      </c>
      <c r="R36" s="92" t="s">
        <v>38</v>
      </c>
      <c r="S36" s="92"/>
      <c r="T36" s="92"/>
      <c r="U36" s="55">
        <f t="shared" si="3"/>
        <v>11000</v>
      </c>
      <c r="V36" s="21"/>
      <c r="W36" s="86">
        <v>3100000</v>
      </c>
      <c r="X36" s="90">
        <f t="shared" ref="X36:X40" si="4">W36/12</f>
        <v>258333.33333333334</v>
      </c>
    </row>
    <row r="37" spans="1:24" ht="18" customHeight="1" x14ac:dyDescent="0.3">
      <c r="A37" s="15">
        <v>32</v>
      </c>
      <c r="B37" s="63">
        <v>45925</v>
      </c>
      <c r="C37" s="73" t="s">
        <v>107</v>
      </c>
      <c r="D37" s="79" t="s">
        <v>81</v>
      </c>
      <c r="E37" s="73" t="s">
        <v>286</v>
      </c>
      <c r="F37" s="66"/>
      <c r="G37" s="66"/>
      <c r="H37" s="66">
        <v>3190000</v>
      </c>
      <c r="I37" s="59"/>
      <c r="J37" s="62"/>
      <c r="K37" s="21"/>
      <c r="L37" s="93"/>
      <c r="M37" s="17" t="s">
        <v>85</v>
      </c>
      <c r="N37" s="17"/>
      <c r="O37" s="22">
        <f t="shared" si="0"/>
        <v>0</v>
      </c>
      <c r="P37" s="22">
        <f t="shared" si="1"/>
        <v>0</v>
      </c>
      <c r="Q37" s="22">
        <f t="shared" si="2"/>
        <v>0</v>
      </c>
      <c r="R37" s="92"/>
      <c r="S37" s="92"/>
      <c r="T37" s="92"/>
      <c r="U37" s="23">
        <f t="shared" si="3"/>
        <v>0</v>
      </c>
      <c r="V37" s="21"/>
      <c r="W37" s="86">
        <v>2900000</v>
      </c>
      <c r="X37" s="90">
        <f t="shared" si="4"/>
        <v>241666.66666666666</v>
      </c>
    </row>
    <row r="38" spans="1:24" ht="18" customHeight="1" x14ac:dyDescent="0.3">
      <c r="A38" s="15">
        <v>33</v>
      </c>
      <c r="B38" s="63">
        <v>45903</v>
      </c>
      <c r="C38" s="73" t="s">
        <v>287</v>
      </c>
      <c r="D38" s="17" t="s">
        <v>88</v>
      </c>
      <c r="E38" s="73" t="s">
        <v>110</v>
      </c>
      <c r="F38" s="66"/>
      <c r="G38" s="67"/>
      <c r="H38" s="68">
        <v>446000</v>
      </c>
      <c r="I38" s="59"/>
      <c r="J38" s="62" t="s">
        <v>288</v>
      </c>
      <c r="K38" s="21"/>
      <c r="L38" s="93"/>
      <c r="M38" s="17" t="s">
        <v>51</v>
      </c>
      <c r="N38" s="17"/>
      <c r="O38" s="22">
        <f t="shared" ref="O38:O58" si="5">SUMIF($D$6:$D$133,$M38,$F$6:$F$133)</f>
        <v>0</v>
      </c>
      <c r="P38" s="22">
        <f t="shared" ref="P38:P58" si="6">SUMIF($D$6:$D$133,$M38,$G$6:$G$133)</f>
        <v>0</v>
      </c>
      <c r="Q38" s="22">
        <f t="shared" ref="Q38:Q58" si="7">SUMIF($D$6:$D$133,$M38,$H$6:$H$133)</f>
        <v>705500</v>
      </c>
      <c r="R38" s="92"/>
      <c r="S38" s="92"/>
      <c r="T38" s="92"/>
      <c r="U38" s="55">
        <f t="shared" si="3"/>
        <v>705500</v>
      </c>
      <c r="V38" s="21"/>
      <c r="W38" s="86">
        <v>2500000</v>
      </c>
      <c r="X38" s="90">
        <f t="shared" si="4"/>
        <v>208333.33333333334</v>
      </c>
    </row>
    <row r="39" spans="1:24" ht="18" customHeight="1" x14ac:dyDescent="0.3">
      <c r="A39" s="15">
        <v>34</v>
      </c>
      <c r="B39" s="72"/>
      <c r="C39" s="73" t="s">
        <v>290</v>
      </c>
      <c r="D39" s="17" t="s">
        <v>72</v>
      </c>
      <c r="E39" s="73" t="s">
        <v>289</v>
      </c>
      <c r="F39" s="66"/>
      <c r="G39" s="66"/>
      <c r="H39" s="68">
        <v>1000000</v>
      </c>
      <c r="I39" s="60">
        <f>H39+H40+H41+H42+H58++H55+H13+H22+H38</f>
        <v>11213090</v>
      </c>
      <c r="J39" s="65" t="s">
        <v>317</v>
      </c>
      <c r="K39" s="21"/>
      <c r="L39" s="93"/>
      <c r="M39" s="17" t="s">
        <v>239</v>
      </c>
      <c r="N39" s="17" t="s">
        <v>190</v>
      </c>
      <c r="O39" s="22">
        <f t="shared" si="5"/>
        <v>0</v>
      </c>
      <c r="P39" s="22">
        <f t="shared" si="6"/>
        <v>0</v>
      </c>
      <c r="Q39" s="22">
        <f t="shared" si="7"/>
        <v>220000</v>
      </c>
      <c r="R39" s="104"/>
      <c r="S39" s="105"/>
      <c r="T39" s="106"/>
      <c r="U39" s="55">
        <f t="shared" si="3"/>
        <v>220000</v>
      </c>
      <c r="V39" s="21"/>
      <c r="W39" s="86">
        <v>2500000</v>
      </c>
      <c r="X39" s="90">
        <f t="shared" si="4"/>
        <v>208333.33333333334</v>
      </c>
    </row>
    <row r="40" spans="1:24" ht="18" customHeight="1" x14ac:dyDescent="0.3">
      <c r="A40" s="15">
        <v>35</v>
      </c>
      <c r="B40" s="63">
        <v>45925</v>
      </c>
      <c r="C40" s="73" t="s">
        <v>110</v>
      </c>
      <c r="D40" s="17" t="s">
        <v>88</v>
      </c>
      <c r="E40" s="73" t="s">
        <v>110</v>
      </c>
      <c r="F40" s="66"/>
      <c r="G40" s="66"/>
      <c r="H40" s="68">
        <v>15190</v>
      </c>
      <c r="I40" s="59"/>
      <c r="J40" s="65" t="s">
        <v>317</v>
      </c>
      <c r="K40" s="21"/>
      <c r="L40" s="93"/>
      <c r="M40" s="17" t="s">
        <v>52</v>
      </c>
      <c r="N40" s="17"/>
      <c r="O40" s="22">
        <f t="shared" si="5"/>
        <v>0</v>
      </c>
      <c r="P40" s="22">
        <f t="shared" si="6"/>
        <v>0</v>
      </c>
      <c r="Q40" s="22">
        <f t="shared" si="7"/>
        <v>0</v>
      </c>
      <c r="R40" s="92"/>
      <c r="S40" s="92"/>
      <c r="T40" s="92"/>
      <c r="U40" s="23">
        <f t="shared" si="3"/>
        <v>0</v>
      </c>
      <c r="V40" s="21"/>
      <c r="W40" s="86">
        <v>2500000</v>
      </c>
      <c r="X40" s="90">
        <f t="shared" si="4"/>
        <v>208333.33333333334</v>
      </c>
    </row>
    <row r="41" spans="1:24" ht="18" customHeight="1" x14ac:dyDescent="0.3">
      <c r="A41" s="15">
        <v>36</v>
      </c>
      <c r="B41" s="63">
        <v>45925</v>
      </c>
      <c r="C41" s="73" t="s">
        <v>110</v>
      </c>
      <c r="D41" s="17" t="s">
        <v>88</v>
      </c>
      <c r="E41" s="73" t="s">
        <v>110</v>
      </c>
      <c r="F41" s="66"/>
      <c r="G41" s="66"/>
      <c r="H41" s="68">
        <v>132000</v>
      </c>
      <c r="I41" s="59"/>
      <c r="J41" s="65" t="s">
        <v>317</v>
      </c>
      <c r="K41" s="21"/>
      <c r="L41" s="93" t="s">
        <v>53</v>
      </c>
      <c r="M41" s="17" t="s">
        <v>136</v>
      </c>
      <c r="N41" s="17"/>
      <c r="O41" s="22">
        <f t="shared" si="5"/>
        <v>0</v>
      </c>
      <c r="P41" s="22">
        <f t="shared" si="6"/>
        <v>0</v>
      </c>
      <c r="Q41" s="22">
        <f t="shared" si="7"/>
        <v>8027830</v>
      </c>
      <c r="R41" s="92"/>
      <c r="S41" s="92"/>
      <c r="T41" s="92"/>
      <c r="U41" s="55">
        <f t="shared" si="3"/>
        <v>8027830</v>
      </c>
      <c r="V41" s="21"/>
      <c r="X41" s="2" t="e" cm="1">
        <f t="array" ref="X41">s</f>
        <v>#NAME?</v>
      </c>
    </row>
    <row r="42" spans="1:24" ht="18" customHeight="1" x14ac:dyDescent="0.3">
      <c r="A42" s="15">
        <v>37</v>
      </c>
      <c r="B42" s="63">
        <v>45926</v>
      </c>
      <c r="C42" s="73" t="s">
        <v>128</v>
      </c>
      <c r="D42" s="17" t="s">
        <v>71</v>
      </c>
      <c r="E42" s="73" t="s">
        <v>128</v>
      </c>
      <c r="F42" s="66"/>
      <c r="G42" s="66"/>
      <c r="H42" s="68">
        <v>67500</v>
      </c>
      <c r="I42" s="59"/>
      <c r="J42" s="65" t="s">
        <v>317</v>
      </c>
      <c r="K42" s="21"/>
      <c r="L42" s="93"/>
      <c r="M42" s="17" t="s">
        <v>73</v>
      </c>
      <c r="N42" s="17"/>
      <c r="O42" s="22">
        <f t="shared" si="5"/>
        <v>0</v>
      </c>
      <c r="P42" s="22">
        <f t="shared" si="6"/>
        <v>0</v>
      </c>
      <c r="Q42" s="22">
        <f t="shared" si="7"/>
        <v>0</v>
      </c>
      <c r="R42" s="92"/>
      <c r="S42" s="92"/>
      <c r="T42" s="92"/>
      <c r="U42" s="23">
        <f t="shared" si="3"/>
        <v>0</v>
      </c>
      <c r="V42" s="21"/>
      <c r="X42" t="s">
        <v>299</v>
      </c>
    </row>
    <row r="43" spans="1:24" ht="18" customHeight="1" x14ac:dyDescent="0.3">
      <c r="A43" s="15">
        <v>38</v>
      </c>
      <c r="B43" s="63"/>
      <c r="C43" s="59" t="s">
        <v>120</v>
      </c>
      <c r="D43" s="50" t="s">
        <v>93</v>
      </c>
      <c r="E43" s="83" t="s">
        <v>257</v>
      </c>
      <c r="F43" s="66"/>
      <c r="G43" s="66"/>
      <c r="H43" s="68">
        <v>23400</v>
      </c>
      <c r="I43" s="59"/>
      <c r="J43" s="62" t="s">
        <v>300</v>
      </c>
      <c r="K43" s="21"/>
      <c r="L43" s="93"/>
      <c r="M43" s="17" t="s">
        <v>80</v>
      </c>
      <c r="N43" s="17"/>
      <c r="O43" s="22">
        <f t="shared" si="5"/>
        <v>0</v>
      </c>
      <c r="P43" s="22">
        <f t="shared" si="6"/>
        <v>0</v>
      </c>
      <c r="Q43" s="22">
        <f t="shared" si="7"/>
        <v>275460</v>
      </c>
      <c r="R43" s="92"/>
      <c r="S43" s="92"/>
      <c r="T43" s="92"/>
      <c r="U43" s="55">
        <f t="shared" si="3"/>
        <v>275460</v>
      </c>
      <c r="V43" s="21"/>
    </row>
    <row r="44" spans="1:24" ht="18" customHeight="1" x14ac:dyDescent="0.3">
      <c r="A44" s="15">
        <v>39</v>
      </c>
      <c r="B44" s="72"/>
      <c r="C44" s="59" t="s">
        <v>120</v>
      </c>
      <c r="D44" s="50" t="s">
        <v>93</v>
      </c>
      <c r="E44" s="83" t="s">
        <v>257</v>
      </c>
      <c r="F44" s="66"/>
      <c r="G44" s="66"/>
      <c r="H44" s="68">
        <v>75200</v>
      </c>
      <c r="I44" s="59"/>
      <c r="J44" s="62"/>
      <c r="K44" s="21"/>
      <c r="L44" s="93"/>
      <c r="M44" s="17" t="s">
        <v>54</v>
      </c>
      <c r="N44" s="17" t="s">
        <v>55</v>
      </c>
      <c r="O44" s="22">
        <f t="shared" si="5"/>
        <v>0</v>
      </c>
      <c r="P44" s="22">
        <f t="shared" si="6"/>
        <v>0</v>
      </c>
      <c r="Q44" s="22">
        <f t="shared" si="7"/>
        <v>0</v>
      </c>
      <c r="R44" s="92"/>
      <c r="S44" s="92"/>
      <c r="T44" s="92"/>
      <c r="U44" s="23">
        <f t="shared" si="3"/>
        <v>0</v>
      </c>
      <c r="V44" s="21"/>
      <c r="X44" s="86">
        <v>384880</v>
      </c>
    </row>
    <row r="45" spans="1:24" ht="18" customHeight="1" x14ac:dyDescent="0.3">
      <c r="A45" s="15">
        <v>40</v>
      </c>
      <c r="B45" s="72"/>
      <c r="C45" s="73" t="s">
        <v>291</v>
      </c>
      <c r="D45" s="17" t="s">
        <v>51</v>
      </c>
      <c r="E45" s="73" t="s">
        <v>291</v>
      </c>
      <c r="F45" s="66"/>
      <c r="G45" s="66"/>
      <c r="H45" s="68">
        <v>33000</v>
      </c>
      <c r="I45" s="59"/>
      <c r="J45" s="62" t="s">
        <v>294</v>
      </c>
      <c r="K45" s="21"/>
      <c r="L45" s="93"/>
      <c r="M45" s="17" t="s">
        <v>87</v>
      </c>
      <c r="N45" s="17"/>
      <c r="O45" s="22">
        <f t="shared" si="5"/>
        <v>0</v>
      </c>
      <c r="P45" s="22">
        <f t="shared" si="6"/>
        <v>0</v>
      </c>
      <c r="Q45" s="22">
        <f t="shared" si="7"/>
        <v>0</v>
      </c>
      <c r="R45" s="92"/>
      <c r="S45" s="92"/>
      <c r="T45" s="92"/>
      <c r="U45" s="23">
        <f t="shared" si="3"/>
        <v>0</v>
      </c>
      <c r="V45" s="21"/>
      <c r="X45" s="86">
        <v>296070</v>
      </c>
    </row>
    <row r="46" spans="1:24" ht="18" customHeight="1" x14ac:dyDescent="0.3">
      <c r="A46" s="15">
        <v>41</v>
      </c>
      <c r="B46" s="72"/>
      <c r="C46" s="73" t="s">
        <v>292</v>
      </c>
      <c r="D46" s="17" t="s">
        <v>51</v>
      </c>
      <c r="E46" s="73" t="s">
        <v>292</v>
      </c>
      <c r="F46" s="66"/>
      <c r="G46" s="66"/>
      <c r="H46" s="68">
        <v>27500</v>
      </c>
      <c r="I46" s="59"/>
      <c r="J46" s="62" t="s">
        <v>294</v>
      </c>
      <c r="K46" s="21"/>
      <c r="L46" s="93"/>
      <c r="M46" s="17" t="s">
        <v>56</v>
      </c>
      <c r="N46" s="17"/>
      <c r="O46" s="22">
        <f t="shared" si="5"/>
        <v>0</v>
      </c>
      <c r="P46" s="22">
        <f t="shared" si="6"/>
        <v>0</v>
      </c>
      <c r="Q46" s="22">
        <f t="shared" si="7"/>
        <v>0</v>
      </c>
      <c r="R46" s="92"/>
      <c r="S46" s="92"/>
      <c r="T46" s="92"/>
      <c r="U46" s="23">
        <f t="shared" si="3"/>
        <v>0</v>
      </c>
      <c r="V46" s="21"/>
      <c r="X46" s="86">
        <v>306640</v>
      </c>
    </row>
    <row r="47" spans="1:24" ht="18" customHeight="1" x14ac:dyDescent="0.3">
      <c r="A47" s="15">
        <v>42</v>
      </c>
      <c r="B47" s="72"/>
      <c r="C47" s="73" t="s">
        <v>293</v>
      </c>
      <c r="D47" s="17" t="s">
        <v>51</v>
      </c>
      <c r="E47" s="73" t="s">
        <v>293</v>
      </c>
      <c r="F47" s="74"/>
      <c r="G47" s="66"/>
      <c r="H47" s="68">
        <v>645000</v>
      </c>
      <c r="I47" s="59"/>
      <c r="J47" s="62" t="s">
        <v>294</v>
      </c>
      <c r="K47" s="21"/>
      <c r="L47" s="93" t="s">
        <v>57</v>
      </c>
      <c r="M47" s="17" t="s">
        <v>81</v>
      </c>
      <c r="N47" s="17"/>
      <c r="O47" s="22">
        <f t="shared" si="5"/>
        <v>0</v>
      </c>
      <c r="P47" s="22">
        <f t="shared" si="6"/>
        <v>0</v>
      </c>
      <c r="Q47" s="22">
        <f t="shared" si="7"/>
        <v>3190000</v>
      </c>
      <c r="R47" s="92"/>
      <c r="S47" s="92"/>
      <c r="T47" s="92"/>
      <c r="U47" s="55">
        <f t="shared" si="3"/>
        <v>3190000</v>
      </c>
      <c r="V47" s="21"/>
      <c r="X47" s="86">
        <v>154640</v>
      </c>
    </row>
    <row r="48" spans="1:24" ht="18" customHeight="1" x14ac:dyDescent="0.3">
      <c r="A48" s="15">
        <v>43</v>
      </c>
      <c r="B48" s="72"/>
      <c r="C48" s="73" t="s">
        <v>313</v>
      </c>
      <c r="D48" s="17" t="s">
        <v>91</v>
      </c>
      <c r="E48" s="73" t="s">
        <v>296</v>
      </c>
      <c r="F48" s="66"/>
      <c r="G48" s="66"/>
      <c r="H48" s="68">
        <v>1684760</v>
      </c>
      <c r="I48" s="59"/>
      <c r="J48" s="62" t="s">
        <v>294</v>
      </c>
      <c r="K48" s="21"/>
      <c r="L48" s="93"/>
      <c r="M48" s="17" t="s">
        <v>82</v>
      </c>
      <c r="N48" s="17"/>
      <c r="O48" s="22">
        <f t="shared" si="5"/>
        <v>0</v>
      </c>
      <c r="P48" s="22">
        <f t="shared" si="6"/>
        <v>0</v>
      </c>
      <c r="Q48" s="22">
        <f t="shared" si="7"/>
        <v>3168000</v>
      </c>
      <c r="R48" s="92"/>
      <c r="S48" s="92"/>
      <c r="T48" s="92"/>
      <c r="U48" s="55">
        <f t="shared" si="3"/>
        <v>3168000</v>
      </c>
      <c r="V48" s="21"/>
      <c r="X48" s="86">
        <v>154010</v>
      </c>
    </row>
    <row r="49" spans="1:24" ht="18" customHeight="1" x14ac:dyDescent="0.3">
      <c r="A49" s="15">
        <v>44</v>
      </c>
      <c r="B49" s="72"/>
      <c r="C49" s="73" t="s">
        <v>314</v>
      </c>
      <c r="D49" s="17" t="s">
        <v>91</v>
      </c>
      <c r="E49" s="73" t="s">
        <v>297</v>
      </c>
      <c r="F49" s="66"/>
      <c r="G49" s="68"/>
      <c r="H49" s="68">
        <v>810000</v>
      </c>
      <c r="I49" s="60"/>
      <c r="J49" s="62" t="s">
        <v>294</v>
      </c>
      <c r="K49" s="21"/>
      <c r="L49" s="93"/>
      <c r="M49" s="17" t="s">
        <v>89</v>
      </c>
      <c r="N49" s="17"/>
      <c r="O49" s="22">
        <f t="shared" si="5"/>
        <v>0</v>
      </c>
      <c r="P49" s="22">
        <f t="shared" si="6"/>
        <v>0</v>
      </c>
      <c r="Q49" s="22">
        <f t="shared" si="7"/>
        <v>0</v>
      </c>
      <c r="R49" s="92"/>
      <c r="S49" s="92"/>
      <c r="T49" s="92"/>
      <c r="U49" s="23">
        <f t="shared" si="3"/>
        <v>0</v>
      </c>
      <c r="V49" s="21"/>
      <c r="X49" s="86">
        <v>243190</v>
      </c>
    </row>
    <row r="50" spans="1:24" ht="18" customHeight="1" x14ac:dyDescent="0.3">
      <c r="A50" s="15">
        <v>45</v>
      </c>
      <c r="B50" s="72"/>
      <c r="C50" s="73" t="s">
        <v>314</v>
      </c>
      <c r="D50" s="17" t="s">
        <v>91</v>
      </c>
      <c r="E50" s="73" t="s">
        <v>298</v>
      </c>
      <c r="F50" s="66"/>
      <c r="G50" s="66"/>
      <c r="H50" s="68">
        <v>1449420</v>
      </c>
      <c r="I50" s="58"/>
      <c r="J50" s="62" t="s">
        <v>294</v>
      </c>
      <c r="K50" s="21"/>
      <c r="L50" s="93"/>
      <c r="M50" s="17" t="s">
        <v>58</v>
      </c>
      <c r="N50" s="17" t="s">
        <v>59</v>
      </c>
      <c r="O50" s="22">
        <f t="shared" si="5"/>
        <v>0</v>
      </c>
      <c r="P50" s="22">
        <f t="shared" si="6"/>
        <v>0</v>
      </c>
      <c r="Q50" s="22">
        <f t="shared" si="7"/>
        <v>0</v>
      </c>
      <c r="R50" s="92"/>
      <c r="S50" s="92"/>
      <c r="T50" s="92"/>
      <c r="U50" s="23">
        <f t="shared" si="3"/>
        <v>0</v>
      </c>
      <c r="V50" s="21"/>
      <c r="X50" s="86">
        <v>145330</v>
      </c>
    </row>
    <row r="51" spans="1:24" ht="18" customHeight="1" x14ac:dyDescent="0.3">
      <c r="A51" s="15">
        <v>46</v>
      </c>
      <c r="B51" s="72"/>
      <c r="C51" s="73" t="s">
        <v>315</v>
      </c>
      <c r="D51" s="17" t="s">
        <v>39</v>
      </c>
      <c r="E51" s="73" t="s">
        <v>301</v>
      </c>
      <c r="F51" s="66"/>
      <c r="G51" s="68"/>
      <c r="H51" s="68">
        <v>3032850</v>
      </c>
      <c r="I51" s="59"/>
      <c r="J51" s="91"/>
      <c r="K51" s="21"/>
      <c r="L51" s="93" t="s">
        <v>60</v>
      </c>
      <c r="M51" s="17" t="s">
        <v>69</v>
      </c>
      <c r="N51" s="17"/>
      <c r="O51" s="22">
        <f t="shared" si="5"/>
        <v>0</v>
      </c>
      <c r="P51" s="22">
        <f t="shared" si="6"/>
        <v>0</v>
      </c>
      <c r="Q51" s="22">
        <f t="shared" si="7"/>
        <v>0</v>
      </c>
      <c r="R51" s="92"/>
      <c r="S51" s="92"/>
      <c r="T51" s="92"/>
      <c r="U51" s="23">
        <f t="shared" si="3"/>
        <v>0</v>
      </c>
      <c r="V51" s="21"/>
      <c r="X51" s="86">
        <f>SUM(X44:X50)</f>
        <v>1684760</v>
      </c>
    </row>
    <row r="52" spans="1:24" ht="18" customHeight="1" x14ac:dyDescent="0.3">
      <c r="A52" s="15">
        <v>47</v>
      </c>
      <c r="B52" s="72"/>
      <c r="C52" s="73" t="s">
        <v>315</v>
      </c>
      <c r="D52" s="17" t="s">
        <v>40</v>
      </c>
      <c r="E52" s="73" t="s">
        <v>303</v>
      </c>
      <c r="F52" s="66"/>
      <c r="G52" s="68"/>
      <c r="H52" s="68">
        <v>949250</v>
      </c>
      <c r="I52" s="59"/>
      <c r="J52" s="62"/>
      <c r="K52" s="21"/>
      <c r="L52" s="93"/>
      <c r="M52" s="17" t="s">
        <v>61</v>
      </c>
      <c r="N52" s="17"/>
      <c r="O52" s="22">
        <f t="shared" si="5"/>
        <v>0</v>
      </c>
      <c r="P52" s="22">
        <f t="shared" si="6"/>
        <v>0</v>
      </c>
      <c r="Q52" s="22">
        <f t="shared" si="7"/>
        <v>0</v>
      </c>
      <c r="R52" s="92"/>
      <c r="S52" s="92"/>
      <c r="T52" s="92"/>
      <c r="U52" s="23">
        <f t="shared" si="3"/>
        <v>0</v>
      </c>
      <c r="V52" s="21"/>
      <c r="X52" s="86">
        <v>810000</v>
      </c>
    </row>
    <row r="53" spans="1:24" ht="18" customHeight="1" x14ac:dyDescent="0.3">
      <c r="A53" s="15">
        <v>48</v>
      </c>
      <c r="B53" s="72"/>
      <c r="C53" s="73" t="s">
        <v>316</v>
      </c>
      <c r="D53" s="17" t="s">
        <v>41</v>
      </c>
      <c r="E53" s="73" t="s">
        <v>302</v>
      </c>
      <c r="F53" s="66"/>
      <c r="G53" s="68"/>
      <c r="H53" s="68">
        <v>2417324</v>
      </c>
      <c r="I53" s="59"/>
      <c r="J53" s="62"/>
      <c r="K53" s="21"/>
      <c r="L53" s="93"/>
      <c r="M53" s="17" t="s">
        <v>62</v>
      </c>
      <c r="N53" s="17"/>
      <c r="O53" s="22">
        <f t="shared" si="5"/>
        <v>0</v>
      </c>
      <c r="P53" s="22">
        <f t="shared" si="6"/>
        <v>0</v>
      </c>
      <c r="Q53" s="22">
        <f t="shared" si="7"/>
        <v>0</v>
      </c>
      <c r="R53" s="92"/>
      <c r="S53" s="92"/>
      <c r="T53" s="92"/>
      <c r="U53" s="23">
        <f t="shared" si="3"/>
        <v>0</v>
      </c>
      <c r="V53" s="21"/>
      <c r="X53" s="2">
        <v>1449420</v>
      </c>
    </row>
    <row r="54" spans="1:24" ht="18" customHeight="1" x14ac:dyDescent="0.3">
      <c r="A54" s="15">
        <v>49</v>
      </c>
      <c r="B54" s="72"/>
      <c r="C54" s="73" t="s">
        <v>305</v>
      </c>
      <c r="D54" s="17" t="s">
        <v>94</v>
      </c>
      <c r="E54" s="73" t="s">
        <v>304</v>
      </c>
      <c r="F54" s="66"/>
      <c r="G54" s="68"/>
      <c r="H54" s="67">
        <v>1745800</v>
      </c>
      <c r="I54" s="59"/>
      <c r="J54" s="62"/>
      <c r="K54" s="21"/>
      <c r="L54" s="93"/>
      <c r="M54" s="17" t="s">
        <v>63</v>
      </c>
      <c r="N54" s="17"/>
      <c r="O54" s="22">
        <f t="shared" si="5"/>
        <v>0</v>
      </c>
      <c r="P54" s="22">
        <f t="shared" si="6"/>
        <v>0</v>
      </c>
      <c r="Q54" s="22">
        <f t="shared" si="7"/>
        <v>0</v>
      </c>
      <c r="R54" s="92"/>
      <c r="S54" s="92"/>
      <c r="T54" s="92"/>
      <c r="U54" s="23">
        <f t="shared" si="3"/>
        <v>0</v>
      </c>
      <c r="V54" s="21"/>
    </row>
    <row r="55" spans="1:24" ht="18" customHeight="1" x14ac:dyDescent="0.3">
      <c r="A55" s="15">
        <v>50</v>
      </c>
      <c r="B55" s="72"/>
      <c r="C55" s="73" t="s">
        <v>305</v>
      </c>
      <c r="D55" s="17" t="s">
        <v>94</v>
      </c>
      <c r="E55" s="73" t="s">
        <v>306</v>
      </c>
      <c r="F55" s="66"/>
      <c r="G55" s="68"/>
      <c r="H55" s="68">
        <v>3291200</v>
      </c>
      <c r="I55" s="59"/>
      <c r="J55" s="65" t="s">
        <v>295</v>
      </c>
      <c r="K55" s="21"/>
      <c r="L55" s="93"/>
      <c r="M55" s="17" t="s">
        <v>68</v>
      </c>
      <c r="N55" s="17"/>
      <c r="O55" s="22">
        <f t="shared" si="5"/>
        <v>0</v>
      </c>
      <c r="P55" s="22">
        <f t="shared" si="6"/>
        <v>0</v>
      </c>
      <c r="Q55" s="22">
        <f t="shared" si="7"/>
        <v>0</v>
      </c>
      <c r="R55" s="92"/>
      <c r="S55" s="92"/>
      <c r="T55" s="92"/>
      <c r="U55" s="23">
        <f t="shared" si="3"/>
        <v>0</v>
      </c>
      <c r="V55" s="21"/>
    </row>
    <row r="56" spans="1:24" ht="18" customHeight="1" x14ac:dyDescent="0.3">
      <c r="A56" s="15">
        <v>51</v>
      </c>
      <c r="B56" s="72"/>
      <c r="C56" s="73" t="s">
        <v>308</v>
      </c>
      <c r="D56" s="73" t="s">
        <v>86</v>
      </c>
      <c r="E56" s="73" t="s">
        <v>307</v>
      </c>
      <c r="F56" s="66"/>
      <c r="G56" s="68"/>
      <c r="H56" s="67">
        <v>2639439</v>
      </c>
      <c r="I56" s="59"/>
      <c r="J56" s="62"/>
      <c r="K56" s="21"/>
      <c r="L56" s="93"/>
      <c r="M56" s="17" t="s">
        <v>64</v>
      </c>
      <c r="N56" s="17" t="s">
        <v>65</v>
      </c>
      <c r="O56" s="22">
        <f t="shared" si="5"/>
        <v>0</v>
      </c>
      <c r="P56" s="22">
        <f t="shared" si="6"/>
        <v>0</v>
      </c>
      <c r="Q56" s="22">
        <f t="shared" si="7"/>
        <v>0</v>
      </c>
      <c r="R56" s="92"/>
      <c r="S56" s="92"/>
      <c r="T56" s="92"/>
      <c r="U56" s="23">
        <f t="shared" si="3"/>
        <v>0</v>
      </c>
      <c r="V56" s="21"/>
    </row>
    <row r="57" spans="1:24" ht="18" customHeight="1" x14ac:dyDescent="0.3">
      <c r="A57" s="15">
        <v>52</v>
      </c>
      <c r="B57" s="72"/>
      <c r="C57" s="73" t="s">
        <v>233</v>
      </c>
      <c r="D57" s="73" t="s">
        <v>205</v>
      </c>
      <c r="E57" s="73" t="s">
        <v>309</v>
      </c>
      <c r="F57" s="66"/>
      <c r="G57" s="68"/>
      <c r="H57" s="68">
        <v>18955000</v>
      </c>
      <c r="I57" s="59"/>
      <c r="J57" s="62"/>
      <c r="K57" s="21"/>
      <c r="L57" s="93"/>
      <c r="M57" s="17" t="s">
        <v>84</v>
      </c>
      <c r="N57" s="17"/>
      <c r="O57" s="22">
        <f t="shared" si="5"/>
        <v>0</v>
      </c>
      <c r="P57" s="22">
        <f t="shared" si="6"/>
        <v>0</v>
      </c>
      <c r="Q57" s="22">
        <f t="shared" si="7"/>
        <v>0</v>
      </c>
      <c r="R57" s="92"/>
      <c r="S57" s="92"/>
      <c r="T57" s="92"/>
      <c r="U57" s="23">
        <f t="shared" si="3"/>
        <v>0</v>
      </c>
      <c r="V57" s="21"/>
    </row>
    <row r="58" spans="1:24" ht="18" customHeight="1" x14ac:dyDescent="0.3">
      <c r="A58" s="15">
        <v>53</v>
      </c>
      <c r="B58" s="72"/>
      <c r="C58" s="73" t="s">
        <v>310</v>
      </c>
      <c r="D58" s="17" t="s">
        <v>318</v>
      </c>
      <c r="E58" s="73" t="s">
        <v>311</v>
      </c>
      <c r="F58" s="68"/>
      <c r="G58" s="66"/>
      <c r="H58" s="68">
        <v>4835000</v>
      </c>
      <c r="I58" s="59"/>
      <c r="J58" s="62" t="s">
        <v>312</v>
      </c>
      <c r="K58" s="21"/>
      <c r="L58" s="93"/>
      <c r="M58" s="17" t="s">
        <v>71</v>
      </c>
      <c r="N58" s="17"/>
      <c r="O58" s="22">
        <f t="shared" si="5"/>
        <v>0</v>
      </c>
      <c r="P58" s="22">
        <f t="shared" si="6"/>
        <v>0</v>
      </c>
      <c r="Q58" s="22">
        <f t="shared" si="7"/>
        <v>67500</v>
      </c>
      <c r="R58" s="92"/>
      <c r="S58" s="92"/>
      <c r="T58" s="92"/>
      <c r="U58" s="55">
        <f t="shared" si="3"/>
        <v>67500</v>
      </c>
      <c r="V58" s="21"/>
    </row>
    <row r="59" spans="1:24" ht="18" customHeight="1" x14ac:dyDescent="0.3">
      <c r="A59" s="15">
        <v>54</v>
      </c>
      <c r="B59" s="72"/>
      <c r="C59" s="73"/>
      <c r="D59" s="73"/>
      <c r="E59" s="73"/>
      <c r="F59" s="68"/>
      <c r="G59" s="66"/>
      <c r="H59" s="68"/>
      <c r="I59" s="59"/>
      <c r="J59" s="62"/>
      <c r="K59" s="21"/>
      <c r="L59" s="93" t="s">
        <v>66</v>
      </c>
      <c r="M59" s="94"/>
      <c r="N59" s="94"/>
      <c r="O59" s="97">
        <f>SUM(O6:O58)</f>
        <v>0</v>
      </c>
      <c r="P59" s="97">
        <f>SUM(P6:P58)</f>
        <v>262600</v>
      </c>
      <c r="Q59" s="97">
        <f>SUM(Q6:Q58)</f>
        <v>78958033</v>
      </c>
      <c r="R59" s="92" t="s">
        <v>67</v>
      </c>
      <c r="S59" s="100">
        <f>SUM(O59:Q60)</f>
        <v>79220633</v>
      </c>
      <c r="T59" s="100"/>
      <c r="U59" s="101"/>
      <c r="V59" s="21"/>
    </row>
    <row r="60" spans="1:24" ht="18" customHeight="1" thickBot="1" x14ac:dyDescent="0.35">
      <c r="A60" s="15">
        <v>55</v>
      </c>
      <c r="B60" s="72"/>
      <c r="C60" s="73"/>
      <c r="D60" s="73"/>
      <c r="E60" s="73"/>
      <c r="F60" s="68"/>
      <c r="G60" s="66"/>
      <c r="H60" s="68"/>
      <c r="I60" s="59"/>
      <c r="J60" s="62"/>
      <c r="K60" s="21"/>
      <c r="L60" s="95"/>
      <c r="M60" s="96"/>
      <c r="N60" s="96"/>
      <c r="O60" s="98"/>
      <c r="P60" s="98"/>
      <c r="Q60" s="98"/>
      <c r="R60" s="99"/>
      <c r="S60" s="102"/>
      <c r="T60" s="102"/>
      <c r="U60" s="103"/>
      <c r="V60" s="21"/>
    </row>
    <row r="61" spans="1:24" ht="18" customHeight="1" x14ac:dyDescent="0.3">
      <c r="A61" s="15">
        <v>56</v>
      </c>
      <c r="B61" s="72"/>
      <c r="C61" s="73"/>
      <c r="D61" s="73"/>
      <c r="E61" s="73"/>
      <c r="F61" s="66"/>
      <c r="G61" s="68"/>
      <c r="H61" s="68"/>
      <c r="I61" s="59"/>
      <c r="J61" s="62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9"/>
      <c r="V61" s="21"/>
    </row>
    <row r="62" spans="1:24" ht="18" customHeight="1" x14ac:dyDescent="0.3">
      <c r="A62" s="15">
        <v>57</v>
      </c>
      <c r="B62" s="72"/>
      <c r="C62" s="73"/>
      <c r="D62" s="73"/>
      <c r="E62" s="73"/>
      <c r="F62" s="66"/>
      <c r="G62" s="68"/>
      <c r="H62" s="68"/>
      <c r="I62" s="59"/>
      <c r="J62" s="62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9"/>
      <c r="V62" s="21"/>
    </row>
    <row r="63" spans="1:24" ht="18" customHeight="1" x14ac:dyDescent="0.3">
      <c r="A63" s="15">
        <v>58</v>
      </c>
      <c r="B63" s="72"/>
      <c r="C63" s="73"/>
      <c r="D63" s="73"/>
      <c r="E63" s="73"/>
      <c r="F63" s="66"/>
      <c r="G63" s="66"/>
      <c r="H63" s="68"/>
      <c r="I63" s="59"/>
      <c r="J63" s="62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9"/>
      <c r="V63" s="21"/>
    </row>
    <row r="64" spans="1:24" ht="18" customHeight="1" x14ac:dyDescent="0.3">
      <c r="A64" s="15">
        <v>59</v>
      </c>
      <c r="B64" s="72"/>
      <c r="C64" s="73"/>
      <c r="D64" s="73"/>
      <c r="E64" s="73"/>
      <c r="F64" s="66"/>
      <c r="G64" s="66"/>
      <c r="H64" s="68"/>
      <c r="I64" s="59"/>
      <c r="J64" s="62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9"/>
      <c r="V64" s="21"/>
    </row>
    <row r="65" spans="1:22" ht="18" customHeight="1" x14ac:dyDescent="0.3">
      <c r="A65" s="15">
        <v>60</v>
      </c>
      <c r="B65" s="72"/>
      <c r="C65" s="73"/>
      <c r="D65" s="73"/>
      <c r="E65" s="73"/>
      <c r="F65" s="66"/>
      <c r="G65" s="68"/>
      <c r="H65" s="80"/>
      <c r="I65" s="59"/>
      <c r="J65" s="62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9"/>
      <c r="V65" s="21"/>
    </row>
    <row r="66" spans="1:22" ht="18" customHeight="1" x14ac:dyDescent="0.3">
      <c r="A66" s="15">
        <v>61</v>
      </c>
      <c r="B66" s="75"/>
      <c r="C66" s="76"/>
      <c r="D66" s="76"/>
      <c r="E66" s="76"/>
      <c r="F66" s="69"/>
      <c r="G66" s="69"/>
      <c r="H66" s="70"/>
      <c r="I66" s="56"/>
      <c r="J66" s="20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9"/>
      <c r="V66" s="21"/>
    </row>
    <row r="67" spans="1:22" ht="18" customHeight="1" x14ac:dyDescent="0.3">
      <c r="A67" s="15">
        <v>62</v>
      </c>
      <c r="B67" s="75"/>
      <c r="C67" s="76"/>
      <c r="D67" s="76"/>
      <c r="E67" s="76"/>
      <c r="F67" s="69"/>
      <c r="G67" s="69"/>
      <c r="H67" s="70"/>
      <c r="I67" s="56"/>
      <c r="J67" s="20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9"/>
      <c r="V67" s="21"/>
    </row>
    <row r="68" spans="1:22" ht="18" customHeight="1" x14ac:dyDescent="0.3">
      <c r="A68" s="15">
        <v>63</v>
      </c>
      <c r="B68" s="75"/>
      <c r="C68" s="76"/>
      <c r="D68" s="76"/>
      <c r="E68" s="76"/>
      <c r="F68" s="69"/>
      <c r="G68" s="69"/>
      <c r="H68" s="70"/>
      <c r="I68" s="56"/>
      <c r="J68" s="20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9"/>
      <c r="V68" s="21"/>
    </row>
    <row r="69" spans="1:22" ht="18" customHeight="1" x14ac:dyDescent="0.3">
      <c r="A69" s="15">
        <v>64</v>
      </c>
      <c r="B69" s="75"/>
      <c r="C69" s="76"/>
      <c r="D69" s="76"/>
      <c r="E69" s="76"/>
      <c r="F69" s="69"/>
      <c r="G69" s="69"/>
      <c r="H69" s="70"/>
      <c r="I69" s="56"/>
      <c r="J69" s="20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9"/>
      <c r="V69" s="21"/>
    </row>
    <row r="70" spans="1:22" ht="18" customHeight="1" thickBot="1" x14ac:dyDescent="0.35">
      <c r="A70" s="15">
        <v>65</v>
      </c>
      <c r="B70" s="75"/>
      <c r="C70" s="76"/>
      <c r="D70" s="76"/>
      <c r="E70" s="76"/>
      <c r="F70" s="69"/>
      <c r="G70" s="70"/>
      <c r="H70" s="70"/>
      <c r="I70" s="56"/>
      <c r="J70" s="20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9"/>
      <c r="V70" s="21"/>
    </row>
    <row r="71" spans="1:22" ht="18" customHeight="1" thickBot="1" x14ac:dyDescent="0.35">
      <c r="A71" s="15">
        <v>66</v>
      </c>
      <c r="B71" s="75"/>
      <c r="C71" s="76"/>
      <c r="D71" s="76"/>
      <c r="E71" s="76"/>
      <c r="F71" s="69"/>
      <c r="G71" s="69"/>
      <c r="H71" s="70"/>
      <c r="I71" s="56"/>
      <c r="J71" s="20"/>
      <c r="K71" s="21"/>
      <c r="L71" s="21"/>
      <c r="M71" s="38"/>
      <c r="N71" s="21"/>
      <c r="O71" s="21"/>
      <c r="P71" s="21"/>
      <c r="Q71" s="21"/>
      <c r="R71" s="21"/>
      <c r="S71" s="21"/>
      <c r="T71" s="21"/>
      <c r="U71" s="29"/>
      <c r="V71" s="21"/>
    </row>
    <row r="72" spans="1:22" ht="18" customHeight="1" x14ac:dyDescent="0.3">
      <c r="A72" s="15">
        <v>67</v>
      </c>
      <c r="B72" s="75"/>
      <c r="C72" s="76"/>
      <c r="D72" s="76"/>
      <c r="E72" s="76"/>
      <c r="F72" s="69"/>
      <c r="G72" s="69"/>
      <c r="H72" s="70"/>
      <c r="I72" s="56"/>
      <c r="J72" s="20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9"/>
      <c r="V72" s="21"/>
    </row>
    <row r="73" spans="1:22" ht="18" customHeight="1" x14ac:dyDescent="0.3">
      <c r="A73" s="15">
        <v>68</v>
      </c>
      <c r="B73" s="75"/>
      <c r="C73" s="76"/>
      <c r="D73" s="73"/>
      <c r="E73" s="76"/>
      <c r="F73" s="69"/>
      <c r="G73" s="69"/>
      <c r="H73" s="70"/>
      <c r="I73" s="56"/>
      <c r="J73" s="20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9"/>
      <c r="V73" s="21"/>
    </row>
    <row r="74" spans="1:22" ht="18" customHeight="1" x14ac:dyDescent="0.3">
      <c r="A74" s="15">
        <v>69</v>
      </c>
      <c r="B74" s="75"/>
      <c r="C74" s="76"/>
      <c r="D74" s="76"/>
      <c r="E74" s="76"/>
      <c r="F74" s="69"/>
      <c r="G74" s="69"/>
      <c r="H74" s="70"/>
      <c r="I74" s="56"/>
      <c r="J74" s="20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9"/>
      <c r="V74" s="21"/>
    </row>
    <row r="75" spans="1:22" ht="18" customHeight="1" x14ac:dyDescent="0.3">
      <c r="A75" s="15">
        <v>70</v>
      </c>
      <c r="B75" s="75"/>
      <c r="C75" s="76"/>
      <c r="D75" s="76"/>
      <c r="E75" s="76"/>
      <c r="F75" s="69"/>
      <c r="G75" s="70"/>
      <c r="H75" s="70"/>
      <c r="I75" s="56"/>
      <c r="J75" s="20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9"/>
      <c r="V75" s="21"/>
    </row>
    <row r="76" spans="1:22" ht="18" customHeight="1" x14ac:dyDescent="0.3">
      <c r="A76" s="15">
        <v>71</v>
      </c>
      <c r="B76" s="75"/>
      <c r="C76" s="76"/>
      <c r="D76" s="76"/>
      <c r="E76" s="76"/>
      <c r="F76" s="69"/>
      <c r="G76" s="70"/>
      <c r="H76" s="70"/>
      <c r="I76" s="56"/>
      <c r="J76" s="20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9"/>
      <c r="V76" s="21"/>
    </row>
    <row r="77" spans="1:22" ht="18" customHeight="1" x14ac:dyDescent="0.3">
      <c r="A77" s="15">
        <v>72</v>
      </c>
      <c r="B77" s="75"/>
      <c r="C77" s="76"/>
      <c r="D77" s="76"/>
      <c r="E77" s="76"/>
      <c r="F77" s="69"/>
      <c r="G77" s="70"/>
      <c r="H77" s="70"/>
      <c r="I77" s="56"/>
      <c r="J77" s="20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9"/>
      <c r="V77" s="21"/>
    </row>
    <row r="78" spans="1:22" ht="18" customHeight="1" x14ac:dyDescent="0.3">
      <c r="A78" s="15">
        <v>73</v>
      </c>
      <c r="B78" s="75"/>
      <c r="C78" s="76"/>
      <c r="D78" s="76"/>
      <c r="E78" s="76"/>
      <c r="F78" s="69"/>
      <c r="G78" s="70"/>
      <c r="H78" s="70"/>
      <c r="I78" s="56"/>
      <c r="J78" s="20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9"/>
      <c r="V78" s="21"/>
    </row>
    <row r="79" spans="1:22" ht="18" customHeight="1" x14ac:dyDescent="0.3">
      <c r="A79" s="15">
        <v>71</v>
      </c>
      <c r="B79" s="75"/>
      <c r="C79" s="76"/>
      <c r="D79" s="76"/>
      <c r="E79" s="76"/>
      <c r="F79" s="77"/>
      <c r="G79" s="69"/>
      <c r="H79" s="70"/>
      <c r="I79" s="56"/>
      <c r="J79" s="20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9"/>
      <c r="V79" s="21"/>
    </row>
    <row r="80" spans="1:22" ht="18" customHeight="1" x14ac:dyDescent="0.3">
      <c r="A80" s="15">
        <v>72</v>
      </c>
      <c r="B80" s="75"/>
      <c r="C80" s="76"/>
      <c r="D80" s="76"/>
      <c r="E80" s="76"/>
      <c r="F80" s="77"/>
      <c r="G80" s="69"/>
      <c r="H80" s="70"/>
      <c r="I80" s="56"/>
      <c r="J80" s="20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9"/>
      <c r="V80" s="21"/>
    </row>
    <row r="81" spans="1:22" ht="18" customHeight="1" x14ac:dyDescent="0.3">
      <c r="A81" s="15">
        <v>73</v>
      </c>
      <c r="B81" s="75"/>
      <c r="C81" s="76"/>
      <c r="D81" s="76"/>
      <c r="E81" s="76"/>
      <c r="F81" s="69"/>
      <c r="G81" s="69"/>
      <c r="H81" s="70"/>
      <c r="I81" s="56"/>
      <c r="J81" s="20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9"/>
      <c r="V81" s="21"/>
    </row>
    <row r="82" spans="1:22" ht="18" customHeight="1" x14ac:dyDescent="0.3">
      <c r="A82" s="15">
        <v>74</v>
      </c>
      <c r="B82" s="75"/>
      <c r="C82" s="76"/>
      <c r="D82" s="76"/>
      <c r="E82" s="76"/>
      <c r="F82" s="69"/>
      <c r="G82" s="69"/>
      <c r="H82" s="70"/>
      <c r="I82" s="56"/>
      <c r="J82" s="20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9"/>
      <c r="V82" s="21"/>
    </row>
    <row r="83" spans="1:22" ht="18" customHeight="1" x14ac:dyDescent="0.3">
      <c r="A83" s="15">
        <v>75</v>
      </c>
      <c r="B83" s="75"/>
      <c r="C83" s="76"/>
      <c r="D83" s="76"/>
      <c r="E83" s="76"/>
      <c r="F83" s="69"/>
      <c r="G83" s="69"/>
      <c r="H83" s="70"/>
      <c r="I83" s="56"/>
      <c r="J83" s="20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9"/>
      <c r="V83" s="21"/>
    </row>
    <row r="84" spans="1:22" ht="18" customHeight="1" x14ac:dyDescent="0.3">
      <c r="A84" s="15">
        <v>76</v>
      </c>
      <c r="B84" s="75"/>
      <c r="C84" s="76"/>
      <c r="D84" s="76"/>
      <c r="E84" s="76"/>
      <c r="F84" s="69"/>
      <c r="G84" s="69"/>
      <c r="H84" s="70"/>
      <c r="I84" s="56"/>
      <c r="J84" s="20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9"/>
      <c r="V84" s="21"/>
    </row>
    <row r="85" spans="1:22" ht="18" customHeight="1" x14ac:dyDescent="0.3">
      <c r="A85" s="15">
        <v>77</v>
      </c>
      <c r="B85" s="75"/>
      <c r="C85" s="76"/>
      <c r="D85" s="76"/>
      <c r="E85" s="76"/>
      <c r="F85" s="69"/>
      <c r="G85" s="69"/>
      <c r="H85" s="70"/>
      <c r="I85" s="56"/>
      <c r="J85" s="20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9"/>
      <c r="V85" s="21"/>
    </row>
    <row r="86" spans="1:22" ht="18" customHeight="1" x14ac:dyDescent="0.3">
      <c r="A86" s="15">
        <v>78</v>
      </c>
      <c r="B86" s="75"/>
      <c r="C86" s="76"/>
      <c r="D86" s="76"/>
      <c r="E86" s="76"/>
      <c r="F86" s="69"/>
      <c r="G86" s="69"/>
      <c r="H86" s="70"/>
      <c r="I86" s="56"/>
      <c r="J86" s="20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9"/>
      <c r="V86" s="21"/>
    </row>
    <row r="87" spans="1:22" ht="18" customHeight="1" x14ac:dyDescent="0.3">
      <c r="A87" s="15">
        <v>79</v>
      </c>
      <c r="B87" s="78"/>
      <c r="C87" s="79"/>
      <c r="D87" s="79"/>
      <c r="E87" s="79"/>
      <c r="F87" s="71"/>
      <c r="G87" s="71"/>
      <c r="H87" s="81"/>
      <c r="I87" s="3"/>
      <c r="J87" s="20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9"/>
      <c r="V87" s="21"/>
    </row>
    <row r="88" spans="1:22" ht="18" customHeight="1" x14ac:dyDescent="0.3">
      <c r="A88" s="15">
        <v>80</v>
      </c>
      <c r="B88" s="78"/>
      <c r="C88" s="79"/>
      <c r="D88" s="79"/>
      <c r="E88" s="79"/>
      <c r="F88" s="71"/>
      <c r="G88" s="71"/>
      <c r="H88" s="81"/>
      <c r="I88" s="3"/>
      <c r="J88" s="20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9"/>
      <c r="V88" s="21"/>
    </row>
    <row r="89" spans="1:22" ht="18" customHeight="1" x14ac:dyDescent="0.3">
      <c r="A89" s="15">
        <v>81</v>
      </c>
      <c r="B89" s="78"/>
      <c r="C89" s="79"/>
      <c r="D89" s="79"/>
      <c r="E89" s="79"/>
      <c r="F89" s="71"/>
      <c r="G89" s="71"/>
      <c r="H89" s="81"/>
      <c r="I89" s="3"/>
      <c r="J89" s="20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9"/>
      <c r="V89" s="21"/>
    </row>
    <row r="90" spans="1:22" ht="18" customHeight="1" x14ac:dyDescent="0.3">
      <c r="A90" s="15">
        <v>82</v>
      </c>
      <c r="B90" s="78"/>
      <c r="C90" s="79"/>
      <c r="D90" s="79"/>
      <c r="E90" s="79"/>
      <c r="F90" s="71"/>
      <c r="G90" s="71"/>
      <c r="H90" s="81"/>
      <c r="I90" s="3"/>
      <c r="J90" s="20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9"/>
      <c r="V90" s="21"/>
    </row>
    <row r="91" spans="1:22" ht="18" customHeight="1" x14ac:dyDescent="0.3">
      <c r="A91" s="15">
        <v>83</v>
      </c>
      <c r="B91" s="78"/>
      <c r="C91" s="79"/>
      <c r="D91" s="79"/>
      <c r="E91" s="79"/>
      <c r="F91" s="71"/>
      <c r="G91" s="71"/>
      <c r="H91" s="81"/>
      <c r="I91" s="3"/>
      <c r="J91" s="20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9"/>
      <c r="V91" s="21"/>
    </row>
    <row r="92" spans="1:22" ht="18" customHeight="1" x14ac:dyDescent="0.3">
      <c r="A92" s="15">
        <v>84</v>
      </c>
      <c r="B92" s="78"/>
      <c r="C92" s="79"/>
      <c r="D92" s="79"/>
      <c r="E92" s="79"/>
      <c r="F92" s="71"/>
      <c r="G92" s="71"/>
      <c r="H92" s="70"/>
      <c r="I92" s="3"/>
      <c r="J92" s="20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9"/>
      <c r="V92" s="21"/>
    </row>
    <row r="93" spans="1:22" ht="18" customHeight="1" x14ac:dyDescent="0.3">
      <c r="A93" s="15">
        <v>85</v>
      </c>
      <c r="B93" s="78"/>
      <c r="C93" s="79"/>
      <c r="D93" s="79"/>
      <c r="E93" s="79"/>
      <c r="F93" s="71"/>
      <c r="G93" s="71"/>
      <c r="H93" s="70"/>
      <c r="I93" s="3"/>
      <c r="J93" s="20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9"/>
      <c r="V93" s="21"/>
    </row>
    <row r="94" spans="1:22" ht="18" customHeight="1" x14ac:dyDescent="0.3">
      <c r="A94" s="15">
        <v>86</v>
      </c>
      <c r="B94" s="78"/>
      <c r="C94" s="79"/>
      <c r="D94" s="79"/>
      <c r="E94" s="79"/>
      <c r="F94" s="71"/>
      <c r="G94" s="71"/>
      <c r="H94" s="70"/>
      <c r="I94" s="3"/>
      <c r="J94" s="20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9"/>
      <c r="V94" s="21"/>
    </row>
    <row r="95" spans="1:22" ht="18" customHeight="1" x14ac:dyDescent="0.3">
      <c r="A95" s="15">
        <v>87</v>
      </c>
      <c r="B95" s="78"/>
      <c r="C95" s="79"/>
      <c r="D95" s="79"/>
      <c r="E95" s="79"/>
      <c r="F95" s="71"/>
      <c r="G95" s="71"/>
      <c r="H95" s="81"/>
      <c r="I95" s="3"/>
      <c r="J95" s="20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9"/>
      <c r="V95" s="21"/>
    </row>
    <row r="96" spans="1:22" ht="18" customHeight="1" x14ac:dyDescent="0.3">
      <c r="A96" s="15">
        <v>88</v>
      </c>
      <c r="B96" s="78"/>
      <c r="C96" s="79"/>
      <c r="D96" s="79"/>
      <c r="E96" s="79"/>
      <c r="F96" s="71"/>
      <c r="G96" s="71"/>
      <c r="H96" s="81"/>
      <c r="I96" s="3"/>
      <c r="J96" s="20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9"/>
      <c r="V96" s="21"/>
    </row>
    <row r="97" spans="1:22" ht="18" customHeight="1" x14ac:dyDescent="0.3">
      <c r="A97" s="15">
        <v>89</v>
      </c>
      <c r="B97" s="78"/>
      <c r="C97" s="79"/>
      <c r="D97" s="79"/>
      <c r="E97" s="79"/>
      <c r="F97" s="71"/>
      <c r="G97" s="71"/>
      <c r="H97" s="81"/>
      <c r="I97" s="3"/>
      <c r="J97" s="20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9"/>
      <c r="V97" s="21"/>
    </row>
    <row r="98" spans="1:22" ht="18" customHeight="1" x14ac:dyDescent="0.3">
      <c r="A98" s="15">
        <v>90</v>
      </c>
      <c r="B98" s="78"/>
      <c r="C98" s="79"/>
      <c r="D98" s="79"/>
      <c r="E98" s="79"/>
      <c r="F98" s="71"/>
      <c r="G98" s="71"/>
      <c r="H98" s="81"/>
      <c r="I98" s="3"/>
      <c r="J98" s="20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9"/>
      <c r="V98" s="21"/>
    </row>
    <row r="99" spans="1:22" ht="18" customHeight="1" x14ac:dyDescent="0.3">
      <c r="A99" s="15">
        <v>91</v>
      </c>
      <c r="B99" s="78"/>
      <c r="C99" s="79"/>
      <c r="D99" s="79"/>
      <c r="E99" s="79"/>
      <c r="F99" s="71"/>
      <c r="G99" s="71"/>
      <c r="H99" s="81"/>
      <c r="I99" s="3"/>
      <c r="J99" s="20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9"/>
      <c r="V99" s="21"/>
    </row>
    <row r="100" spans="1:22" ht="18" customHeight="1" x14ac:dyDescent="0.3">
      <c r="A100" s="15">
        <v>92</v>
      </c>
      <c r="B100" s="78"/>
      <c r="C100" s="79"/>
      <c r="D100" s="79"/>
      <c r="E100" s="79"/>
      <c r="F100" s="71"/>
      <c r="G100" s="71"/>
      <c r="H100" s="81"/>
      <c r="I100" s="3"/>
      <c r="J100" s="20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9"/>
      <c r="V100" s="21"/>
    </row>
    <row r="101" spans="1:22" ht="18" customHeight="1" x14ac:dyDescent="0.3">
      <c r="A101" s="15">
        <v>93</v>
      </c>
      <c r="B101" s="78"/>
      <c r="C101" s="79"/>
      <c r="D101" s="79"/>
      <c r="E101" s="79"/>
      <c r="F101" s="71"/>
      <c r="G101" s="71"/>
      <c r="H101" s="81"/>
      <c r="I101" s="3"/>
      <c r="J101" s="20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9"/>
      <c r="V101" s="21"/>
    </row>
    <row r="102" spans="1:22" ht="18" customHeight="1" x14ac:dyDescent="0.3">
      <c r="A102" s="15">
        <v>94</v>
      </c>
      <c r="B102" s="78"/>
      <c r="C102" s="79"/>
      <c r="D102" s="79"/>
      <c r="E102" s="79"/>
      <c r="F102" s="71"/>
      <c r="G102" s="71"/>
      <c r="H102" s="81"/>
      <c r="I102" s="3"/>
      <c r="J102" s="20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9"/>
      <c r="V102" s="21"/>
    </row>
    <row r="103" spans="1:22" ht="18" customHeight="1" x14ac:dyDescent="0.3">
      <c r="A103" s="15">
        <v>95</v>
      </c>
      <c r="B103" s="78"/>
      <c r="C103" s="79"/>
      <c r="D103" s="79"/>
      <c r="E103" s="79"/>
      <c r="F103" s="71"/>
      <c r="G103" s="71"/>
      <c r="H103" s="81"/>
      <c r="I103" s="3"/>
      <c r="J103" s="20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9"/>
      <c r="V103" s="21"/>
    </row>
    <row r="104" spans="1:22" ht="18" customHeight="1" x14ac:dyDescent="0.3">
      <c r="A104" s="15">
        <v>96</v>
      </c>
      <c r="B104" s="78"/>
      <c r="C104" s="79"/>
      <c r="D104" s="79"/>
      <c r="E104" s="79"/>
      <c r="F104" s="71"/>
      <c r="G104" s="71"/>
      <c r="H104" s="81"/>
      <c r="I104" s="3"/>
      <c r="J104" s="20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9"/>
      <c r="V104" s="21"/>
    </row>
    <row r="105" spans="1:22" ht="18" customHeight="1" x14ac:dyDescent="0.3">
      <c r="A105" s="15">
        <v>97</v>
      </c>
      <c r="B105" s="78"/>
      <c r="C105" s="79"/>
      <c r="D105" s="79"/>
      <c r="E105" s="79"/>
      <c r="F105" s="71"/>
      <c r="G105" s="71"/>
      <c r="H105" s="81"/>
      <c r="I105" s="3"/>
      <c r="J105" s="20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9"/>
      <c r="V105" s="21"/>
    </row>
    <row r="106" spans="1:22" ht="18" customHeight="1" x14ac:dyDescent="0.3">
      <c r="A106" s="15">
        <v>98</v>
      </c>
      <c r="B106" s="78"/>
      <c r="C106" s="79"/>
      <c r="D106" s="79"/>
      <c r="E106" s="79"/>
      <c r="F106" s="71"/>
      <c r="G106" s="71"/>
      <c r="H106" s="81"/>
      <c r="I106" s="3"/>
      <c r="J106" s="20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9"/>
      <c r="V106" s="21"/>
    </row>
    <row r="107" spans="1:22" ht="18" customHeight="1" x14ac:dyDescent="0.3">
      <c r="A107" s="15">
        <v>99</v>
      </c>
      <c r="B107" s="78"/>
      <c r="C107" s="79"/>
      <c r="D107" s="79"/>
      <c r="E107" s="79"/>
      <c r="F107" s="71"/>
      <c r="G107" s="71"/>
      <c r="H107" s="81"/>
      <c r="I107" s="3"/>
      <c r="J107" s="20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9"/>
      <c r="V107" s="21"/>
    </row>
    <row r="108" spans="1:22" ht="18" customHeight="1" x14ac:dyDescent="0.3">
      <c r="A108" s="15">
        <v>100</v>
      </c>
      <c r="B108" s="78"/>
      <c r="C108" s="79"/>
      <c r="D108" s="79"/>
      <c r="E108" s="79"/>
      <c r="F108" s="71"/>
      <c r="G108" s="71"/>
      <c r="H108" s="81"/>
      <c r="I108" s="3"/>
      <c r="J108" s="20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9"/>
      <c r="V108" s="21"/>
    </row>
    <row r="109" spans="1:22" ht="18" customHeight="1" x14ac:dyDescent="0.3">
      <c r="A109" s="15">
        <v>101</v>
      </c>
      <c r="B109" s="78"/>
      <c r="C109" s="79"/>
      <c r="D109" s="79"/>
      <c r="E109" s="79"/>
      <c r="F109" s="71"/>
      <c r="G109" s="71"/>
      <c r="H109" s="81"/>
      <c r="I109" s="3"/>
      <c r="J109" s="20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9"/>
      <c r="V109" s="21"/>
    </row>
    <row r="110" spans="1:22" ht="18" customHeight="1" x14ac:dyDescent="0.3">
      <c r="A110" s="15">
        <v>102</v>
      </c>
      <c r="B110" s="78"/>
      <c r="C110" s="79"/>
      <c r="D110" s="79"/>
      <c r="E110" s="79"/>
      <c r="F110" s="71"/>
      <c r="G110" s="71"/>
      <c r="H110" s="81"/>
      <c r="I110" s="3"/>
      <c r="J110" s="20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9"/>
      <c r="V110" s="21"/>
    </row>
    <row r="111" spans="1:22" ht="18" customHeight="1" x14ac:dyDescent="0.3">
      <c r="A111" s="15">
        <v>103</v>
      </c>
      <c r="B111" s="78"/>
      <c r="C111" s="79"/>
      <c r="D111" s="79"/>
      <c r="E111" s="79"/>
      <c r="F111" s="71"/>
      <c r="G111" s="71"/>
      <c r="H111" s="28"/>
      <c r="I111" s="3"/>
      <c r="J111" s="20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9"/>
      <c r="V111" s="21"/>
    </row>
    <row r="112" spans="1:22" ht="18" customHeight="1" x14ac:dyDescent="0.3">
      <c r="A112" s="15">
        <v>104</v>
      </c>
      <c r="B112" s="78"/>
      <c r="C112" s="79"/>
      <c r="D112" s="79"/>
      <c r="E112" s="79"/>
      <c r="F112" s="71"/>
      <c r="G112" s="71"/>
      <c r="H112" s="28"/>
      <c r="I112" s="3"/>
      <c r="J112" s="20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9"/>
      <c r="V112" s="21"/>
    </row>
    <row r="113" spans="1:22" ht="18" customHeight="1" x14ac:dyDescent="0.3">
      <c r="A113" s="15">
        <v>105</v>
      </c>
      <c r="B113" s="78"/>
      <c r="C113" s="79"/>
      <c r="D113" s="79"/>
      <c r="E113" s="79"/>
      <c r="F113" s="71"/>
      <c r="G113" s="71"/>
      <c r="H113" s="28"/>
      <c r="I113" s="3"/>
      <c r="J113" s="20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9"/>
      <c r="V113" s="21"/>
    </row>
    <row r="114" spans="1:22" ht="14.25" x14ac:dyDescent="0.3">
      <c r="A114" s="15">
        <v>106</v>
      </c>
      <c r="B114" s="78"/>
      <c r="C114" s="79"/>
      <c r="D114" s="79"/>
      <c r="E114" s="79"/>
      <c r="F114" s="71"/>
      <c r="G114" s="71"/>
      <c r="H114" s="28"/>
      <c r="I114" s="3"/>
      <c r="J114" s="20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9"/>
    </row>
    <row r="115" spans="1:22" ht="14.25" x14ac:dyDescent="0.3">
      <c r="A115" s="15">
        <v>107</v>
      </c>
      <c r="B115" s="16"/>
      <c r="C115" s="3"/>
      <c r="D115" s="17"/>
      <c r="E115" s="3"/>
      <c r="F115" s="18"/>
      <c r="G115" s="18"/>
      <c r="H115" s="28"/>
      <c r="I115" s="3"/>
      <c r="J115" s="20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9"/>
    </row>
    <row r="116" spans="1:22" ht="15" thickBot="1" x14ac:dyDescent="0.35">
      <c r="A116" s="15">
        <v>108</v>
      </c>
      <c r="B116" s="16"/>
      <c r="C116" s="3"/>
      <c r="D116" s="17"/>
      <c r="E116" s="3"/>
      <c r="F116" s="18"/>
      <c r="G116" s="18"/>
      <c r="H116" s="28"/>
      <c r="I116" s="3"/>
      <c r="J116" s="35"/>
    </row>
    <row r="117" spans="1:22" ht="14.25" x14ac:dyDescent="0.3">
      <c r="A117" s="21"/>
      <c r="B117" s="16"/>
      <c r="C117" s="3"/>
      <c r="D117" s="17"/>
      <c r="E117" s="3"/>
      <c r="F117" s="18"/>
      <c r="G117" s="18"/>
      <c r="H117" s="28"/>
      <c r="I117" s="3"/>
      <c r="J117" s="21"/>
    </row>
    <row r="118" spans="1:22" ht="14.25" x14ac:dyDescent="0.3">
      <c r="A118" s="21"/>
      <c r="B118" s="16"/>
      <c r="C118" s="3"/>
      <c r="D118" s="17"/>
      <c r="E118" s="3"/>
      <c r="F118" s="18"/>
      <c r="G118" s="18"/>
      <c r="H118" s="28"/>
      <c r="I118" s="3"/>
      <c r="J118" s="21"/>
    </row>
    <row r="119" spans="1:22" ht="14.25" x14ac:dyDescent="0.3">
      <c r="B119" s="16"/>
      <c r="C119" s="3"/>
      <c r="D119" s="17"/>
      <c r="E119" s="3"/>
      <c r="F119" s="18"/>
      <c r="G119" s="18"/>
      <c r="H119" s="28"/>
      <c r="I119" s="3"/>
    </row>
    <row r="120" spans="1:22" ht="14.25" x14ac:dyDescent="0.3">
      <c r="B120" s="16"/>
      <c r="C120" s="3"/>
      <c r="D120" s="17"/>
      <c r="E120" s="3"/>
      <c r="F120" s="18"/>
      <c r="G120" s="18"/>
      <c r="H120" s="28"/>
      <c r="I120" s="3"/>
    </row>
    <row r="121" spans="1:22" ht="14.25" x14ac:dyDescent="0.3">
      <c r="B121" s="16"/>
      <c r="C121" s="3"/>
      <c r="D121" s="17"/>
      <c r="E121" s="3"/>
      <c r="F121" s="18"/>
      <c r="G121" s="18"/>
      <c r="H121" s="28"/>
      <c r="I121" s="3"/>
    </row>
    <row r="122" spans="1:22" x14ac:dyDescent="0.3">
      <c r="F122" s="36">
        <f>SUM(F6:F121)</f>
        <v>0</v>
      </c>
      <c r="G122" s="36">
        <f>SUM(G6:G121)</f>
        <v>262600</v>
      </c>
      <c r="H122" s="36">
        <f>SUM(H6:H121)</f>
        <v>78958033</v>
      </c>
      <c r="I122" s="36">
        <f>SUM(I6:I121)</f>
        <v>11213090</v>
      </c>
      <c r="J122" s="36">
        <f>SUM(F122:I122)</f>
        <v>90433723</v>
      </c>
    </row>
  </sheetData>
  <mergeCells count="75">
    <mergeCell ref="A1:G4"/>
    <mergeCell ref="L1:U3"/>
    <mergeCell ref="H2:J2"/>
    <mergeCell ref="L4:M4"/>
    <mergeCell ref="N4:N5"/>
    <mergeCell ref="O4:T4"/>
    <mergeCell ref="U4:U5"/>
    <mergeCell ref="R5:T5"/>
    <mergeCell ref="L6:L11"/>
    <mergeCell ref="R6:T6"/>
    <mergeCell ref="R7:T7"/>
    <mergeCell ref="R8:T8"/>
    <mergeCell ref="R9:T9"/>
    <mergeCell ref="R10:T10"/>
    <mergeCell ref="R11:T11"/>
    <mergeCell ref="L12:L17"/>
    <mergeCell ref="R12:T12"/>
    <mergeCell ref="R13:T13"/>
    <mergeCell ref="R14:T14"/>
    <mergeCell ref="R15:T15"/>
    <mergeCell ref="R16:T16"/>
    <mergeCell ref="R17:T17"/>
    <mergeCell ref="R32:T32"/>
    <mergeCell ref="R18:T18"/>
    <mergeCell ref="R19:T19"/>
    <mergeCell ref="R20:T20"/>
    <mergeCell ref="L21:L34"/>
    <mergeCell ref="R21:T21"/>
    <mergeCell ref="R22:T22"/>
    <mergeCell ref="R23:T23"/>
    <mergeCell ref="R24:T24"/>
    <mergeCell ref="R25:T25"/>
    <mergeCell ref="R26:T26"/>
    <mergeCell ref="R27:T27"/>
    <mergeCell ref="R28:T28"/>
    <mergeCell ref="R29:T29"/>
    <mergeCell ref="R30:T30"/>
    <mergeCell ref="R31:T31"/>
    <mergeCell ref="R33:T33"/>
    <mergeCell ref="R34:T34"/>
    <mergeCell ref="L35:L40"/>
    <mergeCell ref="R35:T35"/>
    <mergeCell ref="R36:T36"/>
    <mergeCell ref="R37:T37"/>
    <mergeCell ref="R38:T38"/>
    <mergeCell ref="R39:T39"/>
    <mergeCell ref="R40:T40"/>
    <mergeCell ref="R44:T44"/>
    <mergeCell ref="L47:L50"/>
    <mergeCell ref="R47:T47"/>
    <mergeCell ref="R48:T48"/>
    <mergeCell ref="R49:T49"/>
    <mergeCell ref="R50:T50"/>
    <mergeCell ref="L45:L46"/>
    <mergeCell ref="R45:T45"/>
    <mergeCell ref="R46:T46"/>
    <mergeCell ref="L41:L44"/>
    <mergeCell ref="R41:T41"/>
    <mergeCell ref="R42:T42"/>
    <mergeCell ref="R43:T43"/>
    <mergeCell ref="R55:T55"/>
    <mergeCell ref="R56:T56"/>
    <mergeCell ref="R57:T57"/>
    <mergeCell ref="R58:T58"/>
    <mergeCell ref="L59:N60"/>
    <mergeCell ref="O59:O60"/>
    <mergeCell ref="P59:P60"/>
    <mergeCell ref="Q59:Q60"/>
    <mergeCell ref="R59:R60"/>
    <mergeCell ref="S59:U60"/>
    <mergeCell ref="L51:L58"/>
    <mergeCell ref="R51:T51"/>
    <mergeCell ref="R52:T52"/>
    <mergeCell ref="R53:T53"/>
    <mergeCell ref="R54:T54"/>
  </mergeCells>
  <phoneticPr fontId="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50FA4-D965-4C34-8819-EFAEEA50E5CC}">
  <dimension ref="A1:V115"/>
  <sheetViews>
    <sheetView zoomScale="80" zoomScaleNormal="80" workbookViewId="0">
      <pane ySplit="5" topLeftCell="A6" activePane="bottomLeft" state="frozen"/>
      <selection activeCell="H29" sqref="H29"/>
      <selection pane="bottomLeft" activeCell="H8" sqref="H8"/>
    </sheetView>
  </sheetViews>
  <sheetFormatPr defaultColWidth="9" defaultRowHeight="13.5" x14ac:dyDescent="0.3"/>
  <cols>
    <col min="1" max="1" width="7.75" style="2" bestFit="1" customWidth="1"/>
    <col min="2" max="2" width="16.625" style="2" bestFit="1" customWidth="1"/>
    <col min="3" max="3" width="18" style="2" customWidth="1"/>
    <col min="4" max="4" width="23.75" style="2" bestFit="1" customWidth="1"/>
    <col min="5" max="5" width="22" style="2" bestFit="1" customWidth="1"/>
    <col min="6" max="8" width="18.5" style="36" customWidth="1"/>
    <col min="9" max="10" width="18.5" style="2" customWidth="1"/>
    <col min="11" max="11" width="9" style="2"/>
    <col min="12" max="12" width="17.125" style="2" bestFit="1" customWidth="1"/>
    <col min="13" max="13" width="23.375" style="2" bestFit="1" customWidth="1"/>
    <col min="14" max="14" width="28" style="2" bestFit="1" customWidth="1"/>
    <col min="15" max="17" width="18.25" style="2" customWidth="1"/>
    <col min="18" max="20" width="13.25" style="2" customWidth="1"/>
    <col min="21" max="21" width="19.125" style="36" customWidth="1"/>
    <col min="22" max="16384" width="9" style="2"/>
  </cols>
  <sheetData>
    <row r="1" spans="1:22" ht="13.5" customHeight="1" x14ac:dyDescent="0.3">
      <c r="A1" s="107" t="s">
        <v>0</v>
      </c>
      <c r="B1" s="107"/>
      <c r="C1" s="107"/>
      <c r="D1" s="107"/>
      <c r="E1" s="107"/>
      <c r="F1" s="107"/>
      <c r="G1" s="107"/>
      <c r="H1" s="39"/>
      <c r="I1" s="1"/>
      <c r="J1" s="1"/>
      <c r="L1" s="109" t="s">
        <v>96</v>
      </c>
      <c r="M1" s="109"/>
      <c r="N1" s="109"/>
      <c r="O1" s="109"/>
      <c r="P1" s="109"/>
      <c r="Q1" s="109"/>
      <c r="R1" s="109"/>
      <c r="S1" s="109"/>
      <c r="T1" s="109"/>
      <c r="U1" s="109"/>
    </row>
    <row r="2" spans="1:22" ht="31.5" customHeight="1" x14ac:dyDescent="0.3">
      <c r="A2" s="107"/>
      <c r="B2" s="107"/>
      <c r="C2" s="107"/>
      <c r="D2" s="107"/>
      <c r="E2" s="107"/>
      <c r="F2" s="107"/>
      <c r="G2" s="107"/>
      <c r="H2" s="110" t="s">
        <v>1</v>
      </c>
      <c r="I2" s="110"/>
      <c r="J2" s="110"/>
      <c r="L2" s="109"/>
      <c r="M2" s="109"/>
      <c r="N2" s="109"/>
      <c r="O2" s="109"/>
      <c r="P2" s="109"/>
      <c r="Q2" s="109"/>
      <c r="R2" s="109"/>
      <c r="S2" s="109"/>
      <c r="T2" s="109"/>
      <c r="U2" s="109"/>
    </row>
    <row r="3" spans="1:22" ht="31.5" customHeight="1" thickBot="1" x14ac:dyDescent="0.35">
      <c r="A3" s="107"/>
      <c r="B3" s="107"/>
      <c r="C3" s="107"/>
      <c r="D3" s="107"/>
      <c r="E3" s="107"/>
      <c r="F3" s="107"/>
      <c r="G3" s="107"/>
      <c r="H3" s="3" t="s">
        <v>99</v>
      </c>
      <c r="I3" s="3" t="s">
        <v>98</v>
      </c>
      <c r="J3" s="3" t="s">
        <v>2</v>
      </c>
      <c r="L3" s="109"/>
      <c r="M3" s="109"/>
      <c r="N3" s="109"/>
      <c r="O3" s="109"/>
      <c r="P3" s="109"/>
      <c r="Q3" s="109"/>
      <c r="R3" s="109"/>
      <c r="S3" s="109"/>
      <c r="T3" s="109"/>
      <c r="U3" s="109"/>
    </row>
    <row r="4" spans="1:22" ht="31.5" customHeight="1" thickBot="1" x14ac:dyDescent="0.35">
      <c r="A4" s="108"/>
      <c r="B4" s="108"/>
      <c r="C4" s="108"/>
      <c r="D4" s="108"/>
      <c r="E4" s="108"/>
      <c r="F4" s="108"/>
      <c r="G4" s="108"/>
      <c r="H4" s="43"/>
      <c r="I4" s="3"/>
      <c r="J4" s="3"/>
      <c r="L4" s="111" t="s">
        <v>3</v>
      </c>
      <c r="M4" s="112"/>
      <c r="N4" s="112" t="s">
        <v>4</v>
      </c>
      <c r="O4" s="112" t="s">
        <v>5</v>
      </c>
      <c r="P4" s="112"/>
      <c r="Q4" s="112"/>
      <c r="R4" s="112"/>
      <c r="S4" s="112"/>
      <c r="T4" s="112"/>
      <c r="U4" s="114" t="s">
        <v>6</v>
      </c>
    </row>
    <row r="5" spans="1:22" ht="18" customHeight="1" x14ac:dyDescent="0.3">
      <c r="A5" s="5" t="s">
        <v>7</v>
      </c>
      <c r="B5" s="6" t="s">
        <v>8</v>
      </c>
      <c r="C5" s="7" t="s">
        <v>9</v>
      </c>
      <c r="D5" s="7" t="s">
        <v>10</v>
      </c>
      <c r="E5" s="7" t="s">
        <v>11</v>
      </c>
      <c r="F5" s="8" t="s">
        <v>12</v>
      </c>
      <c r="G5" s="8" t="s">
        <v>13</v>
      </c>
      <c r="H5" s="9" t="s">
        <v>14</v>
      </c>
      <c r="I5" s="10" t="s">
        <v>15</v>
      </c>
      <c r="J5" s="11" t="s">
        <v>16</v>
      </c>
      <c r="L5" s="12" t="s">
        <v>17</v>
      </c>
      <c r="M5" s="13" t="s">
        <v>18</v>
      </c>
      <c r="N5" s="113"/>
      <c r="O5" s="14" t="s">
        <v>12</v>
      </c>
      <c r="P5" s="13" t="s">
        <v>13</v>
      </c>
      <c r="Q5" s="13" t="s">
        <v>14</v>
      </c>
      <c r="R5" s="113" t="s">
        <v>19</v>
      </c>
      <c r="S5" s="113"/>
      <c r="T5" s="113"/>
      <c r="U5" s="115"/>
    </row>
    <row r="6" spans="1:22" ht="18" customHeight="1" x14ac:dyDescent="0.3">
      <c r="A6" s="15">
        <v>1</v>
      </c>
      <c r="B6" s="16"/>
      <c r="C6" s="73" t="s">
        <v>228</v>
      </c>
      <c r="D6" s="73"/>
      <c r="E6" s="73" t="s">
        <v>285</v>
      </c>
      <c r="F6" s="66"/>
      <c r="G6" s="66"/>
      <c r="H6" s="19">
        <v>3273600</v>
      </c>
      <c r="I6" s="3"/>
      <c r="J6" s="20"/>
      <c r="K6" s="21"/>
      <c r="L6" s="93" t="s">
        <v>20</v>
      </c>
      <c r="M6" s="17" t="s">
        <v>21</v>
      </c>
      <c r="N6" s="17" t="s">
        <v>22</v>
      </c>
      <c r="O6" s="22">
        <f t="shared" ref="O6:O58" si="0">SUMIF($D$6:$D$130,$M6,$F$6:$F$130)</f>
        <v>0</v>
      </c>
      <c r="P6" s="22">
        <f t="shared" ref="P6:P58" si="1">SUMIF($D$6:$D$130,$M6,$G$6:$G$130)</f>
        <v>0</v>
      </c>
      <c r="Q6" s="22">
        <f t="shared" ref="Q6:Q58" si="2">SUMIF($D$6:$D$130,$M6,$H$6:$H$130)</f>
        <v>0</v>
      </c>
      <c r="R6" s="92"/>
      <c r="S6" s="92"/>
      <c r="T6" s="92"/>
      <c r="U6" s="23">
        <f t="shared" ref="U6:U58" si="3">SUM(O6:Q6)</f>
        <v>0</v>
      </c>
      <c r="V6" s="21"/>
    </row>
    <row r="7" spans="1:22" ht="18" customHeight="1" x14ac:dyDescent="0.3">
      <c r="A7" s="15">
        <v>2</v>
      </c>
      <c r="B7" s="16"/>
      <c r="C7" s="3"/>
      <c r="D7" s="17"/>
      <c r="E7" s="3"/>
      <c r="F7" s="18"/>
      <c r="G7" s="18"/>
      <c r="H7" s="19">
        <v>3190000</v>
      </c>
      <c r="I7" s="3"/>
      <c r="J7" s="20"/>
      <c r="K7" s="21"/>
      <c r="L7" s="93"/>
      <c r="M7" s="17" t="s">
        <v>70</v>
      </c>
      <c r="N7" s="17"/>
      <c r="O7" s="22">
        <f t="shared" si="0"/>
        <v>0</v>
      </c>
      <c r="P7" s="22">
        <f t="shared" si="1"/>
        <v>0</v>
      </c>
      <c r="Q7" s="22">
        <f t="shared" si="2"/>
        <v>0</v>
      </c>
      <c r="R7" s="92"/>
      <c r="S7" s="92"/>
      <c r="T7" s="92"/>
      <c r="U7" s="23">
        <f t="shared" si="3"/>
        <v>0</v>
      </c>
      <c r="V7" s="21"/>
    </row>
    <row r="8" spans="1:22" ht="18" customHeight="1" x14ac:dyDescent="0.3">
      <c r="A8" s="15">
        <v>3</v>
      </c>
      <c r="B8" s="16"/>
      <c r="C8" s="3"/>
      <c r="D8" s="17"/>
      <c r="E8" s="3"/>
      <c r="F8" s="18"/>
      <c r="G8" s="18"/>
      <c r="H8" s="19"/>
      <c r="I8" s="3"/>
      <c r="J8" s="20"/>
      <c r="K8" s="21"/>
      <c r="L8" s="93"/>
      <c r="M8" s="17" t="s">
        <v>91</v>
      </c>
      <c r="N8" s="17"/>
      <c r="O8" s="22">
        <f t="shared" si="0"/>
        <v>0</v>
      </c>
      <c r="P8" s="22">
        <f t="shared" si="1"/>
        <v>0</v>
      </c>
      <c r="Q8" s="22">
        <f t="shared" si="2"/>
        <v>0</v>
      </c>
      <c r="R8" s="92"/>
      <c r="S8" s="92"/>
      <c r="T8" s="92"/>
      <c r="U8" s="23">
        <f t="shared" si="3"/>
        <v>0</v>
      </c>
      <c r="V8" s="21"/>
    </row>
    <row r="9" spans="1:22" ht="18" customHeight="1" x14ac:dyDescent="0.3">
      <c r="A9" s="15">
        <v>4</v>
      </c>
      <c r="B9" s="16"/>
      <c r="C9" s="3"/>
      <c r="D9" s="17"/>
      <c r="E9" s="3"/>
      <c r="F9" s="18"/>
      <c r="G9" s="18"/>
      <c r="H9" s="19"/>
      <c r="I9" s="3"/>
      <c r="J9" s="20"/>
      <c r="K9" s="21"/>
      <c r="L9" s="93"/>
      <c r="M9" s="17" t="s">
        <v>23</v>
      </c>
      <c r="N9" s="17"/>
      <c r="O9" s="22">
        <f t="shared" si="0"/>
        <v>0</v>
      </c>
      <c r="P9" s="22">
        <f t="shared" si="1"/>
        <v>0</v>
      </c>
      <c r="Q9" s="22">
        <f t="shared" si="2"/>
        <v>0</v>
      </c>
      <c r="R9" s="92"/>
      <c r="S9" s="92"/>
      <c r="T9" s="92"/>
      <c r="U9" s="23">
        <f t="shared" si="3"/>
        <v>0</v>
      </c>
      <c r="V9" s="21"/>
    </row>
    <row r="10" spans="1:22" ht="18" customHeight="1" x14ac:dyDescent="0.3">
      <c r="A10" s="15">
        <v>5</v>
      </c>
      <c r="B10" s="16"/>
      <c r="C10" s="3"/>
      <c r="D10" s="17"/>
      <c r="E10" s="17"/>
      <c r="F10" s="18"/>
      <c r="G10" s="18"/>
      <c r="H10" s="19"/>
      <c r="I10" s="3"/>
      <c r="J10" s="20"/>
      <c r="K10" s="21"/>
      <c r="L10" s="93"/>
      <c r="M10" s="17" t="s">
        <v>24</v>
      </c>
      <c r="N10" s="17" t="s">
        <v>25</v>
      </c>
      <c r="O10" s="22">
        <f t="shared" si="0"/>
        <v>0</v>
      </c>
      <c r="P10" s="22">
        <f t="shared" si="1"/>
        <v>0</v>
      </c>
      <c r="Q10" s="22">
        <f t="shared" si="2"/>
        <v>0</v>
      </c>
      <c r="R10" s="92"/>
      <c r="S10" s="92"/>
      <c r="T10" s="92"/>
      <c r="U10" s="23">
        <f t="shared" si="3"/>
        <v>0</v>
      </c>
      <c r="V10" s="21"/>
    </row>
    <row r="11" spans="1:22" ht="18" customHeight="1" x14ac:dyDescent="0.3">
      <c r="A11" s="15">
        <v>6</v>
      </c>
      <c r="B11" s="16"/>
      <c r="C11" s="3"/>
      <c r="D11" s="17"/>
      <c r="E11" s="3"/>
      <c r="F11" s="18"/>
      <c r="G11" s="18"/>
      <c r="H11" s="19"/>
      <c r="I11" s="3"/>
      <c r="J11" s="20"/>
      <c r="K11" s="21"/>
      <c r="L11" s="93"/>
      <c r="M11" s="17" t="s">
        <v>26</v>
      </c>
      <c r="N11" s="17" t="s">
        <v>27</v>
      </c>
      <c r="O11" s="22">
        <f t="shared" si="0"/>
        <v>0</v>
      </c>
      <c r="P11" s="22">
        <f t="shared" si="1"/>
        <v>0</v>
      </c>
      <c r="Q11" s="22">
        <f t="shared" si="2"/>
        <v>0</v>
      </c>
      <c r="R11" s="92"/>
      <c r="S11" s="92"/>
      <c r="T11" s="92"/>
      <c r="U11" s="23">
        <f t="shared" si="3"/>
        <v>0</v>
      </c>
      <c r="V11" s="21"/>
    </row>
    <row r="12" spans="1:22" ht="18" customHeight="1" x14ac:dyDescent="0.3">
      <c r="A12" s="15">
        <v>7</v>
      </c>
      <c r="B12" s="16"/>
      <c r="C12" s="3"/>
      <c r="D12" s="17"/>
      <c r="E12" s="3"/>
      <c r="F12" s="18"/>
      <c r="G12" s="18"/>
      <c r="H12" s="19"/>
      <c r="I12" s="3"/>
      <c r="J12" s="20"/>
      <c r="K12" s="21"/>
      <c r="L12" s="93" t="s">
        <v>28</v>
      </c>
      <c r="M12" s="24" t="s">
        <v>90</v>
      </c>
      <c r="N12" s="17"/>
      <c r="O12" s="22">
        <f t="shared" si="0"/>
        <v>0</v>
      </c>
      <c r="P12" s="22">
        <f t="shared" si="1"/>
        <v>0</v>
      </c>
      <c r="Q12" s="22">
        <f t="shared" si="2"/>
        <v>0</v>
      </c>
      <c r="R12" s="104"/>
      <c r="S12" s="105"/>
      <c r="T12" s="106"/>
      <c r="U12" s="23">
        <f t="shared" si="3"/>
        <v>0</v>
      </c>
      <c r="V12" s="21"/>
    </row>
    <row r="13" spans="1:22" ht="18" customHeight="1" x14ac:dyDescent="0.3">
      <c r="A13" s="15">
        <v>8</v>
      </c>
      <c r="B13" s="16"/>
      <c r="C13" s="3"/>
      <c r="D13" s="17"/>
      <c r="E13" s="3"/>
      <c r="F13" s="18"/>
      <c r="G13" s="18"/>
      <c r="H13" s="19"/>
      <c r="I13" s="3"/>
      <c r="J13" s="20"/>
      <c r="K13" s="21"/>
      <c r="L13" s="93"/>
      <c r="M13" s="17" t="s">
        <v>29</v>
      </c>
      <c r="N13" s="17"/>
      <c r="O13" s="22">
        <f t="shared" si="0"/>
        <v>0</v>
      </c>
      <c r="P13" s="22">
        <f t="shared" si="1"/>
        <v>0</v>
      </c>
      <c r="Q13" s="22">
        <f t="shared" si="2"/>
        <v>0</v>
      </c>
      <c r="R13" s="104"/>
      <c r="S13" s="105"/>
      <c r="T13" s="106"/>
      <c r="U13" s="23">
        <f t="shared" si="3"/>
        <v>0</v>
      </c>
      <c r="V13" s="21"/>
    </row>
    <row r="14" spans="1:22" ht="18" customHeight="1" x14ac:dyDescent="0.3">
      <c r="A14" s="15">
        <v>9</v>
      </c>
      <c r="B14" s="16"/>
      <c r="C14" s="3"/>
      <c r="D14" s="17"/>
      <c r="E14" s="17"/>
      <c r="F14" s="18"/>
      <c r="G14" s="18"/>
      <c r="H14" s="19"/>
      <c r="I14" s="3"/>
      <c r="J14" s="20"/>
      <c r="K14" s="21"/>
      <c r="L14" s="93"/>
      <c r="M14" s="17" t="s">
        <v>95</v>
      </c>
      <c r="N14" s="17"/>
      <c r="O14" s="22">
        <f t="shared" si="0"/>
        <v>0</v>
      </c>
      <c r="P14" s="22">
        <f t="shared" si="1"/>
        <v>0</v>
      </c>
      <c r="Q14" s="22">
        <f t="shared" si="2"/>
        <v>0</v>
      </c>
      <c r="R14" s="104"/>
      <c r="S14" s="105"/>
      <c r="T14" s="106"/>
      <c r="U14" s="23">
        <f t="shared" si="3"/>
        <v>0</v>
      </c>
      <c r="V14" s="21"/>
    </row>
    <row r="15" spans="1:22" ht="18" customHeight="1" x14ac:dyDescent="0.3">
      <c r="A15" s="15">
        <v>10</v>
      </c>
      <c r="B15" s="16"/>
      <c r="C15" s="3"/>
      <c r="D15" s="17"/>
      <c r="E15" s="17"/>
      <c r="F15" s="18"/>
      <c r="G15" s="18"/>
      <c r="H15" s="19"/>
      <c r="I15" s="3"/>
      <c r="J15" s="20"/>
      <c r="K15" s="21"/>
      <c r="L15" s="93"/>
      <c r="M15" s="17" t="s">
        <v>92</v>
      </c>
      <c r="N15" s="17"/>
      <c r="O15" s="22">
        <f t="shared" si="0"/>
        <v>0</v>
      </c>
      <c r="P15" s="22">
        <f t="shared" si="1"/>
        <v>0</v>
      </c>
      <c r="Q15" s="22">
        <f t="shared" si="2"/>
        <v>0</v>
      </c>
      <c r="R15" s="104"/>
      <c r="S15" s="105"/>
      <c r="T15" s="106"/>
      <c r="U15" s="23">
        <f t="shared" si="3"/>
        <v>0</v>
      </c>
      <c r="V15" s="21"/>
    </row>
    <row r="16" spans="1:22" ht="18" customHeight="1" x14ac:dyDescent="0.3">
      <c r="A16" s="15">
        <v>11</v>
      </c>
      <c r="B16" s="16"/>
      <c r="C16" s="3"/>
      <c r="D16" s="17"/>
      <c r="E16" s="17"/>
      <c r="F16" s="18"/>
      <c r="G16" s="18"/>
      <c r="H16" s="19"/>
      <c r="I16" s="3"/>
      <c r="J16" s="20"/>
      <c r="K16" s="21"/>
      <c r="L16" s="93"/>
      <c r="M16" s="17" t="s">
        <v>83</v>
      </c>
      <c r="N16" s="17" t="s">
        <v>30</v>
      </c>
      <c r="O16" s="22">
        <f t="shared" si="0"/>
        <v>0</v>
      </c>
      <c r="P16" s="22">
        <f t="shared" si="1"/>
        <v>0</v>
      </c>
      <c r="Q16" s="22">
        <f t="shared" si="2"/>
        <v>0</v>
      </c>
      <c r="R16" s="92"/>
      <c r="S16" s="92"/>
      <c r="T16" s="92"/>
      <c r="U16" s="23">
        <f t="shared" si="3"/>
        <v>0</v>
      </c>
      <c r="V16" s="21"/>
    </row>
    <row r="17" spans="1:22" ht="18" customHeight="1" x14ac:dyDescent="0.3">
      <c r="A17" s="15">
        <v>12</v>
      </c>
      <c r="B17" s="16"/>
      <c r="C17" s="3"/>
      <c r="D17" s="17"/>
      <c r="E17" s="3"/>
      <c r="F17" s="18"/>
      <c r="G17" s="18"/>
      <c r="H17" s="19"/>
      <c r="I17" s="3"/>
      <c r="J17" s="20"/>
      <c r="K17" s="21"/>
      <c r="L17" s="93"/>
      <c r="M17" s="17" t="s">
        <v>93</v>
      </c>
      <c r="N17" s="17"/>
      <c r="O17" s="22">
        <f t="shared" si="0"/>
        <v>0</v>
      </c>
      <c r="P17" s="22">
        <f t="shared" si="1"/>
        <v>0</v>
      </c>
      <c r="Q17" s="22">
        <f t="shared" si="2"/>
        <v>0</v>
      </c>
      <c r="R17" s="92"/>
      <c r="S17" s="92"/>
      <c r="T17" s="92"/>
      <c r="U17" s="23">
        <f t="shared" si="3"/>
        <v>0</v>
      </c>
      <c r="V17" s="21"/>
    </row>
    <row r="18" spans="1:22" ht="18" customHeight="1" x14ac:dyDescent="0.3">
      <c r="A18" s="15">
        <v>13</v>
      </c>
      <c r="B18" s="16"/>
      <c r="C18" s="3"/>
      <c r="D18" s="17"/>
      <c r="E18" s="3"/>
      <c r="F18" s="18"/>
      <c r="G18" s="18"/>
      <c r="H18" s="19"/>
      <c r="I18" s="3"/>
      <c r="J18" s="20"/>
      <c r="K18" s="21"/>
      <c r="L18" s="25" t="s">
        <v>31</v>
      </c>
      <c r="M18" s="17" t="s">
        <v>88</v>
      </c>
      <c r="N18" s="17"/>
      <c r="O18" s="22">
        <f t="shared" si="0"/>
        <v>0</v>
      </c>
      <c r="P18" s="22">
        <f t="shared" si="1"/>
        <v>0</v>
      </c>
      <c r="Q18" s="22">
        <f t="shared" si="2"/>
        <v>0</v>
      </c>
      <c r="R18" s="92"/>
      <c r="S18" s="92"/>
      <c r="T18" s="92"/>
      <c r="U18" s="23">
        <f t="shared" si="3"/>
        <v>0</v>
      </c>
      <c r="V18" s="21"/>
    </row>
    <row r="19" spans="1:22" ht="18" customHeight="1" x14ac:dyDescent="0.3">
      <c r="A19" s="15">
        <v>14</v>
      </c>
      <c r="B19" s="16"/>
      <c r="C19" s="3"/>
      <c r="D19" s="17"/>
      <c r="E19" s="3"/>
      <c r="F19" s="37"/>
      <c r="G19" s="18"/>
      <c r="H19" s="19"/>
      <c r="I19" s="3"/>
      <c r="J19" s="20"/>
      <c r="K19" s="21"/>
      <c r="L19" s="25" t="s">
        <v>32</v>
      </c>
      <c r="M19" s="17" t="s">
        <v>33</v>
      </c>
      <c r="N19" s="17"/>
      <c r="O19" s="22">
        <f t="shared" si="0"/>
        <v>0</v>
      </c>
      <c r="P19" s="22">
        <f t="shared" si="1"/>
        <v>0</v>
      </c>
      <c r="Q19" s="22">
        <f t="shared" si="2"/>
        <v>0</v>
      </c>
      <c r="R19" s="92"/>
      <c r="S19" s="92"/>
      <c r="T19" s="92"/>
      <c r="U19" s="23">
        <f t="shared" si="3"/>
        <v>0</v>
      </c>
      <c r="V19" s="21"/>
    </row>
    <row r="20" spans="1:22" ht="18" customHeight="1" x14ac:dyDescent="0.3">
      <c r="A20" s="15">
        <v>15</v>
      </c>
      <c r="B20" s="16"/>
      <c r="C20" s="3"/>
      <c r="D20" s="17"/>
      <c r="E20" s="3"/>
      <c r="F20" s="18"/>
      <c r="G20" s="18"/>
      <c r="H20" s="19"/>
      <c r="I20" s="3"/>
      <c r="J20" s="20"/>
      <c r="K20" s="21"/>
      <c r="L20" s="25" t="s">
        <v>34</v>
      </c>
      <c r="M20" s="17" t="s">
        <v>72</v>
      </c>
      <c r="N20" s="17"/>
      <c r="O20" s="22">
        <f t="shared" si="0"/>
        <v>0</v>
      </c>
      <c r="P20" s="22">
        <f t="shared" si="1"/>
        <v>0</v>
      </c>
      <c r="Q20" s="22">
        <f t="shared" si="2"/>
        <v>0</v>
      </c>
      <c r="R20" s="104"/>
      <c r="S20" s="105"/>
      <c r="T20" s="106"/>
      <c r="U20" s="23">
        <f t="shared" si="3"/>
        <v>0</v>
      </c>
      <c r="V20" s="21"/>
    </row>
    <row r="21" spans="1:22" ht="18" customHeight="1" x14ac:dyDescent="0.3">
      <c r="A21" s="15">
        <v>16</v>
      </c>
      <c r="B21" s="16"/>
      <c r="C21" s="3"/>
      <c r="D21" s="17"/>
      <c r="E21" s="3"/>
      <c r="F21" s="18"/>
      <c r="G21" s="19"/>
      <c r="H21" s="19"/>
      <c r="I21" s="3"/>
      <c r="J21" s="20"/>
      <c r="K21" s="21"/>
      <c r="L21" s="93" t="s">
        <v>35</v>
      </c>
      <c r="M21" s="17" t="s">
        <v>36</v>
      </c>
      <c r="N21" s="17"/>
      <c r="O21" s="22">
        <f t="shared" si="0"/>
        <v>0</v>
      </c>
      <c r="P21" s="22">
        <f t="shared" si="1"/>
        <v>0</v>
      </c>
      <c r="Q21" s="22">
        <f t="shared" si="2"/>
        <v>0</v>
      </c>
      <c r="R21" s="92"/>
      <c r="S21" s="92"/>
      <c r="T21" s="92"/>
      <c r="U21" s="23">
        <f t="shared" si="3"/>
        <v>0</v>
      </c>
      <c r="V21" s="21"/>
    </row>
    <row r="22" spans="1:22" ht="18" customHeight="1" x14ac:dyDescent="0.3">
      <c r="A22" s="15">
        <v>17</v>
      </c>
      <c r="B22" s="16"/>
      <c r="C22" s="3"/>
      <c r="D22" s="17"/>
      <c r="E22" s="3"/>
      <c r="F22" s="18"/>
      <c r="G22" s="18"/>
      <c r="H22" s="19"/>
      <c r="I22" s="3"/>
      <c r="J22" s="20"/>
      <c r="K22" s="21"/>
      <c r="L22" s="93"/>
      <c r="M22" s="17" t="s">
        <v>37</v>
      </c>
      <c r="N22" s="17"/>
      <c r="O22" s="22">
        <f t="shared" si="0"/>
        <v>0</v>
      </c>
      <c r="P22" s="22">
        <f t="shared" si="1"/>
        <v>0</v>
      </c>
      <c r="Q22" s="22">
        <f t="shared" si="2"/>
        <v>0</v>
      </c>
      <c r="R22" s="92"/>
      <c r="S22" s="92"/>
      <c r="T22" s="92"/>
      <c r="U22" s="23">
        <f t="shared" si="3"/>
        <v>0</v>
      </c>
      <c r="V22" s="21"/>
    </row>
    <row r="23" spans="1:22" ht="18" customHeight="1" x14ac:dyDescent="0.3">
      <c r="A23" s="15">
        <v>18</v>
      </c>
      <c r="B23" s="16"/>
      <c r="C23" s="3"/>
      <c r="D23" s="17"/>
      <c r="E23" s="3"/>
      <c r="F23" s="18"/>
      <c r="G23" s="19"/>
      <c r="H23" s="19"/>
      <c r="I23" s="3"/>
      <c r="J23" s="20"/>
      <c r="K23" s="21"/>
      <c r="L23" s="93"/>
      <c r="M23" s="17" t="s">
        <v>75</v>
      </c>
      <c r="N23" s="17"/>
      <c r="O23" s="22">
        <f t="shared" si="0"/>
        <v>0</v>
      </c>
      <c r="P23" s="22">
        <f t="shared" si="1"/>
        <v>0</v>
      </c>
      <c r="Q23" s="22">
        <f t="shared" si="2"/>
        <v>0</v>
      </c>
      <c r="R23" s="92"/>
      <c r="S23" s="92"/>
      <c r="T23" s="92"/>
      <c r="U23" s="23">
        <f t="shared" si="3"/>
        <v>0</v>
      </c>
      <c r="V23" s="21"/>
    </row>
    <row r="24" spans="1:22" ht="18" customHeight="1" x14ac:dyDescent="0.3">
      <c r="A24" s="15">
        <v>19</v>
      </c>
      <c r="B24" s="16"/>
      <c r="C24" s="3"/>
      <c r="D24" s="17"/>
      <c r="E24" s="3"/>
      <c r="F24" s="18"/>
      <c r="G24" s="19"/>
      <c r="H24" s="19"/>
      <c r="I24" s="3"/>
      <c r="J24" s="20"/>
      <c r="K24" s="21"/>
      <c r="L24" s="93"/>
      <c r="M24" s="17" t="s">
        <v>39</v>
      </c>
      <c r="N24" s="17"/>
      <c r="O24" s="22">
        <f t="shared" si="0"/>
        <v>0</v>
      </c>
      <c r="P24" s="22">
        <f t="shared" si="1"/>
        <v>0</v>
      </c>
      <c r="Q24" s="22">
        <f t="shared" si="2"/>
        <v>0</v>
      </c>
      <c r="R24" s="92"/>
      <c r="S24" s="92"/>
      <c r="T24" s="92"/>
      <c r="U24" s="23">
        <f t="shared" si="3"/>
        <v>0</v>
      </c>
      <c r="V24" s="21"/>
    </row>
    <row r="25" spans="1:22" ht="18" customHeight="1" x14ac:dyDescent="0.3">
      <c r="A25" s="15">
        <v>20</v>
      </c>
      <c r="B25" s="16"/>
      <c r="C25" s="3"/>
      <c r="D25" s="17"/>
      <c r="E25" s="3"/>
      <c r="F25" s="18"/>
      <c r="G25" s="19"/>
      <c r="H25" s="19"/>
      <c r="I25" s="3"/>
      <c r="J25" s="20"/>
      <c r="K25" s="21"/>
      <c r="L25" s="93"/>
      <c r="M25" s="17" t="s">
        <v>40</v>
      </c>
      <c r="N25" s="17"/>
      <c r="O25" s="22">
        <f t="shared" si="0"/>
        <v>0</v>
      </c>
      <c r="P25" s="22">
        <f t="shared" si="1"/>
        <v>0</v>
      </c>
      <c r="Q25" s="22">
        <f t="shared" si="2"/>
        <v>0</v>
      </c>
      <c r="R25" s="92"/>
      <c r="S25" s="92"/>
      <c r="T25" s="92"/>
      <c r="U25" s="23">
        <f t="shared" si="3"/>
        <v>0</v>
      </c>
      <c r="V25" s="21"/>
    </row>
    <row r="26" spans="1:22" ht="18" customHeight="1" x14ac:dyDescent="0.3">
      <c r="A26" s="15">
        <v>21</v>
      </c>
      <c r="B26" s="16"/>
      <c r="C26" s="3"/>
      <c r="D26" s="17"/>
      <c r="E26" s="17"/>
      <c r="F26" s="18"/>
      <c r="G26" s="19"/>
      <c r="H26" s="19"/>
      <c r="I26" s="3"/>
      <c r="J26" s="20"/>
      <c r="K26" s="21"/>
      <c r="L26" s="93"/>
      <c r="M26" s="17" t="s">
        <v>41</v>
      </c>
      <c r="N26" s="17"/>
      <c r="O26" s="22">
        <f t="shared" si="0"/>
        <v>0</v>
      </c>
      <c r="P26" s="22">
        <f t="shared" si="1"/>
        <v>0</v>
      </c>
      <c r="Q26" s="22">
        <f t="shared" si="2"/>
        <v>0</v>
      </c>
      <c r="R26" s="92"/>
      <c r="S26" s="92"/>
      <c r="T26" s="92"/>
      <c r="U26" s="23">
        <f t="shared" si="3"/>
        <v>0</v>
      </c>
      <c r="V26" s="21"/>
    </row>
    <row r="27" spans="1:22" ht="18" customHeight="1" x14ac:dyDescent="0.3">
      <c r="A27" s="15">
        <v>22</v>
      </c>
      <c r="B27" s="16"/>
      <c r="C27" s="3"/>
      <c r="D27" s="17"/>
      <c r="E27" s="3"/>
      <c r="F27" s="18"/>
      <c r="G27" s="19"/>
      <c r="H27" s="19"/>
      <c r="I27" s="3"/>
      <c r="J27" s="20"/>
      <c r="K27" s="21"/>
      <c r="L27" s="93"/>
      <c r="M27" s="17" t="s">
        <v>77</v>
      </c>
      <c r="N27" s="17"/>
      <c r="O27" s="22">
        <f t="shared" si="0"/>
        <v>0</v>
      </c>
      <c r="P27" s="22">
        <f t="shared" si="1"/>
        <v>0</v>
      </c>
      <c r="Q27" s="22">
        <f t="shared" si="2"/>
        <v>0</v>
      </c>
      <c r="R27" s="92"/>
      <c r="S27" s="92"/>
      <c r="T27" s="92"/>
      <c r="U27" s="23">
        <f t="shared" si="3"/>
        <v>0</v>
      </c>
      <c r="V27" s="21"/>
    </row>
    <row r="28" spans="1:22" ht="18" customHeight="1" x14ac:dyDescent="0.3">
      <c r="A28" s="15">
        <v>23</v>
      </c>
      <c r="B28" s="16"/>
      <c r="C28" s="3"/>
      <c r="D28" s="17"/>
      <c r="E28" s="17"/>
      <c r="F28" s="18"/>
      <c r="G28" s="19"/>
      <c r="H28" s="19"/>
      <c r="I28" s="3"/>
      <c r="J28" s="20"/>
      <c r="K28" s="21"/>
      <c r="L28" s="93"/>
      <c r="M28" s="17" t="s">
        <v>78</v>
      </c>
      <c r="N28" s="17"/>
      <c r="O28" s="22">
        <f t="shared" si="0"/>
        <v>0</v>
      </c>
      <c r="P28" s="22">
        <f t="shared" si="1"/>
        <v>0</v>
      </c>
      <c r="Q28" s="22">
        <f t="shared" si="2"/>
        <v>0</v>
      </c>
      <c r="R28" s="92"/>
      <c r="S28" s="92"/>
      <c r="T28" s="92"/>
      <c r="U28" s="23">
        <f t="shared" si="3"/>
        <v>0</v>
      </c>
      <c r="V28" s="21"/>
    </row>
    <row r="29" spans="1:22" ht="18" customHeight="1" x14ac:dyDescent="0.3">
      <c r="A29" s="15">
        <v>24</v>
      </c>
      <c r="B29" s="16"/>
      <c r="C29" s="3"/>
      <c r="D29" s="17"/>
      <c r="E29" s="3"/>
      <c r="F29" s="19"/>
      <c r="G29" s="18"/>
      <c r="H29" s="19"/>
      <c r="I29" s="3"/>
      <c r="J29" s="20"/>
      <c r="K29" s="21"/>
      <c r="L29" s="93"/>
      <c r="M29" s="17" t="s">
        <v>86</v>
      </c>
      <c r="N29" s="17"/>
      <c r="O29" s="22">
        <f t="shared" si="0"/>
        <v>0</v>
      </c>
      <c r="P29" s="22">
        <f t="shared" si="1"/>
        <v>0</v>
      </c>
      <c r="Q29" s="22">
        <f t="shared" si="2"/>
        <v>0</v>
      </c>
      <c r="R29" s="92"/>
      <c r="S29" s="92"/>
      <c r="T29" s="92"/>
      <c r="U29" s="23">
        <f t="shared" si="3"/>
        <v>0</v>
      </c>
      <c r="V29" s="21"/>
    </row>
    <row r="30" spans="1:22" ht="18" customHeight="1" x14ac:dyDescent="0.3">
      <c r="A30" s="15">
        <v>25</v>
      </c>
      <c r="B30" s="16"/>
      <c r="C30" s="3"/>
      <c r="D30" s="17"/>
      <c r="E30" s="17"/>
      <c r="F30" s="19"/>
      <c r="G30" s="18"/>
      <c r="H30" s="19"/>
      <c r="I30" s="3"/>
      <c r="J30" s="20"/>
      <c r="K30" s="21"/>
      <c r="L30" s="93"/>
      <c r="M30" s="17" t="s">
        <v>94</v>
      </c>
      <c r="N30" s="17" t="s">
        <v>42</v>
      </c>
      <c r="O30" s="22">
        <f t="shared" si="0"/>
        <v>0</v>
      </c>
      <c r="P30" s="22">
        <f t="shared" si="1"/>
        <v>0</v>
      </c>
      <c r="Q30" s="22">
        <f t="shared" si="2"/>
        <v>0</v>
      </c>
      <c r="R30" s="92"/>
      <c r="S30" s="92"/>
      <c r="T30" s="92"/>
      <c r="U30" s="23">
        <f t="shared" si="3"/>
        <v>0</v>
      </c>
      <c r="V30" s="21"/>
    </row>
    <row r="31" spans="1:22" ht="18" customHeight="1" x14ac:dyDescent="0.3">
      <c r="A31" s="15">
        <v>26</v>
      </c>
      <c r="B31" s="16"/>
      <c r="C31" s="3"/>
      <c r="D31" s="17"/>
      <c r="E31" s="17"/>
      <c r="F31" s="19"/>
      <c r="G31" s="18"/>
      <c r="H31" s="19"/>
      <c r="I31" s="3"/>
      <c r="J31" s="20"/>
      <c r="K31" s="21"/>
      <c r="L31" s="93"/>
      <c r="M31" s="17" t="s">
        <v>43</v>
      </c>
      <c r="N31" s="17" t="s">
        <v>44</v>
      </c>
      <c r="O31" s="22">
        <f t="shared" si="0"/>
        <v>0</v>
      </c>
      <c r="P31" s="22">
        <f t="shared" si="1"/>
        <v>0</v>
      </c>
      <c r="Q31" s="22">
        <f t="shared" si="2"/>
        <v>0</v>
      </c>
      <c r="R31" s="92"/>
      <c r="S31" s="92"/>
      <c r="T31" s="92"/>
      <c r="U31" s="23">
        <f t="shared" si="3"/>
        <v>0</v>
      </c>
      <c r="V31" s="21"/>
    </row>
    <row r="32" spans="1:22" ht="18" customHeight="1" x14ac:dyDescent="0.3">
      <c r="A32" s="15">
        <v>27</v>
      </c>
      <c r="B32" s="16"/>
      <c r="C32" s="3"/>
      <c r="D32" s="17"/>
      <c r="E32" s="3"/>
      <c r="F32" s="18"/>
      <c r="G32" s="19"/>
      <c r="H32" s="19"/>
      <c r="I32" s="3"/>
      <c r="J32" s="20"/>
      <c r="K32" s="21"/>
      <c r="L32" s="93"/>
      <c r="M32" s="17" t="s">
        <v>45</v>
      </c>
      <c r="N32" s="17" t="s">
        <v>46</v>
      </c>
      <c r="O32" s="22">
        <f>SUMIF($D$6:$D$130,$M32,$F$6:$F$130)</f>
        <v>0</v>
      </c>
      <c r="P32" s="22">
        <f t="shared" si="1"/>
        <v>0</v>
      </c>
      <c r="Q32" s="22">
        <f t="shared" si="2"/>
        <v>0</v>
      </c>
      <c r="R32" s="92"/>
      <c r="S32" s="92"/>
      <c r="T32" s="92"/>
      <c r="U32" s="23">
        <f t="shared" si="3"/>
        <v>0</v>
      </c>
      <c r="V32" s="21"/>
    </row>
    <row r="33" spans="1:22" ht="18" customHeight="1" x14ac:dyDescent="0.3">
      <c r="A33" s="15">
        <v>28</v>
      </c>
      <c r="B33" s="16"/>
      <c r="C33" s="3"/>
      <c r="D33" s="24"/>
      <c r="E33" s="3"/>
      <c r="F33" s="18"/>
      <c r="G33" s="19"/>
      <c r="H33" s="19"/>
      <c r="I33" s="3"/>
      <c r="J33" s="20"/>
      <c r="K33" s="21"/>
      <c r="L33" s="93"/>
      <c r="M33" s="17" t="s">
        <v>47</v>
      </c>
      <c r="N33" s="17"/>
      <c r="O33" s="22">
        <f t="shared" si="0"/>
        <v>0</v>
      </c>
      <c r="P33" s="22">
        <f t="shared" si="1"/>
        <v>0</v>
      </c>
      <c r="Q33" s="22">
        <f t="shared" si="2"/>
        <v>0</v>
      </c>
      <c r="R33" s="92"/>
      <c r="S33" s="92"/>
      <c r="T33" s="92"/>
      <c r="U33" s="23">
        <f t="shared" si="3"/>
        <v>0</v>
      </c>
      <c r="V33" s="21"/>
    </row>
    <row r="34" spans="1:22" ht="18" customHeight="1" x14ac:dyDescent="0.3">
      <c r="A34" s="15">
        <v>29</v>
      </c>
      <c r="B34" s="16"/>
      <c r="C34" s="3"/>
      <c r="D34" s="17"/>
      <c r="E34" s="3"/>
      <c r="F34" s="18"/>
      <c r="G34" s="18"/>
      <c r="H34" s="19"/>
      <c r="I34" s="3"/>
      <c r="J34" s="20"/>
      <c r="K34" s="21"/>
      <c r="L34" s="93"/>
      <c r="M34" s="17" t="s">
        <v>48</v>
      </c>
      <c r="N34" s="17"/>
      <c r="O34" s="22">
        <f t="shared" si="0"/>
        <v>0</v>
      </c>
      <c r="P34" s="22">
        <f t="shared" si="1"/>
        <v>0</v>
      </c>
      <c r="Q34" s="22">
        <f t="shared" si="2"/>
        <v>0</v>
      </c>
      <c r="R34" s="92"/>
      <c r="S34" s="92"/>
      <c r="T34" s="92"/>
      <c r="U34" s="23">
        <f t="shared" si="3"/>
        <v>0</v>
      </c>
      <c r="V34" s="21"/>
    </row>
    <row r="35" spans="1:22" ht="18" customHeight="1" x14ac:dyDescent="0.3">
      <c r="A35" s="15">
        <v>30</v>
      </c>
      <c r="B35" s="16"/>
      <c r="C35" s="3"/>
      <c r="D35" s="17"/>
      <c r="E35" s="3"/>
      <c r="F35" s="18"/>
      <c r="G35" s="18"/>
      <c r="H35" s="19"/>
      <c r="I35" s="3"/>
      <c r="J35" s="20"/>
      <c r="K35" s="21"/>
      <c r="L35" s="93" t="s">
        <v>49</v>
      </c>
      <c r="M35" s="17" t="s">
        <v>50</v>
      </c>
      <c r="N35" s="17"/>
      <c r="O35" s="22">
        <f t="shared" si="0"/>
        <v>0</v>
      </c>
      <c r="P35" s="22">
        <f t="shared" si="1"/>
        <v>0</v>
      </c>
      <c r="Q35" s="22">
        <f t="shared" si="2"/>
        <v>0</v>
      </c>
      <c r="R35" s="92"/>
      <c r="S35" s="92"/>
      <c r="T35" s="92"/>
      <c r="U35" s="23">
        <f t="shared" si="3"/>
        <v>0</v>
      </c>
      <c r="V35" s="21"/>
    </row>
    <row r="36" spans="1:22" ht="18" customHeight="1" x14ac:dyDescent="0.3">
      <c r="A36" s="15">
        <v>31</v>
      </c>
      <c r="B36" s="16"/>
      <c r="C36" s="3"/>
      <c r="D36" s="17"/>
      <c r="E36" s="3"/>
      <c r="F36" s="18"/>
      <c r="G36" s="19"/>
      <c r="H36" s="19"/>
      <c r="I36" s="3"/>
      <c r="J36" s="20"/>
      <c r="K36" s="21"/>
      <c r="L36" s="93"/>
      <c r="M36" s="17" t="s">
        <v>76</v>
      </c>
      <c r="N36" s="17"/>
      <c r="O36" s="22">
        <f t="shared" si="0"/>
        <v>0</v>
      </c>
      <c r="P36" s="22">
        <f t="shared" si="1"/>
        <v>0</v>
      </c>
      <c r="Q36" s="22">
        <f t="shared" si="2"/>
        <v>0</v>
      </c>
      <c r="R36" s="92" t="s">
        <v>38</v>
      </c>
      <c r="S36" s="92"/>
      <c r="T36" s="92"/>
      <c r="U36" s="23">
        <f t="shared" si="3"/>
        <v>0</v>
      </c>
      <c r="V36" s="21"/>
    </row>
    <row r="37" spans="1:22" ht="18" customHeight="1" x14ac:dyDescent="0.3">
      <c r="A37" s="15">
        <v>32</v>
      </c>
      <c r="B37" s="16"/>
      <c r="C37" s="3"/>
      <c r="D37" s="17"/>
      <c r="E37" s="3"/>
      <c r="F37" s="18"/>
      <c r="G37" s="18"/>
      <c r="H37" s="19"/>
      <c r="I37" s="3"/>
      <c r="J37" s="20"/>
      <c r="K37" s="21"/>
      <c r="L37" s="93"/>
      <c r="M37" s="17" t="s">
        <v>85</v>
      </c>
      <c r="N37" s="17"/>
      <c r="O37" s="22">
        <f t="shared" si="0"/>
        <v>0</v>
      </c>
      <c r="P37" s="22">
        <f t="shared" si="1"/>
        <v>0</v>
      </c>
      <c r="Q37" s="22">
        <f t="shared" si="2"/>
        <v>0</v>
      </c>
      <c r="R37" s="92"/>
      <c r="S37" s="92"/>
      <c r="T37" s="92"/>
      <c r="U37" s="23">
        <f t="shared" si="3"/>
        <v>0</v>
      </c>
      <c r="V37" s="21"/>
    </row>
    <row r="38" spans="1:22" ht="18" customHeight="1" x14ac:dyDescent="0.3">
      <c r="A38" s="15">
        <v>33</v>
      </c>
      <c r="B38" s="16"/>
      <c r="C38" s="3"/>
      <c r="D38" s="17"/>
      <c r="E38" s="3"/>
      <c r="F38" s="18"/>
      <c r="G38" s="18"/>
      <c r="H38" s="19"/>
      <c r="I38" s="3"/>
      <c r="J38" s="26"/>
      <c r="K38" s="21"/>
      <c r="L38" s="93"/>
      <c r="M38" s="17" t="s">
        <v>51</v>
      </c>
      <c r="N38" s="17"/>
      <c r="O38" s="22">
        <f t="shared" si="0"/>
        <v>0</v>
      </c>
      <c r="P38" s="22">
        <f t="shared" si="1"/>
        <v>0</v>
      </c>
      <c r="Q38" s="22">
        <f t="shared" si="2"/>
        <v>0</v>
      </c>
      <c r="R38" s="92"/>
      <c r="S38" s="92"/>
      <c r="T38" s="92"/>
      <c r="U38" s="23">
        <f t="shared" si="3"/>
        <v>0</v>
      </c>
      <c r="V38" s="21"/>
    </row>
    <row r="39" spans="1:22" ht="18" customHeight="1" x14ac:dyDescent="0.3">
      <c r="A39" s="15">
        <v>34</v>
      </c>
      <c r="B39" s="16"/>
      <c r="C39" s="3"/>
      <c r="D39" s="17"/>
      <c r="E39" s="3"/>
      <c r="F39" s="18"/>
      <c r="G39" s="18"/>
      <c r="H39" s="19"/>
      <c r="I39" s="3"/>
      <c r="J39" s="26"/>
      <c r="K39" s="21"/>
      <c r="L39" s="93"/>
      <c r="M39" s="17" t="s">
        <v>79</v>
      </c>
      <c r="N39" s="17"/>
      <c r="O39" s="22">
        <f t="shared" si="0"/>
        <v>0</v>
      </c>
      <c r="P39" s="22">
        <f t="shared" si="1"/>
        <v>0</v>
      </c>
      <c r="Q39" s="22">
        <f t="shared" si="2"/>
        <v>0</v>
      </c>
      <c r="R39" s="104"/>
      <c r="S39" s="105"/>
      <c r="T39" s="106"/>
      <c r="U39" s="23">
        <f t="shared" si="3"/>
        <v>0</v>
      </c>
      <c r="V39" s="21"/>
    </row>
    <row r="40" spans="1:22" ht="18" customHeight="1" x14ac:dyDescent="0.3">
      <c r="A40" s="15">
        <v>35</v>
      </c>
      <c r="B40" s="16"/>
      <c r="C40" s="3"/>
      <c r="D40" s="17"/>
      <c r="E40" s="3"/>
      <c r="F40" s="18"/>
      <c r="G40" s="18"/>
      <c r="H40" s="19"/>
      <c r="I40" s="3"/>
      <c r="J40" s="20"/>
      <c r="K40" s="21"/>
      <c r="L40" s="93"/>
      <c r="M40" s="17" t="s">
        <v>52</v>
      </c>
      <c r="N40" s="17"/>
      <c r="O40" s="22">
        <f t="shared" si="0"/>
        <v>0</v>
      </c>
      <c r="P40" s="22">
        <f t="shared" si="1"/>
        <v>0</v>
      </c>
      <c r="Q40" s="22">
        <f t="shared" si="2"/>
        <v>0</v>
      </c>
      <c r="R40" s="92"/>
      <c r="S40" s="92"/>
      <c r="T40" s="92"/>
      <c r="U40" s="23">
        <f t="shared" si="3"/>
        <v>0</v>
      </c>
      <c r="V40" s="21"/>
    </row>
    <row r="41" spans="1:22" ht="18" customHeight="1" x14ac:dyDescent="0.3">
      <c r="A41" s="15">
        <v>36</v>
      </c>
      <c r="B41" s="16"/>
      <c r="C41" s="3"/>
      <c r="D41" s="17"/>
      <c r="E41" s="17"/>
      <c r="F41" s="18"/>
      <c r="G41" s="19"/>
      <c r="H41" s="19"/>
      <c r="I41" s="3"/>
      <c r="J41" s="20"/>
      <c r="K41" s="21"/>
      <c r="L41" s="93" t="s">
        <v>53</v>
      </c>
      <c r="M41" s="17" t="s">
        <v>74</v>
      </c>
      <c r="N41" s="17"/>
      <c r="O41" s="22">
        <f t="shared" si="0"/>
        <v>0</v>
      </c>
      <c r="P41" s="22">
        <f t="shared" si="1"/>
        <v>0</v>
      </c>
      <c r="Q41" s="22">
        <f t="shared" si="2"/>
        <v>0</v>
      </c>
      <c r="R41" s="92"/>
      <c r="S41" s="92"/>
      <c r="T41" s="92"/>
      <c r="U41" s="23">
        <f t="shared" si="3"/>
        <v>0</v>
      </c>
      <c r="V41" s="21"/>
    </row>
    <row r="42" spans="1:22" ht="18" customHeight="1" x14ac:dyDescent="0.3">
      <c r="A42" s="15">
        <v>37</v>
      </c>
      <c r="B42" s="16"/>
      <c r="C42" s="3"/>
      <c r="D42" s="17"/>
      <c r="E42" s="3"/>
      <c r="F42" s="18"/>
      <c r="G42" s="18"/>
      <c r="H42" s="27"/>
      <c r="I42" s="3"/>
      <c r="J42" s="20"/>
      <c r="K42" s="21"/>
      <c r="L42" s="93"/>
      <c r="M42" s="17" t="s">
        <v>73</v>
      </c>
      <c r="N42" s="17"/>
      <c r="O42" s="22">
        <f t="shared" si="0"/>
        <v>0</v>
      </c>
      <c r="P42" s="22">
        <f t="shared" si="1"/>
        <v>0</v>
      </c>
      <c r="Q42" s="22">
        <f t="shared" si="2"/>
        <v>0</v>
      </c>
      <c r="R42" s="92"/>
      <c r="S42" s="92"/>
      <c r="T42" s="92"/>
      <c r="U42" s="23">
        <f t="shared" si="3"/>
        <v>0</v>
      </c>
      <c r="V42" s="21"/>
    </row>
    <row r="43" spans="1:22" ht="18" customHeight="1" x14ac:dyDescent="0.3">
      <c r="A43" s="15">
        <v>38</v>
      </c>
      <c r="B43" s="16"/>
      <c r="C43" s="3"/>
      <c r="D43" s="17"/>
      <c r="E43" s="3"/>
      <c r="F43" s="18"/>
      <c r="G43" s="18"/>
      <c r="H43" s="27"/>
      <c r="I43" s="3"/>
      <c r="J43" s="20"/>
      <c r="K43" s="21"/>
      <c r="L43" s="93"/>
      <c r="M43" s="17" t="s">
        <v>80</v>
      </c>
      <c r="N43" s="17"/>
      <c r="O43" s="22">
        <f t="shared" si="0"/>
        <v>0</v>
      </c>
      <c r="P43" s="22">
        <f t="shared" si="1"/>
        <v>0</v>
      </c>
      <c r="Q43" s="22">
        <f t="shared" si="2"/>
        <v>0</v>
      </c>
      <c r="R43" s="92"/>
      <c r="S43" s="92"/>
      <c r="T43" s="92"/>
      <c r="U43" s="23">
        <f t="shared" si="3"/>
        <v>0</v>
      </c>
      <c r="V43" s="21"/>
    </row>
    <row r="44" spans="1:22" ht="18" customHeight="1" x14ac:dyDescent="0.3">
      <c r="A44" s="15">
        <v>39</v>
      </c>
      <c r="B44" s="16"/>
      <c r="C44" s="3"/>
      <c r="D44" s="24"/>
      <c r="E44" s="3"/>
      <c r="F44" s="18"/>
      <c r="G44" s="18"/>
      <c r="H44" s="27"/>
      <c r="I44" s="3"/>
      <c r="J44" s="20"/>
      <c r="K44" s="21"/>
      <c r="L44" s="93"/>
      <c r="M44" s="17" t="s">
        <v>54</v>
      </c>
      <c r="N44" s="17" t="s">
        <v>55</v>
      </c>
      <c r="O44" s="22">
        <f t="shared" si="0"/>
        <v>0</v>
      </c>
      <c r="P44" s="22">
        <f t="shared" si="1"/>
        <v>0</v>
      </c>
      <c r="Q44" s="22">
        <f t="shared" si="2"/>
        <v>0</v>
      </c>
      <c r="R44" s="92"/>
      <c r="S44" s="92"/>
      <c r="T44" s="92"/>
      <c r="U44" s="23">
        <f t="shared" si="3"/>
        <v>0</v>
      </c>
      <c r="V44" s="21"/>
    </row>
    <row r="45" spans="1:22" ht="18" customHeight="1" x14ac:dyDescent="0.3">
      <c r="A45" s="15">
        <v>40</v>
      </c>
      <c r="B45" s="16"/>
      <c r="C45" s="3"/>
      <c r="D45" s="17"/>
      <c r="E45" s="3"/>
      <c r="F45" s="18"/>
      <c r="G45" s="18"/>
      <c r="H45" s="27"/>
      <c r="I45" s="3"/>
      <c r="J45" s="20"/>
      <c r="K45" s="21"/>
      <c r="L45" s="93"/>
      <c r="M45" s="17" t="s">
        <v>87</v>
      </c>
      <c r="N45" s="17"/>
      <c r="O45" s="22">
        <f t="shared" si="0"/>
        <v>0</v>
      </c>
      <c r="P45" s="22">
        <f t="shared" si="1"/>
        <v>0</v>
      </c>
      <c r="Q45" s="22">
        <f t="shared" si="2"/>
        <v>0</v>
      </c>
      <c r="R45" s="92"/>
      <c r="S45" s="92"/>
      <c r="T45" s="92"/>
      <c r="U45" s="23">
        <f t="shared" si="3"/>
        <v>0</v>
      </c>
      <c r="V45" s="21"/>
    </row>
    <row r="46" spans="1:22" ht="18" customHeight="1" x14ac:dyDescent="0.3">
      <c r="A46" s="15">
        <v>41</v>
      </c>
      <c r="B46" s="16"/>
      <c r="C46" s="3"/>
      <c r="D46" s="17"/>
      <c r="E46" s="3"/>
      <c r="F46" s="18"/>
      <c r="G46" s="27"/>
      <c r="H46" s="27"/>
      <c r="I46" s="3"/>
      <c r="J46" s="20"/>
      <c r="K46" s="21"/>
      <c r="L46" s="93"/>
      <c r="M46" s="17" t="s">
        <v>56</v>
      </c>
      <c r="N46" s="17"/>
      <c r="O46" s="22">
        <f t="shared" si="0"/>
        <v>0</v>
      </c>
      <c r="P46" s="22">
        <f t="shared" si="1"/>
        <v>0</v>
      </c>
      <c r="Q46" s="22">
        <f t="shared" si="2"/>
        <v>0</v>
      </c>
      <c r="R46" s="92"/>
      <c r="S46" s="92"/>
      <c r="T46" s="92"/>
      <c r="U46" s="23">
        <f t="shared" si="3"/>
        <v>0</v>
      </c>
      <c r="V46" s="21"/>
    </row>
    <row r="47" spans="1:22" ht="18" customHeight="1" x14ac:dyDescent="0.3">
      <c r="A47" s="15">
        <v>42</v>
      </c>
      <c r="B47" s="16"/>
      <c r="C47" s="3"/>
      <c r="D47" s="17"/>
      <c r="E47" s="17"/>
      <c r="F47" s="18"/>
      <c r="G47" s="27"/>
      <c r="H47" s="27"/>
      <c r="I47" s="3"/>
      <c r="J47" s="20"/>
      <c r="K47" s="21"/>
      <c r="L47" s="93" t="s">
        <v>57</v>
      </c>
      <c r="M47" s="17" t="s">
        <v>81</v>
      </c>
      <c r="N47" s="17"/>
      <c r="O47" s="22">
        <f t="shared" si="0"/>
        <v>0</v>
      </c>
      <c r="P47" s="22">
        <f t="shared" si="1"/>
        <v>0</v>
      </c>
      <c r="Q47" s="22">
        <f t="shared" si="2"/>
        <v>0</v>
      </c>
      <c r="R47" s="92"/>
      <c r="S47" s="92"/>
      <c r="T47" s="92"/>
      <c r="U47" s="23">
        <f t="shared" si="3"/>
        <v>0</v>
      </c>
      <c r="V47" s="21"/>
    </row>
    <row r="48" spans="1:22" ht="18" customHeight="1" x14ac:dyDescent="0.3">
      <c r="A48" s="15">
        <v>43</v>
      </c>
      <c r="B48" s="16"/>
      <c r="C48" s="3"/>
      <c r="D48" s="17"/>
      <c r="E48" s="3"/>
      <c r="F48" s="18"/>
      <c r="G48" s="27"/>
      <c r="H48" s="27"/>
      <c r="I48" s="3"/>
      <c r="J48" s="20"/>
      <c r="K48" s="21"/>
      <c r="L48" s="93"/>
      <c r="M48" s="17" t="s">
        <v>82</v>
      </c>
      <c r="N48" s="17"/>
      <c r="O48" s="22">
        <f t="shared" si="0"/>
        <v>0</v>
      </c>
      <c r="P48" s="22">
        <f t="shared" si="1"/>
        <v>0</v>
      </c>
      <c r="Q48" s="22">
        <f t="shared" si="2"/>
        <v>0</v>
      </c>
      <c r="R48" s="92"/>
      <c r="S48" s="92"/>
      <c r="T48" s="92"/>
      <c r="U48" s="23">
        <f t="shared" si="3"/>
        <v>0</v>
      </c>
      <c r="V48" s="21"/>
    </row>
    <row r="49" spans="1:22" ht="18" customHeight="1" x14ac:dyDescent="0.3">
      <c r="A49" s="15">
        <v>44</v>
      </c>
      <c r="B49" s="16"/>
      <c r="C49" s="3"/>
      <c r="D49" s="17"/>
      <c r="E49" s="3"/>
      <c r="F49" s="18"/>
      <c r="G49" s="27"/>
      <c r="H49" s="27"/>
      <c r="I49" s="3"/>
      <c r="J49" s="20"/>
      <c r="K49" s="21"/>
      <c r="L49" s="93"/>
      <c r="M49" s="17" t="s">
        <v>89</v>
      </c>
      <c r="N49" s="17"/>
      <c r="O49" s="22">
        <f t="shared" si="0"/>
        <v>0</v>
      </c>
      <c r="P49" s="22">
        <f t="shared" si="1"/>
        <v>0</v>
      </c>
      <c r="Q49" s="22">
        <f t="shared" si="2"/>
        <v>0</v>
      </c>
      <c r="R49" s="92"/>
      <c r="S49" s="92"/>
      <c r="T49" s="92"/>
      <c r="U49" s="23">
        <f t="shared" si="3"/>
        <v>0</v>
      </c>
      <c r="V49" s="21"/>
    </row>
    <row r="50" spans="1:22" ht="18" customHeight="1" x14ac:dyDescent="0.3">
      <c r="A50" s="15">
        <v>45</v>
      </c>
      <c r="B50" s="16"/>
      <c r="C50" s="3"/>
      <c r="D50" s="17"/>
      <c r="E50" s="3"/>
      <c r="F50" s="37"/>
      <c r="G50" s="18"/>
      <c r="H50" s="27"/>
      <c r="I50" s="3"/>
      <c r="J50" s="20"/>
      <c r="K50" s="21"/>
      <c r="L50" s="93"/>
      <c r="M50" s="17" t="s">
        <v>58</v>
      </c>
      <c r="N50" s="17" t="s">
        <v>59</v>
      </c>
      <c r="O50" s="22">
        <f t="shared" si="0"/>
        <v>0</v>
      </c>
      <c r="P50" s="22">
        <f t="shared" si="1"/>
        <v>0</v>
      </c>
      <c r="Q50" s="22">
        <f t="shared" si="2"/>
        <v>0</v>
      </c>
      <c r="R50" s="92"/>
      <c r="S50" s="92"/>
      <c r="T50" s="92"/>
      <c r="U50" s="23">
        <f t="shared" si="3"/>
        <v>0</v>
      </c>
      <c r="V50" s="21"/>
    </row>
    <row r="51" spans="1:22" ht="18" customHeight="1" x14ac:dyDescent="0.3">
      <c r="A51" s="15">
        <v>46</v>
      </c>
      <c r="B51" s="16"/>
      <c r="C51" s="3"/>
      <c r="D51" s="17"/>
      <c r="E51" s="3"/>
      <c r="F51" s="37"/>
      <c r="G51" s="18"/>
      <c r="H51" s="28"/>
      <c r="I51" s="3"/>
      <c r="J51" s="20"/>
      <c r="K51" s="21"/>
      <c r="L51" s="93" t="s">
        <v>60</v>
      </c>
      <c r="M51" s="17" t="s">
        <v>69</v>
      </c>
      <c r="N51" s="17"/>
      <c r="O51" s="22">
        <f t="shared" si="0"/>
        <v>0</v>
      </c>
      <c r="P51" s="22">
        <f t="shared" si="1"/>
        <v>0</v>
      </c>
      <c r="Q51" s="22">
        <f t="shared" si="2"/>
        <v>0</v>
      </c>
      <c r="R51" s="92"/>
      <c r="S51" s="92"/>
      <c r="T51" s="92"/>
      <c r="U51" s="23">
        <f t="shared" si="3"/>
        <v>0</v>
      </c>
      <c r="V51" s="21"/>
    </row>
    <row r="52" spans="1:22" ht="18" customHeight="1" x14ac:dyDescent="0.3">
      <c r="A52" s="15">
        <v>47</v>
      </c>
      <c r="B52" s="16"/>
      <c r="C52" s="3"/>
      <c r="D52" s="17"/>
      <c r="E52" s="17"/>
      <c r="F52" s="18"/>
      <c r="G52" s="18"/>
      <c r="H52" s="19"/>
      <c r="I52" s="3"/>
      <c r="J52" s="20"/>
      <c r="K52" s="21"/>
      <c r="L52" s="93"/>
      <c r="M52" s="17" t="s">
        <v>61</v>
      </c>
      <c r="N52" s="17"/>
      <c r="O52" s="22">
        <f t="shared" si="0"/>
        <v>0</v>
      </c>
      <c r="P52" s="22">
        <f t="shared" si="1"/>
        <v>0</v>
      </c>
      <c r="Q52" s="22">
        <f t="shared" si="2"/>
        <v>0</v>
      </c>
      <c r="R52" s="92"/>
      <c r="S52" s="92"/>
      <c r="T52" s="92"/>
      <c r="U52" s="23">
        <f t="shared" si="3"/>
        <v>0</v>
      </c>
      <c r="V52" s="21"/>
    </row>
    <row r="53" spans="1:22" ht="18" customHeight="1" x14ac:dyDescent="0.3">
      <c r="A53" s="15">
        <v>48</v>
      </c>
      <c r="B53" s="16"/>
      <c r="C53" s="3"/>
      <c r="D53" s="17"/>
      <c r="E53" s="17"/>
      <c r="F53" s="18"/>
      <c r="G53" s="18"/>
      <c r="H53" s="19"/>
      <c r="I53" s="3"/>
      <c r="J53" s="20"/>
      <c r="K53" s="21"/>
      <c r="L53" s="93"/>
      <c r="M53" s="17" t="s">
        <v>62</v>
      </c>
      <c r="N53" s="17"/>
      <c r="O53" s="22">
        <f t="shared" si="0"/>
        <v>0</v>
      </c>
      <c r="P53" s="22">
        <f t="shared" si="1"/>
        <v>0</v>
      </c>
      <c r="Q53" s="22">
        <f t="shared" si="2"/>
        <v>0</v>
      </c>
      <c r="R53" s="92"/>
      <c r="S53" s="92"/>
      <c r="T53" s="92"/>
      <c r="U53" s="23">
        <f t="shared" si="3"/>
        <v>0</v>
      </c>
      <c r="V53" s="21"/>
    </row>
    <row r="54" spans="1:22" ht="18" customHeight="1" x14ac:dyDescent="0.3">
      <c r="A54" s="15">
        <v>49</v>
      </c>
      <c r="B54" s="16"/>
      <c r="C54" s="3"/>
      <c r="D54" s="17"/>
      <c r="E54" s="3"/>
      <c r="F54" s="18"/>
      <c r="G54" s="18"/>
      <c r="H54" s="19"/>
      <c r="I54" s="3"/>
      <c r="J54" s="20"/>
      <c r="K54" s="21"/>
      <c r="L54" s="93"/>
      <c r="M54" s="17" t="s">
        <v>63</v>
      </c>
      <c r="N54" s="17"/>
      <c r="O54" s="22">
        <f t="shared" si="0"/>
        <v>0</v>
      </c>
      <c r="P54" s="22">
        <f t="shared" si="1"/>
        <v>0</v>
      </c>
      <c r="Q54" s="22">
        <f t="shared" si="2"/>
        <v>0</v>
      </c>
      <c r="R54" s="92"/>
      <c r="S54" s="92"/>
      <c r="T54" s="92"/>
      <c r="U54" s="23">
        <f t="shared" si="3"/>
        <v>0</v>
      </c>
      <c r="V54" s="21"/>
    </row>
    <row r="55" spans="1:22" ht="18" customHeight="1" x14ac:dyDescent="0.3">
      <c r="A55" s="15">
        <v>50</v>
      </c>
      <c r="B55" s="16"/>
      <c r="C55" s="3"/>
      <c r="D55" s="17"/>
      <c r="E55" s="3"/>
      <c r="F55" s="18"/>
      <c r="G55" s="18"/>
      <c r="H55" s="19"/>
      <c r="I55" s="3"/>
      <c r="J55" s="20"/>
      <c r="K55" s="21"/>
      <c r="L55" s="93"/>
      <c r="M55" s="17" t="s">
        <v>68</v>
      </c>
      <c r="N55" s="17"/>
      <c r="O55" s="22">
        <f t="shared" si="0"/>
        <v>0</v>
      </c>
      <c r="P55" s="22">
        <f t="shared" si="1"/>
        <v>0</v>
      </c>
      <c r="Q55" s="22">
        <f t="shared" si="2"/>
        <v>0</v>
      </c>
      <c r="R55" s="92"/>
      <c r="S55" s="92"/>
      <c r="T55" s="92"/>
      <c r="U55" s="23">
        <f t="shared" si="3"/>
        <v>0</v>
      </c>
      <c r="V55" s="21"/>
    </row>
    <row r="56" spans="1:22" ht="18" customHeight="1" x14ac:dyDescent="0.3">
      <c r="A56" s="15">
        <v>51</v>
      </c>
      <c r="B56" s="16"/>
      <c r="C56" s="3"/>
      <c r="D56" s="17"/>
      <c r="E56" s="3"/>
      <c r="F56" s="18"/>
      <c r="G56" s="18"/>
      <c r="H56" s="28"/>
      <c r="I56" s="3"/>
      <c r="J56" s="20"/>
      <c r="K56" s="21"/>
      <c r="L56" s="93"/>
      <c r="M56" s="17" t="s">
        <v>64</v>
      </c>
      <c r="N56" s="17" t="s">
        <v>65</v>
      </c>
      <c r="O56" s="22">
        <f t="shared" si="0"/>
        <v>0</v>
      </c>
      <c r="P56" s="22">
        <f t="shared" si="1"/>
        <v>0</v>
      </c>
      <c r="Q56" s="22">
        <f t="shared" si="2"/>
        <v>0</v>
      </c>
      <c r="R56" s="92"/>
      <c r="S56" s="92"/>
      <c r="T56" s="92"/>
      <c r="U56" s="23">
        <f t="shared" si="3"/>
        <v>0</v>
      </c>
      <c r="V56" s="21"/>
    </row>
    <row r="57" spans="1:22" ht="18" customHeight="1" x14ac:dyDescent="0.3">
      <c r="A57" s="15">
        <v>52</v>
      </c>
      <c r="B57" s="16"/>
      <c r="C57" s="3"/>
      <c r="D57" s="17"/>
      <c r="E57" s="3"/>
      <c r="F57" s="18"/>
      <c r="G57" s="18"/>
      <c r="H57" s="28"/>
      <c r="I57" s="3"/>
      <c r="J57" s="20"/>
      <c r="K57" s="21"/>
      <c r="L57" s="93"/>
      <c r="M57" s="17" t="s">
        <v>84</v>
      </c>
      <c r="N57" s="17"/>
      <c r="O57" s="22">
        <f t="shared" si="0"/>
        <v>0</v>
      </c>
      <c r="P57" s="22">
        <f t="shared" si="1"/>
        <v>0</v>
      </c>
      <c r="Q57" s="22">
        <f t="shared" si="2"/>
        <v>0</v>
      </c>
      <c r="R57" s="92"/>
      <c r="S57" s="92"/>
      <c r="T57" s="92"/>
      <c r="U57" s="23">
        <f t="shared" si="3"/>
        <v>0</v>
      </c>
      <c r="V57" s="21"/>
    </row>
    <row r="58" spans="1:22" ht="18" customHeight="1" x14ac:dyDescent="0.3">
      <c r="A58" s="15">
        <v>53</v>
      </c>
      <c r="B58" s="16"/>
      <c r="C58" s="3"/>
      <c r="D58" s="17"/>
      <c r="E58" s="3"/>
      <c r="F58" s="18"/>
      <c r="G58" s="18"/>
      <c r="H58" s="28"/>
      <c r="I58" s="3"/>
      <c r="J58" s="20"/>
      <c r="K58" s="21"/>
      <c r="L58" s="93"/>
      <c r="M58" s="17" t="s">
        <v>71</v>
      </c>
      <c r="N58" s="17"/>
      <c r="O58" s="22">
        <f t="shared" si="0"/>
        <v>0</v>
      </c>
      <c r="P58" s="22">
        <f t="shared" si="1"/>
        <v>0</v>
      </c>
      <c r="Q58" s="22">
        <f t="shared" si="2"/>
        <v>0</v>
      </c>
      <c r="R58" s="92"/>
      <c r="S58" s="92"/>
      <c r="T58" s="92"/>
      <c r="U58" s="23">
        <f t="shared" si="3"/>
        <v>0</v>
      </c>
      <c r="V58" s="21"/>
    </row>
    <row r="59" spans="1:22" ht="18" customHeight="1" x14ac:dyDescent="0.3">
      <c r="A59" s="15">
        <v>54</v>
      </c>
      <c r="B59" s="16"/>
      <c r="C59" s="3"/>
      <c r="D59" s="17"/>
      <c r="E59" s="3"/>
      <c r="F59" s="18"/>
      <c r="G59" s="18"/>
      <c r="H59" s="28"/>
      <c r="I59" s="3"/>
      <c r="J59" s="20"/>
      <c r="K59" s="21"/>
      <c r="L59" s="93" t="s">
        <v>66</v>
      </c>
      <c r="M59" s="94"/>
      <c r="N59" s="94"/>
      <c r="O59" s="97">
        <f>SUM(O6:O58)</f>
        <v>0</v>
      </c>
      <c r="P59" s="97">
        <f>SUM(P6:P58)</f>
        <v>0</v>
      </c>
      <c r="Q59" s="97">
        <f>SUM(Q6:Q58)</f>
        <v>0</v>
      </c>
      <c r="R59" s="92" t="s">
        <v>67</v>
      </c>
      <c r="S59" s="100">
        <f>SUM(O59:Q60)</f>
        <v>0</v>
      </c>
      <c r="T59" s="100"/>
      <c r="U59" s="101"/>
      <c r="V59" s="21"/>
    </row>
    <row r="60" spans="1:22" ht="18" customHeight="1" thickBot="1" x14ac:dyDescent="0.35">
      <c r="A60" s="15">
        <v>55</v>
      </c>
      <c r="B60" s="16"/>
      <c r="C60" s="3"/>
      <c r="D60" s="17"/>
      <c r="E60" s="3"/>
      <c r="F60" s="18"/>
      <c r="G60" s="18"/>
      <c r="H60" s="28"/>
      <c r="I60" s="3"/>
      <c r="J60" s="20"/>
      <c r="K60" s="21"/>
      <c r="L60" s="95"/>
      <c r="M60" s="96"/>
      <c r="N60" s="96"/>
      <c r="O60" s="98"/>
      <c r="P60" s="98"/>
      <c r="Q60" s="98"/>
      <c r="R60" s="99"/>
      <c r="S60" s="102"/>
      <c r="T60" s="102"/>
      <c r="U60" s="103"/>
      <c r="V60" s="21"/>
    </row>
    <row r="61" spans="1:22" ht="18" customHeight="1" x14ac:dyDescent="0.3">
      <c r="A61" s="15">
        <v>56</v>
      </c>
      <c r="B61" s="16"/>
      <c r="C61" s="3"/>
      <c r="D61" s="17"/>
      <c r="E61" s="3"/>
      <c r="F61" s="18"/>
      <c r="G61" s="18"/>
      <c r="H61" s="28"/>
      <c r="I61" s="3"/>
      <c r="J61" s="20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9"/>
      <c r="V61" s="21"/>
    </row>
    <row r="62" spans="1:22" ht="18" customHeight="1" x14ac:dyDescent="0.3">
      <c r="A62" s="15">
        <v>57</v>
      </c>
      <c r="B62" s="16"/>
      <c r="C62" s="3"/>
      <c r="D62" s="17"/>
      <c r="E62" s="3"/>
      <c r="F62" s="18"/>
      <c r="G62" s="18"/>
      <c r="H62" s="28"/>
      <c r="I62" s="3"/>
      <c r="J62" s="20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9"/>
      <c r="V62" s="21"/>
    </row>
    <row r="63" spans="1:22" ht="18" customHeight="1" x14ac:dyDescent="0.3">
      <c r="A63" s="15">
        <v>58</v>
      </c>
      <c r="B63" s="16"/>
      <c r="C63" s="3"/>
      <c r="D63" s="17"/>
      <c r="E63" s="17"/>
      <c r="F63" s="18"/>
      <c r="G63" s="18"/>
      <c r="H63" s="19"/>
      <c r="I63" s="3"/>
      <c r="J63" s="20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9"/>
      <c r="V63" s="21"/>
    </row>
    <row r="64" spans="1:22" ht="18" customHeight="1" x14ac:dyDescent="0.3">
      <c r="A64" s="15">
        <v>59</v>
      </c>
      <c r="B64" s="16"/>
      <c r="C64" s="3"/>
      <c r="D64" s="17"/>
      <c r="E64" s="17"/>
      <c r="F64" s="18"/>
      <c r="G64" s="18"/>
      <c r="H64" s="19"/>
      <c r="I64" s="3"/>
      <c r="J64" s="20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9"/>
      <c r="V64" s="21"/>
    </row>
    <row r="65" spans="1:22" ht="18" customHeight="1" x14ac:dyDescent="0.3">
      <c r="A65" s="15">
        <v>60</v>
      </c>
      <c r="B65" s="16"/>
      <c r="C65" s="3"/>
      <c r="D65" s="17"/>
      <c r="E65" s="3"/>
      <c r="F65" s="18"/>
      <c r="G65" s="18"/>
      <c r="H65" s="19"/>
      <c r="I65" s="3"/>
      <c r="J65" s="20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9"/>
      <c r="V65" s="21"/>
    </row>
    <row r="66" spans="1:22" ht="18" customHeight="1" x14ac:dyDescent="0.3">
      <c r="A66" s="15">
        <v>61</v>
      </c>
      <c r="B66" s="16"/>
      <c r="C66" s="3"/>
      <c r="D66" s="17"/>
      <c r="E66" s="3"/>
      <c r="F66" s="18"/>
      <c r="G66" s="18"/>
      <c r="H66" s="28"/>
      <c r="I66" s="3"/>
      <c r="J66" s="20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9"/>
      <c r="V66" s="21"/>
    </row>
    <row r="67" spans="1:22" ht="18" customHeight="1" x14ac:dyDescent="0.3">
      <c r="A67" s="15">
        <v>62</v>
      </c>
      <c r="B67" s="16"/>
      <c r="C67" s="3"/>
      <c r="D67" s="17"/>
      <c r="E67" s="3"/>
      <c r="F67" s="18"/>
      <c r="G67" s="18"/>
      <c r="H67" s="28"/>
      <c r="I67" s="3"/>
      <c r="J67" s="20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9"/>
      <c r="V67" s="21"/>
    </row>
    <row r="68" spans="1:22" ht="18" customHeight="1" x14ac:dyDescent="0.3">
      <c r="A68" s="15">
        <v>63</v>
      </c>
      <c r="B68" s="16"/>
      <c r="C68" s="3"/>
      <c r="D68" s="17"/>
      <c r="E68" s="3"/>
      <c r="F68" s="18"/>
      <c r="G68" s="18"/>
      <c r="H68" s="28"/>
      <c r="I68" s="3"/>
      <c r="J68" s="20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9"/>
      <c r="V68" s="21"/>
    </row>
    <row r="69" spans="1:22" ht="18" customHeight="1" x14ac:dyDescent="0.3">
      <c r="A69" s="15">
        <v>64</v>
      </c>
      <c r="B69" s="16"/>
      <c r="C69" s="3"/>
      <c r="D69" s="17"/>
      <c r="E69" s="3"/>
      <c r="F69" s="18"/>
      <c r="G69" s="18"/>
      <c r="H69" s="28"/>
      <c r="I69" s="3"/>
      <c r="J69" s="20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9"/>
      <c r="V69" s="21"/>
    </row>
    <row r="70" spans="1:22" ht="18" customHeight="1" thickBot="1" x14ac:dyDescent="0.35">
      <c r="A70" s="15">
        <v>65</v>
      </c>
      <c r="B70" s="16"/>
      <c r="C70" s="3"/>
      <c r="D70" s="17"/>
      <c r="E70" s="3"/>
      <c r="F70" s="18"/>
      <c r="G70" s="18"/>
      <c r="H70" s="28"/>
      <c r="I70" s="3"/>
      <c r="J70" s="20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9"/>
      <c r="V70" s="21"/>
    </row>
    <row r="71" spans="1:22" ht="18" customHeight="1" thickBot="1" x14ac:dyDescent="0.35">
      <c r="A71" s="15">
        <v>66</v>
      </c>
      <c r="B71" s="16"/>
      <c r="C71" s="3"/>
      <c r="D71" s="17"/>
      <c r="E71" s="3"/>
      <c r="F71" s="18"/>
      <c r="G71" s="18"/>
      <c r="H71" s="28"/>
      <c r="I71" s="3"/>
      <c r="J71" s="20"/>
      <c r="K71" s="21"/>
      <c r="L71" s="21"/>
      <c r="M71" s="38"/>
      <c r="N71" s="21"/>
      <c r="O71" s="21"/>
      <c r="P71" s="21"/>
      <c r="Q71" s="21"/>
      <c r="R71" s="21"/>
      <c r="S71" s="21"/>
      <c r="T71" s="21"/>
      <c r="U71" s="29"/>
      <c r="V71" s="21"/>
    </row>
    <row r="72" spans="1:22" ht="18" customHeight="1" x14ac:dyDescent="0.3">
      <c r="A72" s="15">
        <v>67</v>
      </c>
      <c r="B72" s="16"/>
      <c r="C72" s="3"/>
      <c r="D72" s="17"/>
      <c r="E72" s="3"/>
      <c r="F72" s="18"/>
      <c r="G72" s="18"/>
      <c r="H72" s="28"/>
      <c r="I72" s="3"/>
      <c r="J72" s="20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9"/>
      <c r="V72" s="21"/>
    </row>
    <row r="73" spans="1:22" ht="18" customHeight="1" x14ac:dyDescent="0.3">
      <c r="A73" s="15">
        <v>68</v>
      </c>
      <c r="B73" s="16"/>
      <c r="C73" s="3"/>
      <c r="D73" s="17"/>
      <c r="E73" s="3"/>
      <c r="F73" s="18"/>
      <c r="G73" s="18"/>
      <c r="H73" s="28"/>
      <c r="I73" s="3"/>
      <c r="J73" s="20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9"/>
      <c r="V73" s="21"/>
    </row>
    <row r="74" spans="1:22" ht="18" customHeight="1" x14ac:dyDescent="0.3">
      <c r="A74" s="15">
        <v>69</v>
      </c>
      <c r="B74" s="16"/>
      <c r="C74" s="3"/>
      <c r="D74" s="17"/>
      <c r="E74" s="17"/>
      <c r="F74" s="18"/>
      <c r="G74" s="18"/>
      <c r="H74" s="28"/>
      <c r="I74" s="3"/>
      <c r="J74" s="20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9"/>
      <c r="V74" s="21"/>
    </row>
    <row r="75" spans="1:22" ht="18" customHeight="1" x14ac:dyDescent="0.3">
      <c r="A75" s="15">
        <v>70</v>
      </c>
      <c r="B75" s="16"/>
      <c r="C75" s="3"/>
      <c r="D75" s="17"/>
      <c r="E75" s="3"/>
      <c r="F75" s="18"/>
      <c r="G75" s="18"/>
      <c r="H75" s="28"/>
      <c r="I75" s="3"/>
      <c r="J75" s="20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9"/>
      <c r="V75" s="21"/>
    </row>
    <row r="76" spans="1:22" ht="18" customHeight="1" x14ac:dyDescent="0.3">
      <c r="A76" s="15">
        <v>71</v>
      </c>
      <c r="B76" s="16"/>
      <c r="C76" s="3"/>
      <c r="D76" s="17"/>
      <c r="E76" s="3"/>
      <c r="F76" s="18"/>
      <c r="G76" s="18"/>
      <c r="H76" s="28"/>
      <c r="I76" s="3"/>
      <c r="J76" s="20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9"/>
      <c r="V76" s="21"/>
    </row>
    <row r="77" spans="1:22" ht="18" customHeight="1" x14ac:dyDescent="0.3">
      <c r="A77" s="15">
        <v>72</v>
      </c>
      <c r="B77" s="16"/>
      <c r="C77" s="3"/>
      <c r="D77" s="17"/>
      <c r="E77" s="3"/>
      <c r="F77" s="18"/>
      <c r="G77" s="18"/>
      <c r="H77" s="28"/>
      <c r="I77" s="3"/>
      <c r="J77" s="20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9"/>
      <c r="V77" s="21"/>
    </row>
    <row r="78" spans="1:22" ht="18" customHeight="1" x14ac:dyDescent="0.3">
      <c r="A78" s="15">
        <v>73</v>
      </c>
      <c r="B78" s="16"/>
      <c r="C78" s="3"/>
      <c r="D78" s="17"/>
      <c r="E78" s="3"/>
      <c r="F78" s="18"/>
      <c r="G78" s="18"/>
      <c r="H78" s="28"/>
      <c r="I78" s="3"/>
      <c r="J78" s="20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9"/>
      <c r="V78" s="21"/>
    </row>
    <row r="79" spans="1:22" ht="18" customHeight="1" x14ac:dyDescent="0.3">
      <c r="A79" s="15">
        <v>74</v>
      </c>
      <c r="B79" s="16"/>
      <c r="C79" s="3"/>
      <c r="D79" s="17"/>
      <c r="E79" s="3"/>
      <c r="F79" s="18"/>
      <c r="G79" s="18"/>
      <c r="H79" s="28"/>
      <c r="I79" s="3"/>
      <c r="J79" s="20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9"/>
      <c r="V79" s="21"/>
    </row>
    <row r="80" spans="1:22" ht="18" customHeight="1" x14ac:dyDescent="0.3">
      <c r="A80" s="15">
        <v>75</v>
      </c>
      <c r="B80" s="16"/>
      <c r="C80" s="3"/>
      <c r="D80" s="17"/>
      <c r="E80" s="17"/>
      <c r="F80" s="18"/>
      <c r="G80" s="18"/>
      <c r="H80" s="28"/>
      <c r="I80" s="3"/>
      <c r="J80" s="20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9"/>
      <c r="V80" s="21"/>
    </row>
    <row r="81" spans="1:22" ht="18" customHeight="1" x14ac:dyDescent="0.3">
      <c r="A81" s="15">
        <v>76</v>
      </c>
      <c r="B81" s="16"/>
      <c r="C81" s="3"/>
      <c r="D81" s="17"/>
      <c r="E81" s="17"/>
      <c r="F81" s="18"/>
      <c r="G81" s="18"/>
      <c r="H81" s="28"/>
      <c r="I81" s="3"/>
      <c r="J81" s="20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9"/>
      <c r="V81" s="21"/>
    </row>
    <row r="82" spans="1:22" ht="18" customHeight="1" x14ac:dyDescent="0.3">
      <c r="A82" s="15">
        <v>77</v>
      </c>
      <c r="B82" s="16"/>
      <c r="C82" s="3"/>
      <c r="D82" s="17"/>
      <c r="E82" s="3"/>
      <c r="F82" s="18"/>
      <c r="G82" s="18"/>
      <c r="H82" s="28"/>
      <c r="I82" s="3"/>
      <c r="J82" s="20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9"/>
      <c r="V82" s="21"/>
    </row>
    <row r="83" spans="1:22" ht="18" customHeight="1" x14ac:dyDescent="0.3">
      <c r="A83" s="15">
        <v>78</v>
      </c>
      <c r="B83" s="16"/>
      <c r="C83" s="3"/>
      <c r="D83" s="17"/>
      <c r="E83" s="3"/>
      <c r="F83" s="18"/>
      <c r="G83" s="18"/>
      <c r="H83" s="28"/>
      <c r="I83" s="3"/>
      <c r="J83" s="20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9"/>
      <c r="V83" s="21"/>
    </row>
    <row r="84" spans="1:22" ht="18" customHeight="1" x14ac:dyDescent="0.3">
      <c r="A84" s="15">
        <v>79</v>
      </c>
      <c r="B84" s="16"/>
      <c r="C84" s="3"/>
      <c r="D84" s="17"/>
      <c r="E84" s="3"/>
      <c r="F84" s="18"/>
      <c r="G84" s="18"/>
      <c r="H84" s="28"/>
      <c r="I84" s="3"/>
      <c r="J84" s="20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9"/>
      <c r="V84" s="21"/>
    </row>
    <row r="85" spans="1:22" ht="18" customHeight="1" x14ac:dyDescent="0.3">
      <c r="A85" s="15">
        <v>80</v>
      </c>
      <c r="B85" s="16"/>
      <c r="C85" s="3"/>
      <c r="D85" s="17"/>
      <c r="E85" s="3"/>
      <c r="F85" s="18"/>
      <c r="G85" s="18"/>
      <c r="H85" s="28"/>
      <c r="I85" s="3"/>
      <c r="J85" s="20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9"/>
      <c r="V85" s="21"/>
    </row>
    <row r="86" spans="1:22" ht="18" customHeight="1" x14ac:dyDescent="0.3">
      <c r="A86" s="15">
        <v>81</v>
      </c>
      <c r="B86" s="16"/>
      <c r="C86" s="3"/>
      <c r="D86" s="17"/>
      <c r="E86" s="3"/>
      <c r="F86" s="18"/>
      <c r="G86" s="18"/>
      <c r="H86" s="28"/>
      <c r="I86" s="3"/>
      <c r="J86" s="20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9"/>
      <c r="V86" s="21"/>
    </row>
    <row r="87" spans="1:22" ht="18" customHeight="1" x14ac:dyDescent="0.3">
      <c r="A87" s="15">
        <v>82</v>
      </c>
      <c r="B87" s="16"/>
      <c r="C87" s="3"/>
      <c r="D87" s="17"/>
      <c r="E87" s="3"/>
      <c r="F87" s="18"/>
      <c r="G87" s="18"/>
      <c r="H87" s="28"/>
      <c r="I87" s="3"/>
      <c r="J87" s="20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9"/>
      <c r="V87" s="21"/>
    </row>
    <row r="88" spans="1:22" ht="18" customHeight="1" x14ac:dyDescent="0.3">
      <c r="A88" s="15">
        <v>83</v>
      </c>
      <c r="B88" s="16"/>
      <c r="C88" s="3"/>
      <c r="D88" s="17"/>
      <c r="E88" s="3"/>
      <c r="F88" s="18"/>
      <c r="G88" s="18"/>
      <c r="H88" s="28"/>
      <c r="I88" s="3"/>
      <c r="J88" s="20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9"/>
      <c r="V88" s="21"/>
    </row>
    <row r="89" spans="1:22" ht="18" customHeight="1" x14ac:dyDescent="0.3">
      <c r="A89" s="15">
        <v>84</v>
      </c>
      <c r="B89" s="16"/>
      <c r="C89" s="3"/>
      <c r="D89" s="17"/>
      <c r="E89" s="3"/>
      <c r="F89" s="18"/>
      <c r="G89" s="18"/>
      <c r="H89" s="28"/>
      <c r="I89" s="3"/>
      <c r="J89" s="20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9"/>
      <c r="V89" s="21"/>
    </row>
    <row r="90" spans="1:22" ht="18" customHeight="1" x14ac:dyDescent="0.3">
      <c r="A90" s="15">
        <v>85</v>
      </c>
      <c r="B90" s="16"/>
      <c r="C90" s="3"/>
      <c r="D90" s="17"/>
      <c r="E90" s="3"/>
      <c r="F90" s="18"/>
      <c r="G90" s="18"/>
      <c r="H90" s="28"/>
      <c r="I90" s="3"/>
      <c r="J90" s="20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9"/>
      <c r="V90" s="21"/>
    </row>
    <row r="91" spans="1:22" ht="18" customHeight="1" x14ac:dyDescent="0.3">
      <c r="A91" s="15">
        <v>86</v>
      </c>
      <c r="B91" s="16"/>
      <c r="C91" s="3"/>
      <c r="D91" s="17"/>
      <c r="E91" s="3"/>
      <c r="F91" s="18"/>
      <c r="G91" s="18"/>
      <c r="H91" s="28"/>
      <c r="I91" s="3"/>
      <c r="J91" s="20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9"/>
      <c r="V91" s="21"/>
    </row>
    <row r="92" spans="1:22" ht="18" customHeight="1" x14ac:dyDescent="0.3">
      <c r="A92" s="15">
        <v>87</v>
      </c>
      <c r="B92" s="16"/>
      <c r="C92" s="3"/>
      <c r="D92" s="17"/>
      <c r="E92" s="3"/>
      <c r="F92" s="18"/>
      <c r="G92" s="18"/>
      <c r="H92" s="28"/>
      <c r="I92" s="3"/>
      <c r="J92" s="20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9"/>
      <c r="V92" s="21"/>
    </row>
    <row r="93" spans="1:22" ht="18" customHeight="1" x14ac:dyDescent="0.3">
      <c r="A93" s="15">
        <v>88</v>
      </c>
      <c r="B93" s="16"/>
      <c r="C93" s="3"/>
      <c r="D93" s="17"/>
      <c r="E93" s="3"/>
      <c r="F93" s="18"/>
      <c r="G93" s="18"/>
      <c r="H93" s="28"/>
      <c r="I93" s="3"/>
      <c r="J93" s="20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9"/>
      <c r="V93" s="21"/>
    </row>
    <row r="94" spans="1:22" ht="18" customHeight="1" x14ac:dyDescent="0.3">
      <c r="A94" s="15">
        <v>89</v>
      </c>
      <c r="B94" s="16"/>
      <c r="C94" s="3"/>
      <c r="D94" s="17"/>
      <c r="E94" s="3"/>
      <c r="F94" s="18"/>
      <c r="G94" s="18"/>
      <c r="H94" s="28"/>
      <c r="I94" s="3"/>
      <c r="J94" s="20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9"/>
      <c r="V94" s="21"/>
    </row>
    <row r="95" spans="1:22" ht="18" customHeight="1" x14ac:dyDescent="0.3">
      <c r="A95" s="15">
        <v>90</v>
      </c>
      <c r="B95" s="16"/>
      <c r="C95" s="3"/>
      <c r="D95" s="17"/>
      <c r="E95" s="3"/>
      <c r="F95" s="18"/>
      <c r="G95" s="18"/>
      <c r="H95" s="28"/>
      <c r="I95" s="3"/>
      <c r="J95" s="20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9"/>
      <c r="V95" s="21"/>
    </row>
    <row r="96" spans="1:22" ht="18" customHeight="1" x14ac:dyDescent="0.3">
      <c r="A96" s="15">
        <v>91</v>
      </c>
      <c r="B96" s="16"/>
      <c r="C96" s="3"/>
      <c r="D96" s="17"/>
      <c r="E96" s="3"/>
      <c r="F96" s="18"/>
      <c r="G96" s="18"/>
      <c r="H96" s="28"/>
      <c r="I96" s="3"/>
      <c r="J96" s="20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9"/>
      <c r="V96" s="21"/>
    </row>
    <row r="97" spans="1:22" ht="18" customHeight="1" x14ac:dyDescent="0.3">
      <c r="A97" s="15">
        <v>92</v>
      </c>
      <c r="B97" s="16"/>
      <c r="C97" s="3"/>
      <c r="D97" s="17"/>
      <c r="E97" s="3"/>
      <c r="F97" s="18"/>
      <c r="G97" s="18"/>
      <c r="H97" s="28"/>
      <c r="I97" s="3"/>
      <c r="J97" s="20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9"/>
      <c r="V97" s="21"/>
    </row>
    <row r="98" spans="1:22" ht="18" customHeight="1" x14ac:dyDescent="0.3">
      <c r="A98" s="15">
        <v>93</v>
      </c>
      <c r="B98" s="16"/>
      <c r="C98" s="3"/>
      <c r="D98" s="17"/>
      <c r="E98" s="3"/>
      <c r="F98" s="18"/>
      <c r="G98" s="18"/>
      <c r="H98" s="28"/>
      <c r="I98" s="3"/>
      <c r="J98" s="20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9"/>
      <c r="V98" s="21"/>
    </row>
    <row r="99" spans="1:22" ht="18" customHeight="1" x14ac:dyDescent="0.3">
      <c r="A99" s="15">
        <v>94</v>
      </c>
      <c r="B99" s="16"/>
      <c r="C99" s="3"/>
      <c r="D99" s="17"/>
      <c r="E99" s="3"/>
      <c r="F99" s="18"/>
      <c r="G99" s="18"/>
      <c r="H99" s="28"/>
      <c r="I99" s="3"/>
      <c r="J99" s="20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9"/>
      <c r="V99" s="21"/>
    </row>
    <row r="100" spans="1:22" ht="18" customHeight="1" x14ac:dyDescent="0.3">
      <c r="A100" s="15">
        <v>95</v>
      </c>
      <c r="B100" s="16"/>
      <c r="C100" s="3"/>
      <c r="D100" s="17"/>
      <c r="E100" s="3"/>
      <c r="F100" s="18"/>
      <c r="G100" s="18"/>
      <c r="H100" s="28"/>
      <c r="I100" s="3"/>
      <c r="J100" s="20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9"/>
      <c r="V100" s="21"/>
    </row>
    <row r="101" spans="1:22" ht="18" customHeight="1" x14ac:dyDescent="0.3">
      <c r="A101" s="15">
        <v>96</v>
      </c>
      <c r="B101" s="16"/>
      <c r="C101" s="3"/>
      <c r="D101" s="17"/>
      <c r="E101" s="3"/>
      <c r="F101" s="18"/>
      <c r="G101" s="18"/>
      <c r="H101" s="28"/>
      <c r="I101" s="3"/>
      <c r="J101" s="20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9"/>
      <c r="V101" s="21"/>
    </row>
    <row r="102" spans="1:22" ht="18" customHeight="1" x14ac:dyDescent="0.3">
      <c r="A102" s="15">
        <v>97</v>
      </c>
      <c r="B102" s="16"/>
      <c r="C102" s="3"/>
      <c r="D102" s="17"/>
      <c r="E102" s="3"/>
      <c r="F102" s="18"/>
      <c r="G102" s="18"/>
      <c r="H102" s="28"/>
      <c r="I102" s="3"/>
      <c r="J102" s="20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9"/>
      <c r="V102" s="21"/>
    </row>
    <row r="103" spans="1:22" ht="18" customHeight="1" x14ac:dyDescent="0.3">
      <c r="A103" s="15">
        <v>98</v>
      </c>
      <c r="B103" s="16"/>
      <c r="C103" s="3"/>
      <c r="D103" s="17"/>
      <c r="E103" s="3"/>
      <c r="F103" s="18"/>
      <c r="G103" s="18"/>
      <c r="H103" s="28"/>
      <c r="I103" s="3"/>
      <c r="J103" s="20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9"/>
      <c r="V103" s="21"/>
    </row>
    <row r="104" spans="1:22" ht="18" customHeight="1" x14ac:dyDescent="0.3">
      <c r="A104" s="15">
        <v>99</v>
      </c>
      <c r="B104" s="16"/>
      <c r="C104" s="3"/>
      <c r="D104" s="17"/>
      <c r="E104" s="3"/>
      <c r="F104" s="18"/>
      <c r="G104" s="18"/>
      <c r="H104" s="28"/>
      <c r="I104" s="3"/>
      <c r="J104" s="20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9"/>
      <c r="V104" s="21"/>
    </row>
    <row r="105" spans="1:22" ht="18" customHeight="1" x14ac:dyDescent="0.3">
      <c r="A105" s="15">
        <v>100</v>
      </c>
      <c r="B105" s="16"/>
      <c r="C105" s="3"/>
      <c r="D105" s="17"/>
      <c r="E105" s="3"/>
      <c r="F105" s="18"/>
      <c r="G105" s="18"/>
      <c r="H105" s="28"/>
      <c r="I105" s="3"/>
      <c r="J105" s="20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9"/>
      <c r="V105" s="21"/>
    </row>
    <row r="106" spans="1:22" ht="18" customHeight="1" x14ac:dyDescent="0.3">
      <c r="A106" s="15">
        <v>101</v>
      </c>
      <c r="B106" s="16"/>
      <c r="C106" s="3"/>
      <c r="D106" s="17"/>
      <c r="E106" s="3"/>
      <c r="F106" s="18"/>
      <c r="G106" s="18"/>
      <c r="H106" s="28"/>
      <c r="I106" s="3"/>
      <c r="J106" s="20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9"/>
      <c r="V106" s="21"/>
    </row>
    <row r="107" spans="1:22" ht="18" customHeight="1" x14ac:dyDescent="0.3">
      <c r="A107" s="15">
        <v>102</v>
      </c>
      <c r="B107" s="16"/>
      <c r="C107" s="30"/>
      <c r="D107" s="17"/>
      <c r="E107" s="3"/>
      <c r="F107" s="18"/>
      <c r="G107" s="18"/>
      <c r="H107" s="28"/>
      <c r="I107" s="3"/>
      <c r="J107" s="20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9"/>
      <c r="V107" s="21"/>
    </row>
    <row r="108" spans="1:22" ht="18" customHeight="1" x14ac:dyDescent="0.3">
      <c r="A108" s="15">
        <v>103</v>
      </c>
      <c r="B108" s="16"/>
      <c r="C108" s="30"/>
      <c r="D108" s="17"/>
      <c r="E108" s="3"/>
      <c r="F108" s="18"/>
      <c r="G108" s="18"/>
      <c r="H108" s="28"/>
      <c r="I108" s="3"/>
      <c r="J108" s="20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9"/>
      <c r="V108" s="21"/>
    </row>
    <row r="109" spans="1:22" ht="18" customHeight="1" x14ac:dyDescent="0.3">
      <c r="A109" s="15">
        <v>104</v>
      </c>
      <c r="B109" s="16"/>
      <c r="C109" s="30"/>
      <c r="D109" s="17"/>
      <c r="E109" s="3"/>
      <c r="F109" s="18"/>
      <c r="G109" s="18"/>
      <c r="H109" s="28"/>
      <c r="I109" s="3"/>
      <c r="J109" s="20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9"/>
      <c r="V109" s="21"/>
    </row>
    <row r="110" spans="1:22" ht="18" customHeight="1" x14ac:dyDescent="0.3">
      <c r="A110" s="15">
        <v>105</v>
      </c>
      <c r="B110" s="16"/>
      <c r="C110" s="30"/>
      <c r="D110" s="17"/>
      <c r="E110" s="3"/>
      <c r="F110" s="18"/>
      <c r="G110" s="18"/>
      <c r="H110" s="28"/>
      <c r="I110" s="3"/>
      <c r="J110" s="20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9"/>
      <c r="V110" s="21"/>
    </row>
    <row r="111" spans="1:22" ht="18" customHeight="1" x14ac:dyDescent="0.3">
      <c r="A111" s="15">
        <v>106</v>
      </c>
      <c r="B111" s="16"/>
      <c r="C111" s="3"/>
      <c r="D111" s="17"/>
      <c r="E111" s="3"/>
      <c r="F111" s="18"/>
      <c r="G111" s="18"/>
      <c r="H111" s="28"/>
      <c r="I111" s="3"/>
      <c r="J111" s="20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9"/>
      <c r="V111" s="21"/>
    </row>
    <row r="112" spans="1:22" ht="18" customHeight="1" x14ac:dyDescent="0.3">
      <c r="A112" s="15">
        <v>107</v>
      </c>
      <c r="B112" s="16"/>
      <c r="C112" s="3"/>
      <c r="D112" s="17"/>
      <c r="E112" s="3"/>
      <c r="F112" s="18"/>
      <c r="G112" s="18"/>
      <c r="H112" s="28"/>
      <c r="I112" s="3"/>
      <c r="J112" s="20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9"/>
      <c r="V112" s="21"/>
    </row>
    <row r="113" spans="1:22" ht="18" customHeight="1" thickBot="1" x14ac:dyDescent="0.35">
      <c r="A113" s="15">
        <v>108</v>
      </c>
      <c r="B113" s="31"/>
      <c r="C113" s="4"/>
      <c r="D113" s="32"/>
      <c r="E113" s="4"/>
      <c r="F113" s="33"/>
      <c r="G113" s="33"/>
      <c r="H113" s="34"/>
      <c r="I113" s="4"/>
      <c r="J113" s="35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9"/>
      <c r="V113" s="21"/>
    </row>
    <row r="114" spans="1:22" ht="14.25" x14ac:dyDescent="0.3">
      <c r="A114" s="21"/>
      <c r="B114" s="21"/>
      <c r="C114" s="21"/>
      <c r="D114" s="21"/>
      <c r="E114" s="21"/>
      <c r="F114" s="29"/>
      <c r="G114" s="29"/>
      <c r="H114" s="29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9"/>
    </row>
    <row r="115" spans="1:22" ht="14.25" x14ac:dyDescent="0.3">
      <c r="A115" s="21"/>
      <c r="B115" s="21"/>
      <c r="C115" s="21"/>
      <c r="D115" s="21"/>
      <c r="E115" s="21"/>
      <c r="F115" s="29"/>
      <c r="G115" s="29"/>
      <c r="H115" s="29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9"/>
    </row>
  </sheetData>
  <mergeCells count="75">
    <mergeCell ref="A1:G4"/>
    <mergeCell ref="L1:U3"/>
    <mergeCell ref="H2:J2"/>
    <mergeCell ref="L4:M4"/>
    <mergeCell ref="N4:N5"/>
    <mergeCell ref="O4:T4"/>
    <mergeCell ref="U4:U5"/>
    <mergeCell ref="R5:T5"/>
    <mergeCell ref="L6:L11"/>
    <mergeCell ref="R6:T6"/>
    <mergeCell ref="R7:T7"/>
    <mergeCell ref="R8:T8"/>
    <mergeCell ref="R9:T9"/>
    <mergeCell ref="R10:T10"/>
    <mergeCell ref="R11:T11"/>
    <mergeCell ref="L12:L17"/>
    <mergeCell ref="R12:T12"/>
    <mergeCell ref="R13:T13"/>
    <mergeCell ref="R14:T14"/>
    <mergeCell ref="R15:T15"/>
    <mergeCell ref="R16:T16"/>
    <mergeCell ref="R17:T17"/>
    <mergeCell ref="R32:T32"/>
    <mergeCell ref="R18:T18"/>
    <mergeCell ref="R19:T19"/>
    <mergeCell ref="R20:T20"/>
    <mergeCell ref="L21:L34"/>
    <mergeCell ref="R21:T21"/>
    <mergeCell ref="R22:T22"/>
    <mergeCell ref="R23:T23"/>
    <mergeCell ref="R24:T24"/>
    <mergeCell ref="R25:T25"/>
    <mergeCell ref="R26:T26"/>
    <mergeCell ref="R27:T27"/>
    <mergeCell ref="R28:T28"/>
    <mergeCell ref="R29:T29"/>
    <mergeCell ref="R30:T30"/>
    <mergeCell ref="R31:T31"/>
    <mergeCell ref="R33:T33"/>
    <mergeCell ref="R34:T34"/>
    <mergeCell ref="L35:L40"/>
    <mergeCell ref="R35:T35"/>
    <mergeCell ref="R36:T36"/>
    <mergeCell ref="R37:T37"/>
    <mergeCell ref="R38:T38"/>
    <mergeCell ref="R39:T39"/>
    <mergeCell ref="R40:T40"/>
    <mergeCell ref="R44:T44"/>
    <mergeCell ref="L47:L50"/>
    <mergeCell ref="R47:T47"/>
    <mergeCell ref="R48:T48"/>
    <mergeCell ref="R49:T49"/>
    <mergeCell ref="R50:T50"/>
    <mergeCell ref="L45:L46"/>
    <mergeCell ref="R45:T45"/>
    <mergeCell ref="R46:T46"/>
    <mergeCell ref="L41:L44"/>
    <mergeCell ref="R41:T41"/>
    <mergeCell ref="R42:T42"/>
    <mergeCell ref="R43:T43"/>
    <mergeCell ref="R55:T55"/>
    <mergeCell ref="R56:T56"/>
    <mergeCell ref="R57:T57"/>
    <mergeCell ref="R58:T58"/>
    <mergeCell ref="L59:N60"/>
    <mergeCell ref="O59:O60"/>
    <mergeCell ref="P59:P60"/>
    <mergeCell ref="Q59:Q60"/>
    <mergeCell ref="R59:R60"/>
    <mergeCell ref="S59:U60"/>
    <mergeCell ref="L51:L58"/>
    <mergeCell ref="R51:T51"/>
    <mergeCell ref="R52:T52"/>
    <mergeCell ref="R53:T53"/>
    <mergeCell ref="R54:T54"/>
  </mergeCells>
  <phoneticPr fontId="3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99265-7701-4D9E-A221-EA20D8F2BC58}">
  <dimension ref="A1:V115"/>
  <sheetViews>
    <sheetView zoomScale="80" zoomScaleNormal="80" workbookViewId="0">
      <pane ySplit="5" topLeftCell="A6" activePane="bottomLeft" state="frozen"/>
      <selection activeCell="H29" sqref="H29"/>
      <selection pane="bottomLeft" activeCell="H29" sqref="H29"/>
    </sheetView>
  </sheetViews>
  <sheetFormatPr defaultColWidth="9" defaultRowHeight="13.5" x14ac:dyDescent="0.3"/>
  <cols>
    <col min="1" max="1" width="7.75" style="2" bestFit="1" customWidth="1"/>
    <col min="2" max="2" width="16.625" style="2" bestFit="1" customWidth="1"/>
    <col min="3" max="3" width="18" style="2" customWidth="1"/>
    <col min="4" max="4" width="23.75" style="2" bestFit="1" customWidth="1"/>
    <col min="5" max="5" width="22" style="2" bestFit="1" customWidth="1"/>
    <col min="6" max="8" width="18.5" style="36" customWidth="1"/>
    <col min="9" max="10" width="18.5" style="2" customWidth="1"/>
    <col min="11" max="11" width="9" style="2"/>
    <col min="12" max="12" width="17.125" style="2" bestFit="1" customWidth="1"/>
    <col min="13" max="13" width="23.375" style="2" bestFit="1" customWidth="1"/>
    <col min="14" max="14" width="28" style="2" bestFit="1" customWidth="1"/>
    <col min="15" max="17" width="18.25" style="2" customWidth="1"/>
    <col min="18" max="20" width="13.25" style="2" customWidth="1"/>
    <col min="21" max="21" width="19.125" style="36" customWidth="1"/>
    <col min="22" max="16384" width="9" style="2"/>
  </cols>
  <sheetData>
    <row r="1" spans="1:22" ht="13.5" customHeight="1" x14ac:dyDescent="0.3">
      <c r="A1" s="107" t="s">
        <v>0</v>
      </c>
      <c r="B1" s="107"/>
      <c r="C1" s="107"/>
      <c r="D1" s="107"/>
      <c r="E1" s="107"/>
      <c r="F1" s="107"/>
      <c r="G1" s="107"/>
      <c r="H1" s="39"/>
      <c r="I1" s="1"/>
      <c r="J1" s="1"/>
      <c r="L1" s="109" t="s">
        <v>96</v>
      </c>
      <c r="M1" s="109"/>
      <c r="N1" s="109"/>
      <c r="O1" s="109"/>
      <c r="P1" s="109"/>
      <c r="Q1" s="109"/>
      <c r="R1" s="109"/>
      <c r="S1" s="109"/>
      <c r="T1" s="109"/>
      <c r="U1" s="109"/>
    </row>
    <row r="2" spans="1:22" ht="31.5" customHeight="1" x14ac:dyDescent="0.3">
      <c r="A2" s="107"/>
      <c r="B2" s="107"/>
      <c r="C2" s="107"/>
      <c r="D2" s="107"/>
      <c r="E2" s="107"/>
      <c r="F2" s="107"/>
      <c r="G2" s="107"/>
      <c r="H2" s="110" t="s">
        <v>1</v>
      </c>
      <c r="I2" s="110"/>
      <c r="J2" s="110"/>
      <c r="L2" s="109"/>
      <c r="M2" s="109"/>
      <c r="N2" s="109"/>
      <c r="O2" s="109"/>
      <c r="P2" s="109"/>
      <c r="Q2" s="109"/>
      <c r="R2" s="109"/>
      <c r="S2" s="109"/>
      <c r="T2" s="109"/>
      <c r="U2" s="109"/>
    </row>
    <row r="3" spans="1:22" ht="31.5" customHeight="1" thickBot="1" x14ac:dyDescent="0.35">
      <c r="A3" s="107"/>
      <c r="B3" s="107"/>
      <c r="C3" s="107"/>
      <c r="D3" s="107"/>
      <c r="E3" s="107"/>
      <c r="F3" s="107"/>
      <c r="G3" s="107"/>
      <c r="H3" s="3" t="s">
        <v>99</v>
      </c>
      <c r="I3" s="3" t="s">
        <v>97</v>
      </c>
      <c r="J3" s="3" t="s">
        <v>2</v>
      </c>
      <c r="L3" s="109"/>
      <c r="M3" s="109"/>
      <c r="N3" s="109"/>
      <c r="O3" s="109"/>
      <c r="P3" s="109"/>
      <c r="Q3" s="109"/>
      <c r="R3" s="109"/>
      <c r="S3" s="109"/>
      <c r="T3" s="109"/>
      <c r="U3" s="109"/>
    </row>
    <row r="4" spans="1:22" ht="31.5" customHeight="1" thickBot="1" x14ac:dyDescent="0.35">
      <c r="A4" s="108"/>
      <c r="B4" s="108"/>
      <c r="C4" s="108"/>
      <c r="D4" s="108"/>
      <c r="E4" s="108"/>
      <c r="F4" s="108"/>
      <c r="G4" s="108"/>
      <c r="H4" s="43"/>
      <c r="I4" s="3"/>
      <c r="J4" s="3"/>
      <c r="L4" s="111" t="s">
        <v>3</v>
      </c>
      <c r="M4" s="112"/>
      <c r="N4" s="112" t="s">
        <v>4</v>
      </c>
      <c r="O4" s="112" t="s">
        <v>5</v>
      </c>
      <c r="P4" s="112"/>
      <c r="Q4" s="112"/>
      <c r="R4" s="112"/>
      <c r="S4" s="112"/>
      <c r="T4" s="112"/>
      <c r="U4" s="114" t="s">
        <v>6</v>
      </c>
    </row>
    <row r="5" spans="1:22" ht="18" customHeight="1" x14ac:dyDescent="0.3">
      <c r="A5" s="5" t="s">
        <v>7</v>
      </c>
      <c r="B5" s="6" t="s">
        <v>8</v>
      </c>
      <c r="C5" s="7" t="s">
        <v>9</v>
      </c>
      <c r="D5" s="7" t="s">
        <v>10</v>
      </c>
      <c r="E5" s="7" t="s">
        <v>11</v>
      </c>
      <c r="F5" s="8" t="s">
        <v>12</v>
      </c>
      <c r="G5" s="8" t="s">
        <v>13</v>
      </c>
      <c r="H5" s="40" t="s">
        <v>14</v>
      </c>
      <c r="I5" s="41" t="s">
        <v>15</v>
      </c>
      <c r="J5" s="42" t="s">
        <v>16</v>
      </c>
      <c r="L5" s="12" t="s">
        <v>17</v>
      </c>
      <c r="M5" s="13" t="s">
        <v>18</v>
      </c>
      <c r="N5" s="113"/>
      <c r="O5" s="14" t="s">
        <v>12</v>
      </c>
      <c r="P5" s="13" t="s">
        <v>13</v>
      </c>
      <c r="Q5" s="13" t="s">
        <v>14</v>
      </c>
      <c r="R5" s="113" t="s">
        <v>19</v>
      </c>
      <c r="S5" s="113"/>
      <c r="T5" s="113"/>
      <c r="U5" s="115"/>
    </row>
    <row r="6" spans="1:22" ht="18" customHeight="1" x14ac:dyDescent="0.3">
      <c r="A6" s="15">
        <v>1</v>
      </c>
      <c r="B6" s="16"/>
      <c r="C6" s="3"/>
      <c r="D6" s="17"/>
      <c r="E6" s="3"/>
      <c r="F6" s="18"/>
      <c r="G6" s="18"/>
      <c r="H6" s="19"/>
      <c r="I6" s="3"/>
      <c r="J6" s="20"/>
      <c r="K6" s="21"/>
      <c r="L6" s="93" t="s">
        <v>20</v>
      </c>
      <c r="M6" s="17" t="s">
        <v>21</v>
      </c>
      <c r="N6" s="17" t="s">
        <v>22</v>
      </c>
      <c r="O6" s="22">
        <f t="shared" ref="O6:O58" si="0">SUMIF($D$6:$D$130,$M6,$F$6:$F$130)</f>
        <v>0</v>
      </c>
      <c r="P6" s="22">
        <f t="shared" ref="P6:P58" si="1">SUMIF($D$6:$D$130,$M6,$G$6:$G$130)</f>
        <v>0</v>
      </c>
      <c r="Q6" s="22">
        <f t="shared" ref="Q6:Q58" si="2">SUMIF($D$6:$D$130,$M6,$H$6:$H$130)</f>
        <v>0</v>
      </c>
      <c r="R6" s="92"/>
      <c r="S6" s="92"/>
      <c r="T6" s="92"/>
      <c r="U6" s="23">
        <f t="shared" ref="U6:U58" si="3">SUM(O6:Q6)</f>
        <v>0</v>
      </c>
      <c r="V6" s="21"/>
    </row>
    <row r="7" spans="1:22" ht="18" customHeight="1" x14ac:dyDescent="0.3">
      <c r="A7" s="15">
        <v>2</v>
      </c>
      <c r="B7" s="16"/>
      <c r="C7" s="3"/>
      <c r="D7" s="17"/>
      <c r="E7" s="3"/>
      <c r="F7" s="18"/>
      <c r="G7" s="18"/>
      <c r="H7" s="19"/>
      <c r="I7" s="3"/>
      <c r="J7" s="20"/>
      <c r="K7" s="21"/>
      <c r="L7" s="93"/>
      <c r="M7" s="17" t="s">
        <v>70</v>
      </c>
      <c r="N7" s="17"/>
      <c r="O7" s="22">
        <f t="shared" si="0"/>
        <v>0</v>
      </c>
      <c r="P7" s="22">
        <f t="shared" si="1"/>
        <v>0</v>
      </c>
      <c r="Q7" s="22">
        <f t="shared" si="2"/>
        <v>0</v>
      </c>
      <c r="R7" s="92"/>
      <c r="S7" s="92"/>
      <c r="T7" s="92"/>
      <c r="U7" s="23">
        <f t="shared" si="3"/>
        <v>0</v>
      </c>
      <c r="V7" s="21"/>
    </row>
    <row r="8" spans="1:22" ht="18" customHeight="1" x14ac:dyDescent="0.3">
      <c r="A8" s="15">
        <v>3</v>
      </c>
      <c r="B8" s="16"/>
      <c r="C8" s="3"/>
      <c r="D8" s="17"/>
      <c r="E8" s="3"/>
      <c r="F8" s="18"/>
      <c r="G8" s="18"/>
      <c r="H8" s="19"/>
      <c r="I8" s="3"/>
      <c r="J8" s="20"/>
      <c r="K8" s="21"/>
      <c r="L8" s="93"/>
      <c r="M8" s="17" t="s">
        <v>91</v>
      </c>
      <c r="N8" s="17"/>
      <c r="O8" s="22">
        <f t="shared" si="0"/>
        <v>0</v>
      </c>
      <c r="P8" s="22">
        <f t="shared" si="1"/>
        <v>0</v>
      </c>
      <c r="Q8" s="22">
        <f t="shared" si="2"/>
        <v>0</v>
      </c>
      <c r="R8" s="92"/>
      <c r="S8" s="92"/>
      <c r="T8" s="92"/>
      <c r="U8" s="23">
        <f t="shared" si="3"/>
        <v>0</v>
      </c>
      <c r="V8" s="21"/>
    </row>
    <row r="9" spans="1:22" ht="18" customHeight="1" x14ac:dyDescent="0.3">
      <c r="A9" s="15">
        <v>4</v>
      </c>
      <c r="B9" s="16"/>
      <c r="C9" s="3"/>
      <c r="D9" s="17"/>
      <c r="E9" s="3"/>
      <c r="F9" s="18"/>
      <c r="G9" s="18"/>
      <c r="H9" s="19"/>
      <c r="I9" s="3"/>
      <c r="J9" s="20"/>
      <c r="K9" s="21"/>
      <c r="L9" s="93"/>
      <c r="M9" s="17" t="s">
        <v>23</v>
      </c>
      <c r="N9" s="17"/>
      <c r="O9" s="22">
        <f t="shared" si="0"/>
        <v>0</v>
      </c>
      <c r="P9" s="22">
        <f t="shared" si="1"/>
        <v>0</v>
      </c>
      <c r="Q9" s="22">
        <f t="shared" si="2"/>
        <v>0</v>
      </c>
      <c r="R9" s="92"/>
      <c r="S9" s="92"/>
      <c r="T9" s="92"/>
      <c r="U9" s="23">
        <f t="shared" si="3"/>
        <v>0</v>
      </c>
      <c r="V9" s="21"/>
    </row>
    <row r="10" spans="1:22" ht="18" customHeight="1" x14ac:dyDescent="0.3">
      <c r="A10" s="15">
        <v>5</v>
      </c>
      <c r="B10" s="16"/>
      <c r="C10" s="3"/>
      <c r="D10" s="17"/>
      <c r="E10" s="17"/>
      <c r="F10" s="18"/>
      <c r="G10" s="18"/>
      <c r="H10" s="19"/>
      <c r="I10" s="3"/>
      <c r="J10" s="20"/>
      <c r="K10" s="21"/>
      <c r="L10" s="93"/>
      <c r="M10" s="17" t="s">
        <v>24</v>
      </c>
      <c r="N10" s="17" t="s">
        <v>25</v>
      </c>
      <c r="O10" s="22">
        <f t="shared" si="0"/>
        <v>0</v>
      </c>
      <c r="P10" s="22">
        <f t="shared" si="1"/>
        <v>0</v>
      </c>
      <c r="Q10" s="22">
        <f t="shared" si="2"/>
        <v>0</v>
      </c>
      <c r="R10" s="92"/>
      <c r="S10" s="92"/>
      <c r="T10" s="92"/>
      <c r="U10" s="23">
        <f t="shared" si="3"/>
        <v>0</v>
      </c>
      <c r="V10" s="21"/>
    </row>
    <row r="11" spans="1:22" ht="18" customHeight="1" x14ac:dyDescent="0.3">
      <c r="A11" s="15">
        <v>6</v>
      </c>
      <c r="B11" s="16"/>
      <c r="C11" s="3"/>
      <c r="D11" s="17"/>
      <c r="E11" s="3"/>
      <c r="F11" s="18"/>
      <c r="G11" s="18"/>
      <c r="H11" s="19"/>
      <c r="I11" s="3"/>
      <c r="J11" s="20"/>
      <c r="K11" s="21"/>
      <c r="L11" s="93"/>
      <c r="M11" s="17" t="s">
        <v>26</v>
      </c>
      <c r="N11" s="17" t="s">
        <v>27</v>
      </c>
      <c r="O11" s="22">
        <f t="shared" si="0"/>
        <v>0</v>
      </c>
      <c r="P11" s="22">
        <f t="shared" si="1"/>
        <v>0</v>
      </c>
      <c r="Q11" s="22">
        <f t="shared" si="2"/>
        <v>0</v>
      </c>
      <c r="R11" s="92"/>
      <c r="S11" s="92"/>
      <c r="T11" s="92"/>
      <c r="U11" s="23">
        <f t="shared" si="3"/>
        <v>0</v>
      </c>
      <c r="V11" s="21"/>
    </row>
    <row r="12" spans="1:22" ht="18" customHeight="1" x14ac:dyDescent="0.3">
      <c r="A12" s="15">
        <v>7</v>
      </c>
      <c r="B12" s="16"/>
      <c r="C12" s="3"/>
      <c r="D12" s="17"/>
      <c r="E12" s="3"/>
      <c r="F12" s="18"/>
      <c r="G12" s="18"/>
      <c r="H12" s="19"/>
      <c r="I12" s="3"/>
      <c r="J12" s="20"/>
      <c r="K12" s="21"/>
      <c r="L12" s="93" t="s">
        <v>28</v>
      </c>
      <c r="M12" s="24" t="s">
        <v>90</v>
      </c>
      <c r="N12" s="17"/>
      <c r="O12" s="22">
        <f t="shared" si="0"/>
        <v>0</v>
      </c>
      <c r="P12" s="22">
        <f t="shared" si="1"/>
        <v>0</v>
      </c>
      <c r="Q12" s="22">
        <f t="shared" si="2"/>
        <v>0</v>
      </c>
      <c r="R12" s="104"/>
      <c r="S12" s="105"/>
      <c r="T12" s="106"/>
      <c r="U12" s="23">
        <f t="shared" si="3"/>
        <v>0</v>
      </c>
      <c r="V12" s="21"/>
    </row>
    <row r="13" spans="1:22" ht="18" customHeight="1" x14ac:dyDescent="0.3">
      <c r="A13" s="15">
        <v>8</v>
      </c>
      <c r="B13" s="16"/>
      <c r="C13" s="3"/>
      <c r="D13" s="17"/>
      <c r="E13" s="3"/>
      <c r="F13" s="18"/>
      <c r="G13" s="18"/>
      <c r="H13" s="19"/>
      <c r="I13" s="3"/>
      <c r="J13" s="20"/>
      <c r="K13" s="21"/>
      <c r="L13" s="93"/>
      <c r="M13" s="17" t="s">
        <v>29</v>
      </c>
      <c r="N13" s="17"/>
      <c r="O13" s="22">
        <f t="shared" si="0"/>
        <v>0</v>
      </c>
      <c r="P13" s="22">
        <f t="shared" si="1"/>
        <v>0</v>
      </c>
      <c r="Q13" s="22">
        <f t="shared" si="2"/>
        <v>0</v>
      </c>
      <c r="R13" s="104"/>
      <c r="S13" s="105"/>
      <c r="T13" s="106"/>
      <c r="U13" s="23">
        <f t="shared" si="3"/>
        <v>0</v>
      </c>
      <c r="V13" s="21"/>
    </row>
    <row r="14" spans="1:22" ht="18" customHeight="1" x14ac:dyDescent="0.3">
      <c r="A14" s="15">
        <v>9</v>
      </c>
      <c r="B14" s="16"/>
      <c r="C14" s="3"/>
      <c r="D14" s="17"/>
      <c r="E14" s="17"/>
      <c r="F14" s="18"/>
      <c r="G14" s="18"/>
      <c r="H14" s="19"/>
      <c r="I14" s="3"/>
      <c r="J14" s="20"/>
      <c r="K14" s="21"/>
      <c r="L14" s="93"/>
      <c r="M14" s="17" t="s">
        <v>95</v>
      </c>
      <c r="N14" s="17"/>
      <c r="O14" s="22">
        <f t="shared" si="0"/>
        <v>0</v>
      </c>
      <c r="P14" s="22">
        <f t="shared" si="1"/>
        <v>0</v>
      </c>
      <c r="Q14" s="22">
        <f t="shared" si="2"/>
        <v>0</v>
      </c>
      <c r="R14" s="104"/>
      <c r="S14" s="105"/>
      <c r="T14" s="106"/>
      <c r="U14" s="23">
        <f t="shared" si="3"/>
        <v>0</v>
      </c>
      <c r="V14" s="21"/>
    </row>
    <row r="15" spans="1:22" ht="18" customHeight="1" x14ac:dyDescent="0.3">
      <c r="A15" s="15">
        <v>10</v>
      </c>
      <c r="B15" s="16"/>
      <c r="C15" s="3"/>
      <c r="D15" s="17"/>
      <c r="E15" s="17"/>
      <c r="F15" s="18"/>
      <c r="G15" s="18"/>
      <c r="H15" s="19"/>
      <c r="I15" s="3"/>
      <c r="J15" s="20"/>
      <c r="K15" s="21"/>
      <c r="L15" s="93"/>
      <c r="M15" s="17" t="s">
        <v>92</v>
      </c>
      <c r="N15" s="17"/>
      <c r="O15" s="22">
        <f t="shared" si="0"/>
        <v>0</v>
      </c>
      <c r="P15" s="22">
        <f t="shared" si="1"/>
        <v>0</v>
      </c>
      <c r="Q15" s="22">
        <f t="shared" si="2"/>
        <v>0</v>
      </c>
      <c r="R15" s="104"/>
      <c r="S15" s="105"/>
      <c r="T15" s="106"/>
      <c r="U15" s="23">
        <f t="shared" si="3"/>
        <v>0</v>
      </c>
      <c r="V15" s="21"/>
    </row>
    <row r="16" spans="1:22" ht="18" customHeight="1" x14ac:dyDescent="0.3">
      <c r="A16" s="15">
        <v>11</v>
      </c>
      <c r="B16" s="16"/>
      <c r="C16" s="3"/>
      <c r="D16" s="17"/>
      <c r="E16" s="17"/>
      <c r="F16" s="18"/>
      <c r="G16" s="18"/>
      <c r="H16" s="19"/>
      <c r="I16" s="3"/>
      <c r="J16" s="20"/>
      <c r="K16" s="21"/>
      <c r="L16" s="93"/>
      <c r="M16" s="17" t="s">
        <v>83</v>
      </c>
      <c r="N16" s="17" t="s">
        <v>30</v>
      </c>
      <c r="O16" s="22">
        <f t="shared" si="0"/>
        <v>0</v>
      </c>
      <c r="P16" s="22">
        <f t="shared" si="1"/>
        <v>0</v>
      </c>
      <c r="Q16" s="22">
        <f t="shared" si="2"/>
        <v>0</v>
      </c>
      <c r="R16" s="92"/>
      <c r="S16" s="92"/>
      <c r="T16" s="92"/>
      <c r="U16" s="23">
        <f t="shared" si="3"/>
        <v>0</v>
      </c>
      <c r="V16" s="21"/>
    </row>
    <row r="17" spans="1:22" ht="18" customHeight="1" x14ac:dyDescent="0.3">
      <c r="A17" s="15">
        <v>12</v>
      </c>
      <c r="B17" s="16"/>
      <c r="C17" s="3"/>
      <c r="D17" s="17"/>
      <c r="E17" s="3"/>
      <c r="F17" s="18"/>
      <c r="G17" s="18"/>
      <c r="H17" s="19"/>
      <c r="I17" s="3"/>
      <c r="J17" s="20"/>
      <c r="K17" s="21"/>
      <c r="L17" s="93"/>
      <c r="M17" s="17" t="s">
        <v>93</v>
      </c>
      <c r="N17" s="17"/>
      <c r="O17" s="22">
        <f t="shared" si="0"/>
        <v>0</v>
      </c>
      <c r="P17" s="22">
        <f t="shared" si="1"/>
        <v>0</v>
      </c>
      <c r="Q17" s="22">
        <f t="shared" si="2"/>
        <v>0</v>
      </c>
      <c r="R17" s="92"/>
      <c r="S17" s="92"/>
      <c r="T17" s="92"/>
      <c r="U17" s="23">
        <f t="shared" si="3"/>
        <v>0</v>
      </c>
      <c r="V17" s="21"/>
    </row>
    <row r="18" spans="1:22" ht="18" customHeight="1" x14ac:dyDescent="0.3">
      <c r="A18" s="15">
        <v>13</v>
      </c>
      <c r="B18" s="16"/>
      <c r="C18" s="3"/>
      <c r="D18" s="17"/>
      <c r="E18" s="3"/>
      <c r="F18" s="18"/>
      <c r="G18" s="18"/>
      <c r="H18" s="19"/>
      <c r="I18" s="3"/>
      <c r="J18" s="20"/>
      <c r="K18" s="21"/>
      <c r="L18" s="25" t="s">
        <v>31</v>
      </c>
      <c r="M18" s="17" t="s">
        <v>88</v>
      </c>
      <c r="N18" s="17"/>
      <c r="O18" s="22">
        <f t="shared" si="0"/>
        <v>0</v>
      </c>
      <c r="P18" s="22">
        <f t="shared" si="1"/>
        <v>0</v>
      </c>
      <c r="Q18" s="22">
        <f t="shared" si="2"/>
        <v>0</v>
      </c>
      <c r="R18" s="92"/>
      <c r="S18" s="92"/>
      <c r="T18" s="92"/>
      <c r="U18" s="23">
        <f t="shared" si="3"/>
        <v>0</v>
      </c>
      <c r="V18" s="21"/>
    </row>
    <row r="19" spans="1:22" ht="18" customHeight="1" x14ac:dyDescent="0.3">
      <c r="A19" s="15">
        <v>14</v>
      </c>
      <c r="B19" s="16"/>
      <c r="C19" s="3"/>
      <c r="D19" s="17"/>
      <c r="E19" s="3"/>
      <c r="F19" s="37"/>
      <c r="G19" s="18"/>
      <c r="H19" s="19"/>
      <c r="I19" s="3"/>
      <c r="J19" s="20"/>
      <c r="K19" s="21"/>
      <c r="L19" s="25" t="s">
        <v>32</v>
      </c>
      <c r="M19" s="17" t="s">
        <v>33</v>
      </c>
      <c r="N19" s="17"/>
      <c r="O19" s="22">
        <f t="shared" si="0"/>
        <v>0</v>
      </c>
      <c r="P19" s="22">
        <f t="shared" si="1"/>
        <v>0</v>
      </c>
      <c r="Q19" s="22">
        <f t="shared" si="2"/>
        <v>0</v>
      </c>
      <c r="R19" s="92"/>
      <c r="S19" s="92"/>
      <c r="T19" s="92"/>
      <c r="U19" s="23">
        <f t="shared" si="3"/>
        <v>0</v>
      </c>
      <c r="V19" s="21"/>
    </row>
    <row r="20" spans="1:22" ht="18" customHeight="1" x14ac:dyDescent="0.3">
      <c r="A20" s="15">
        <v>15</v>
      </c>
      <c r="B20" s="16"/>
      <c r="C20" s="3"/>
      <c r="D20" s="17"/>
      <c r="E20" s="3"/>
      <c r="F20" s="18"/>
      <c r="G20" s="18"/>
      <c r="H20" s="19"/>
      <c r="I20" s="3"/>
      <c r="J20" s="20"/>
      <c r="K20" s="21"/>
      <c r="L20" s="25" t="s">
        <v>34</v>
      </c>
      <c r="M20" s="17" t="s">
        <v>72</v>
      </c>
      <c r="N20" s="17"/>
      <c r="O20" s="22">
        <f t="shared" si="0"/>
        <v>0</v>
      </c>
      <c r="P20" s="22">
        <f t="shared" si="1"/>
        <v>0</v>
      </c>
      <c r="Q20" s="22">
        <f t="shared" si="2"/>
        <v>0</v>
      </c>
      <c r="R20" s="104"/>
      <c r="S20" s="105"/>
      <c r="T20" s="106"/>
      <c r="U20" s="23">
        <f t="shared" si="3"/>
        <v>0</v>
      </c>
      <c r="V20" s="21"/>
    </row>
    <row r="21" spans="1:22" ht="18" customHeight="1" x14ac:dyDescent="0.3">
      <c r="A21" s="15">
        <v>16</v>
      </c>
      <c r="B21" s="16"/>
      <c r="C21" s="3"/>
      <c r="D21" s="17"/>
      <c r="E21" s="3"/>
      <c r="F21" s="18"/>
      <c r="G21" s="19"/>
      <c r="H21" s="19"/>
      <c r="I21" s="3"/>
      <c r="J21" s="20"/>
      <c r="K21" s="21"/>
      <c r="L21" s="93" t="s">
        <v>35</v>
      </c>
      <c r="M21" s="17" t="s">
        <v>36</v>
      </c>
      <c r="N21" s="17"/>
      <c r="O21" s="22">
        <f t="shared" si="0"/>
        <v>0</v>
      </c>
      <c r="P21" s="22">
        <f t="shared" si="1"/>
        <v>0</v>
      </c>
      <c r="Q21" s="22">
        <f t="shared" si="2"/>
        <v>0</v>
      </c>
      <c r="R21" s="92"/>
      <c r="S21" s="92"/>
      <c r="T21" s="92"/>
      <c r="U21" s="23">
        <f t="shared" si="3"/>
        <v>0</v>
      </c>
      <c r="V21" s="21"/>
    </row>
    <row r="22" spans="1:22" ht="18" customHeight="1" x14ac:dyDescent="0.3">
      <c r="A22" s="15">
        <v>17</v>
      </c>
      <c r="B22" s="16"/>
      <c r="C22" s="3"/>
      <c r="D22" s="17"/>
      <c r="E22" s="3"/>
      <c r="F22" s="18"/>
      <c r="G22" s="18"/>
      <c r="H22" s="19"/>
      <c r="I22" s="3"/>
      <c r="J22" s="20"/>
      <c r="K22" s="21"/>
      <c r="L22" s="93"/>
      <c r="M22" s="17" t="s">
        <v>37</v>
      </c>
      <c r="N22" s="17"/>
      <c r="O22" s="22">
        <f t="shared" si="0"/>
        <v>0</v>
      </c>
      <c r="P22" s="22">
        <f t="shared" si="1"/>
        <v>0</v>
      </c>
      <c r="Q22" s="22">
        <f t="shared" si="2"/>
        <v>0</v>
      </c>
      <c r="R22" s="92"/>
      <c r="S22" s="92"/>
      <c r="T22" s="92"/>
      <c r="U22" s="23">
        <f t="shared" si="3"/>
        <v>0</v>
      </c>
      <c r="V22" s="21"/>
    </row>
    <row r="23" spans="1:22" ht="18" customHeight="1" x14ac:dyDescent="0.3">
      <c r="A23" s="15">
        <v>18</v>
      </c>
      <c r="B23" s="16"/>
      <c r="C23" s="3"/>
      <c r="D23" s="17"/>
      <c r="E23" s="3"/>
      <c r="F23" s="18"/>
      <c r="G23" s="19"/>
      <c r="H23" s="19"/>
      <c r="I23" s="3"/>
      <c r="J23" s="20"/>
      <c r="K23" s="21"/>
      <c r="L23" s="93"/>
      <c r="M23" s="17" t="s">
        <v>75</v>
      </c>
      <c r="N23" s="17"/>
      <c r="O23" s="22">
        <f t="shared" si="0"/>
        <v>0</v>
      </c>
      <c r="P23" s="22">
        <f t="shared" si="1"/>
        <v>0</v>
      </c>
      <c r="Q23" s="22">
        <f t="shared" si="2"/>
        <v>0</v>
      </c>
      <c r="R23" s="92"/>
      <c r="S23" s="92"/>
      <c r="T23" s="92"/>
      <c r="U23" s="23">
        <f t="shared" si="3"/>
        <v>0</v>
      </c>
      <c r="V23" s="21"/>
    </row>
    <row r="24" spans="1:22" ht="18" customHeight="1" x14ac:dyDescent="0.3">
      <c r="A24" s="15">
        <v>19</v>
      </c>
      <c r="B24" s="16"/>
      <c r="C24" s="3"/>
      <c r="D24" s="17"/>
      <c r="E24" s="3"/>
      <c r="F24" s="18"/>
      <c r="G24" s="19"/>
      <c r="H24" s="19"/>
      <c r="I24" s="3"/>
      <c r="J24" s="20"/>
      <c r="K24" s="21"/>
      <c r="L24" s="93"/>
      <c r="M24" s="17" t="s">
        <v>39</v>
      </c>
      <c r="N24" s="17"/>
      <c r="O24" s="22">
        <f t="shared" si="0"/>
        <v>0</v>
      </c>
      <c r="P24" s="22">
        <f t="shared" si="1"/>
        <v>0</v>
      </c>
      <c r="Q24" s="22">
        <f t="shared" si="2"/>
        <v>0</v>
      </c>
      <c r="R24" s="92"/>
      <c r="S24" s="92"/>
      <c r="T24" s="92"/>
      <c r="U24" s="23">
        <f t="shared" si="3"/>
        <v>0</v>
      </c>
      <c r="V24" s="21"/>
    </row>
    <row r="25" spans="1:22" ht="18" customHeight="1" x14ac:dyDescent="0.3">
      <c r="A25" s="15">
        <v>20</v>
      </c>
      <c r="B25" s="16"/>
      <c r="C25" s="3"/>
      <c r="D25" s="17"/>
      <c r="E25" s="3"/>
      <c r="F25" s="18"/>
      <c r="G25" s="19"/>
      <c r="H25" s="19"/>
      <c r="I25" s="3"/>
      <c r="J25" s="20"/>
      <c r="K25" s="21"/>
      <c r="L25" s="93"/>
      <c r="M25" s="17" t="s">
        <v>40</v>
      </c>
      <c r="N25" s="17"/>
      <c r="O25" s="22">
        <f t="shared" si="0"/>
        <v>0</v>
      </c>
      <c r="P25" s="22">
        <f t="shared" si="1"/>
        <v>0</v>
      </c>
      <c r="Q25" s="22">
        <f t="shared" si="2"/>
        <v>0</v>
      </c>
      <c r="R25" s="92"/>
      <c r="S25" s="92"/>
      <c r="T25" s="92"/>
      <c r="U25" s="23">
        <f t="shared" si="3"/>
        <v>0</v>
      </c>
      <c r="V25" s="21"/>
    </row>
    <row r="26" spans="1:22" ht="18" customHeight="1" x14ac:dyDescent="0.3">
      <c r="A26" s="15">
        <v>21</v>
      </c>
      <c r="B26" s="16"/>
      <c r="C26" s="3"/>
      <c r="D26" s="17"/>
      <c r="E26" s="17"/>
      <c r="F26" s="18"/>
      <c r="G26" s="19"/>
      <c r="H26" s="19"/>
      <c r="I26" s="3"/>
      <c r="J26" s="20"/>
      <c r="K26" s="21"/>
      <c r="L26" s="93"/>
      <c r="M26" s="17" t="s">
        <v>41</v>
      </c>
      <c r="N26" s="17"/>
      <c r="O26" s="22">
        <f t="shared" si="0"/>
        <v>0</v>
      </c>
      <c r="P26" s="22">
        <f t="shared" si="1"/>
        <v>0</v>
      </c>
      <c r="Q26" s="22">
        <f t="shared" si="2"/>
        <v>0</v>
      </c>
      <c r="R26" s="92"/>
      <c r="S26" s="92"/>
      <c r="T26" s="92"/>
      <c r="U26" s="23">
        <f t="shared" si="3"/>
        <v>0</v>
      </c>
      <c r="V26" s="21"/>
    </row>
    <row r="27" spans="1:22" ht="18" customHeight="1" x14ac:dyDescent="0.3">
      <c r="A27" s="15">
        <v>22</v>
      </c>
      <c r="B27" s="16"/>
      <c r="C27" s="3"/>
      <c r="D27" s="17"/>
      <c r="E27" s="3"/>
      <c r="F27" s="18"/>
      <c r="G27" s="19"/>
      <c r="H27" s="19"/>
      <c r="I27" s="3"/>
      <c r="J27" s="20"/>
      <c r="K27" s="21"/>
      <c r="L27" s="93"/>
      <c r="M27" s="17" t="s">
        <v>77</v>
      </c>
      <c r="N27" s="17"/>
      <c r="O27" s="22">
        <f t="shared" si="0"/>
        <v>0</v>
      </c>
      <c r="P27" s="22">
        <f t="shared" si="1"/>
        <v>0</v>
      </c>
      <c r="Q27" s="22">
        <f t="shared" si="2"/>
        <v>0</v>
      </c>
      <c r="R27" s="92"/>
      <c r="S27" s="92"/>
      <c r="T27" s="92"/>
      <c r="U27" s="23">
        <f t="shared" si="3"/>
        <v>0</v>
      </c>
      <c r="V27" s="21"/>
    </row>
    <row r="28" spans="1:22" ht="18" customHeight="1" x14ac:dyDescent="0.3">
      <c r="A28" s="15">
        <v>23</v>
      </c>
      <c r="B28" s="16"/>
      <c r="C28" s="3"/>
      <c r="D28" s="17"/>
      <c r="E28" s="17"/>
      <c r="F28" s="18"/>
      <c r="G28" s="19"/>
      <c r="H28" s="19"/>
      <c r="I28" s="3"/>
      <c r="J28" s="20"/>
      <c r="K28" s="21"/>
      <c r="L28" s="93"/>
      <c r="M28" s="17" t="s">
        <v>78</v>
      </c>
      <c r="N28" s="17"/>
      <c r="O28" s="22">
        <f t="shared" si="0"/>
        <v>0</v>
      </c>
      <c r="P28" s="22">
        <f t="shared" si="1"/>
        <v>0</v>
      </c>
      <c r="Q28" s="22">
        <f t="shared" si="2"/>
        <v>0</v>
      </c>
      <c r="R28" s="92"/>
      <c r="S28" s="92"/>
      <c r="T28" s="92"/>
      <c r="U28" s="23">
        <f t="shared" si="3"/>
        <v>0</v>
      </c>
      <c r="V28" s="21"/>
    </row>
    <row r="29" spans="1:22" ht="18" customHeight="1" x14ac:dyDescent="0.3">
      <c r="A29" s="15">
        <v>24</v>
      </c>
      <c r="B29" s="16"/>
      <c r="C29" s="3"/>
      <c r="D29" s="17"/>
      <c r="E29" s="3"/>
      <c r="F29" s="19"/>
      <c r="G29" s="18"/>
      <c r="H29" s="19"/>
      <c r="I29" s="3"/>
      <c r="J29" s="20"/>
      <c r="K29" s="21"/>
      <c r="L29" s="93"/>
      <c r="M29" s="17" t="s">
        <v>86</v>
      </c>
      <c r="N29" s="17"/>
      <c r="O29" s="22">
        <f t="shared" si="0"/>
        <v>0</v>
      </c>
      <c r="P29" s="22">
        <f t="shared" si="1"/>
        <v>0</v>
      </c>
      <c r="Q29" s="22">
        <f t="shared" si="2"/>
        <v>0</v>
      </c>
      <c r="R29" s="92"/>
      <c r="S29" s="92"/>
      <c r="T29" s="92"/>
      <c r="U29" s="23">
        <f t="shared" si="3"/>
        <v>0</v>
      </c>
      <c r="V29" s="21"/>
    </row>
    <row r="30" spans="1:22" ht="18" customHeight="1" x14ac:dyDescent="0.3">
      <c r="A30" s="15">
        <v>25</v>
      </c>
      <c r="B30" s="16"/>
      <c r="C30" s="3"/>
      <c r="D30" s="17"/>
      <c r="E30" s="17"/>
      <c r="F30" s="19"/>
      <c r="G30" s="18"/>
      <c r="H30" s="19"/>
      <c r="I30" s="3"/>
      <c r="J30" s="20"/>
      <c r="K30" s="21"/>
      <c r="L30" s="93"/>
      <c r="M30" s="17" t="s">
        <v>94</v>
      </c>
      <c r="N30" s="17" t="s">
        <v>42</v>
      </c>
      <c r="O30" s="22">
        <f t="shared" si="0"/>
        <v>0</v>
      </c>
      <c r="P30" s="22">
        <f t="shared" si="1"/>
        <v>0</v>
      </c>
      <c r="Q30" s="22">
        <f t="shared" si="2"/>
        <v>0</v>
      </c>
      <c r="R30" s="92"/>
      <c r="S30" s="92"/>
      <c r="T30" s="92"/>
      <c r="U30" s="23">
        <f t="shared" si="3"/>
        <v>0</v>
      </c>
      <c r="V30" s="21"/>
    </row>
    <row r="31" spans="1:22" ht="18" customHeight="1" x14ac:dyDescent="0.3">
      <c r="A31" s="15">
        <v>26</v>
      </c>
      <c r="B31" s="16"/>
      <c r="C31" s="3"/>
      <c r="D31" s="17"/>
      <c r="E31" s="17"/>
      <c r="F31" s="19"/>
      <c r="G31" s="18"/>
      <c r="H31" s="19"/>
      <c r="I31" s="3"/>
      <c r="J31" s="20"/>
      <c r="K31" s="21"/>
      <c r="L31" s="93"/>
      <c r="M31" s="17" t="s">
        <v>43</v>
      </c>
      <c r="N31" s="17" t="s">
        <v>44</v>
      </c>
      <c r="O31" s="22">
        <f t="shared" si="0"/>
        <v>0</v>
      </c>
      <c r="P31" s="22">
        <f t="shared" si="1"/>
        <v>0</v>
      </c>
      <c r="Q31" s="22">
        <f t="shared" si="2"/>
        <v>0</v>
      </c>
      <c r="R31" s="92"/>
      <c r="S31" s="92"/>
      <c r="T31" s="92"/>
      <c r="U31" s="23">
        <f t="shared" si="3"/>
        <v>0</v>
      </c>
      <c r="V31" s="21"/>
    </row>
    <row r="32" spans="1:22" ht="18" customHeight="1" x14ac:dyDescent="0.3">
      <c r="A32" s="15">
        <v>27</v>
      </c>
      <c r="B32" s="16"/>
      <c r="C32" s="3"/>
      <c r="D32" s="17"/>
      <c r="E32" s="3"/>
      <c r="F32" s="18"/>
      <c r="G32" s="19"/>
      <c r="H32" s="19"/>
      <c r="I32" s="3"/>
      <c r="J32" s="20"/>
      <c r="K32" s="21"/>
      <c r="L32" s="93"/>
      <c r="M32" s="17" t="s">
        <v>45</v>
      </c>
      <c r="N32" s="17" t="s">
        <v>46</v>
      </c>
      <c r="O32" s="22">
        <f>SUMIF($D$6:$D$130,$M32,$F$6:$F$130)</f>
        <v>0</v>
      </c>
      <c r="P32" s="22">
        <f t="shared" si="1"/>
        <v>0</v>
      </c>
      <c r="Q32" s="22">
        <f t="shared" si="2"/>
        <v>0</v>
      </c>
      <c r="R32" s="92"/>
      <c r="S32" s="92"/>
      <c r="T32" s="92"/>
      <c r="U32" s="23">
        <f t="shared" si="3"/>
        <v>0</v>
      </c>
      <c r="V32" s="21"/>
    </row>
    <row r="33" spans="1:22" ht="18" customHeight="1" x14ac:dyDescent="0.3">
      <c r="A33" s="15">
        <v>28</v>
      </c>
      <c r="B33" s="16"/>
      <c r="C33" s="3"/>
      <c r="D33" s="24"/>
      <c r="E33" s="3"/>
      <c r="F33" s="18"/>
      <c r="G33" s="19"/>
      <c r="H33" s="19"/>
      <c r="I33" s="3"/>
      <c r="J33" s="20"/>
      <c r="K33" s="21"/>
      <c r="L33" s="93"/>
      <c r="M33" s="17" t="s">
        <v>47</v>
      </c>
      <c r="N33" s="17"/>
      <c r="O33" s="22">
        <f t="shared" si="0"/>
        <v>0</v>
      </c>
      <c r="P33" s="22">
        <f t="shared" si="1"/>
        <v>0</v>
      </c>
      <c r="Q33" s="22">
        <f t="shared" si="2"/>
        <v>0</v>
      </c>
      <c r="R33" s="92"/>
      <c r="S33" s="92"/>
      <c r="T33" s="92"/>
      <c r="U33" s="23">
        <f t="shared" si="3"/>
        <v>0</v>
      </c>
      <c r="V33" s="21"/>
    </row>
    <row r="34" spans="1:22" ht="18" customHeight="1" x14ac:dyDescent="0.3">
      <c r="A34" s="15">
        <v>29</v>
      </c>
      <c r="B34" s="16"/>
      <c r="C34" s="3"/>
      <c r="D34" s="17"/>
      <c r="E34" s="3"/>
      <c r="F34" s="18"/>
      <c r="G34" s="18"/>
      <c r="H34" s="19"/>
      <c r="I34" s="3"/>
      <c r="J34" s="20"/>
      <c r="K34" s="21"/>
      <c r="L34" s="93"/>
      <c r="M34" s="17" t="s">
        <v>48</v>
      </c>
      <c r="N34" s="17"/>
      <c r="O34" s="22">
        <f t="shared" si="0"/>
        <v>0</v>
      </c>
      <c r="P34" s="22">
        <f t="shared" si="1"/>
        <v>0</v>
      </c>
      <c r="Q34" s="22">
        <f t="shared" si="2"/>
        <v>0</v>
      </c>
      <c r="R34" s="92"/>
      <c r="S34" s="92"/>
      <c r="T34" s="92"/>
      <c r="U34" s="23">
        <f t="shared" si="3"/>
        <v>0</v>
      </c>
      <c r="V34" s="21"/>
    </row>
    <row r="35" spans="1:22" ht="18" customHeight="1" x14ac:dyDescent="0.3">
      <c r="A35" s="15">
        <v>30</v>
      </c>
      <c r="B35" s="16"/>
      <c r="C35" s="3"/>
      <c r="D35" s="17"/>
      <c r="E35" s="3"/>
      <c r="F35" s="18"/>
      <c r="G35" s="18"/>
      <c r="H35" s="19"/>
      <c r="I35" s="3"/>
      <c r="J35" s="20"/>
      <c r="K35" s="21"/>
      <c r="L35" s="93" t="s">
        <v>49</v>
      </c>
      <c r="M35" s="17" t="s">
        <v>50</v>
      </c>
      <c r="N35" s="17"/>
      <c r="O35" s="22">
        <f t="shared" si="0"/>
        <v>0</v>
      </c>
      <c r="P35" s="22">
        <f t="shared" si="1"/>
        <v>0</v>
      </c>
      <c r="Q35" s="22">
        <f t="shared" si="2"/>
        <v>0</v>
      </c>
      <c r="R35" s="92"/>
      <c r="S35" s="92"/>
      <c r="T35" s="92"/>
      <c r="U35" s="23">
        <f t="shared" si="3"/>
        <v>0</v>
      </c>
      <c r="V35" s="21"/>
    </row>
    <row r="36" spans="1:22" ht="18" customHeight="1" x14ac:dyDescent="0.3">
      <c r="A36" s="15">
        <v>31</v>
      </c>
      <c r="B36" s="16"/>
      <c r="C36" s="3"/>
      <c r="D36" s="17"/>
      <c r="E36" s="3"/>
      <c r="F36" s="18"/>
      <c r="G36" s="19"/>
      <c r="H36" s="19"/>
      <c r="I36" s="3"/>
      <c r="J36" s="20"/>
      <c r="K36" s="21"/>
      <c r="L36" s="93"/>
      <c r="M36" s="17" t="s">
        <v>76</v>
      </c>
      <c r="N36" s="17"/>
      <c r="O36" s="22">
        <f t="shared" si="0"/>
        <v>0</v>
      </c>
      <c r="P36" s="22">
        <f t="shared" si="1"/>
        <v>0</v>
      </c>
      <c r="Q36" s="22">
        <f t="shared" si="2"/>
        <v>0</v>
      </c>
      <c r="R36" s="92" t="s">
        <v>38</v>
      </c>
      <c r="S36" s="92"/>
      <c r="T36" s="92"/>
      <c r="U36" s="23">
        <f t="shared" si="3"/>
        <v>0</v>
      </c>
      <c r="V36" s="21"/>
    </row>
    <row r="37" spans="1:22" ht="18" customHeight="1" x14ac:dyDescent="0.3">
      <c r="A37" s="15">
        <v>32</v>
      </c>
      <c r="B37" s="16"/>
      <c r="C37" s="3"/>
      <c r="D37" s="17"/>
      <c r="E37" s="3"/>
      <c r="F37" s="18"/>
      <c r="G37" s="18"/>
      <c r="H37" s="19"/>
      <c r="I37" s="3"/>
      <c r="J37" s="20"/>
      <c r="K37" s="21"/>
      <c r="L37" s="93"/>
      <c r="M37" s="17" t="s">
        <v>85</v>
      </c>
      <c r="N37" s="17"/>
      <c r="O37" s="22">
        <f t="shared" si="0"/>
        <v>0</v>
      </c>
      <c r="P37" s="22">
        <f t="shared" si="1"/>
        <v>0</v>
      </c>
      <c r="Q37" s="22">
        <f t="shared" si="2"/>
        <v>0</v>
      </c>
      <c r="R37" s="92"/>
      <c r="S37" s="92"/>
      <c r="T37" s="92"/>
      <c r="U37" s="23">
        <f t="shared" si="3"/>
        <v>0</v>
      </c>
      <c r="V37" s="21"/>
    </row>
    <row r="38" spans="1:22" ht="18" customHeight="1" x14ac:dyDescent="0.3">
      <c r="A38" s="15">
        <v>33</v>
      </c>
      <c r="B38" s="16"/>
      <c r="C38" s="3"/>
      <c r="D38" s="17"/>
      <c r="E38" s="3"/>
      <c r="F38" s="18"/>
      <c r="G38" s="18"/>
      <c r="H38" s="19"/>
      <c r="I38" s="3"/>
      <c r="J38" s="26"/>
      <c r="K38" s="21"/>
      <c r="L38" s="93"/>
      <c r="M38" s="17" t="s">
        <v>51</v>
      </c>
      <c r="N38" s="17"/>
      <c r="O38" s="22">
        <f t="shared" si="0"/>
        <v>0</v>
      </c>
      <c r="P38" s="22">
        <f t="shared" si="1"/>
        <v>0</v>
      </c>
      <c r="Q38" s="22">
        <f t="shared" si="2"/>
        <v>0</v>
      </c>
      <c r="R38" s="92"/>
      <c r="S38" s="92"/>
      <c r="T38" s="92"/>
      <c r="U38" s="23">
        <f t="shared" si="3"/>
        <v>0</v>
      </c>
      <c r="V38" s="21"/>
    </row>
    <row r="39" spans="1:22" ht="18" customHeight="1" x14ac:dyDescent="0.3">
      <c r="A39" s="15">
        <v>34</v>
      </c>
      <c r="B39" s="16"/>
      <c r="C39" s="3"/>
      <c r="D39" s="17"/>
      <c r="E39" s="3"/>
      <c r="F39" s="18"/>
      <c r="G39" s="18"/>
      <c r="H39" s="19"/>
      <c r="I39" s="3"/>
      <c r="J39" s="26"/>
      <c r="K39" s="21"/>
      <c r="L39" s="93"/>
      <c r="M39" s="17" t="s">
        <v>79</v>
      </c>
      <c r="N39" s="17"/>
      <c r="O39" s="22">
        <f t="shared" si="0"/>
        <v>0</v>
      </c>
      <c r="P39" s="22">
        <f t="shared" si="1"/>
        <v>0</v>
      </c>
      <c r="Q39" s="22">
        <f t="shared" si="2"/>
        <v>0</v>
      </c>
      <c r="R39" s="104"/>
      <c r="S39" s="105"/>
      <c r="T39" s="106"/>
      <c r="U39" s="23">
        <f t="shared" si="3"/>
        <v>0</v>
      </c>
      <c r="V39" s="21"/>
    </row>
    <row r="40" spans="1:22" ht="18" customHeight="1" x14ac:dyDescent="0.3">
      <c r="A40" s="15">
        <v>35</v>
      </c>
      <c r="B40" s="16"/>
      <c r="C40" s="3"/>
      <c r="D40" s="17"/>
      <c r="E40" s="3"/>
      <c r="F40" s="18"/>
      <c r="G40" s="18"/>
      <c r="H40" s="19"/>
      <c r="I40" s="3"/>
      <c r="J40" s="20"/>
      <c r="K40" s="21"/>
      <c r="L40" s="93"/>
      <c r="M40" s="17" t="s">
        <v>52</v>
      </c>
      <c r="N40" s="17"/>
      <c r="O40" s="22">
        <f t="shared" si="0"/>
        <v>0</v>
      </c>
      <c r="P40" s="22">
        <f t="shared" si="1"/>
        <v>0</v>
      </c>
      <c r="Q40" s="22">
        <f t="shared" si="2"/>
        <v>0</v>
      </c>
      <c r="R40" s="92"/>
      <c r="S40" s="92"/>
      <c r="T40" s="92"/>
      <c r="U40" s="23">
        <f t="shared" si="3"/>
        <v>0</v>
      </c>
      <c r="V40" s="21"/>
    </row>
    <row r="41" spans="1:22" ht="18" customHeight="1" x14ac:dyDescent="0.3">
      <c r="A41" s="15">
        <v>36</v>
      </c>
      <c r="B41" s="16"/>
      <c r="C41" s="3"/>
      <c r="D41" s="17"/>
      <c r="E41" s="17"/>
      <c r="F41" s="18"/>
      <c r="G41" s="19"/>
      <c r="H41" s="19"/>
      <c r="I41" s="3"/>
      <c r="J41" s="20"/>
      <c r="K41" s="21"/>
      <c r="L41" s="93" t="s">
        <v>53</v>
      </c>
      <c r="M41" s="17" t="s">
        <v>74</v>
      </c>
      <c r="N41" s="17"/>
      <c r="O41" s="22">
        <f t="shared" si="0"/>
        <v>0</v>
      </c>
      <c r="P41" s="22">
        <f t="shared" si="1"/>
        <v>0</v>
      </c>
      <c r="Q41" s="22">
        <f t="shared" si="2"/>
        <v>0</v>
      </c>
      <c r="R41" s="92"/>
      <c r="S41" s="92"/>
      <c r="T41" s="92"/>
      <c r="U41" s="23">
        <f t="shared" si="3"/>
        <v>0</v>
      </c>
      <c r="V41" s="21"/>
    </row>
    <row r="42" spans="1:22" ht="18" customHeight="1" x14ac:dyDescent="0.3">
      <c r="A42" s="15">
        <v>37</v>
      </c>
      <c r="B42" s="16"/>
      <c r="C42" s="3"/>
      <c r="D42" s="17"/>
      <c r="E42" s="3"/>
      <c r="F42" s="18"/>
      <c r="G42" s="18"/>
      <c r="H42" s="27"/>
      <c r="I42" s="3"/>
      <c r="J42" s="20"/>
      <c r="K42" s="21"/>
      <c r="L42" s="93"/>
      <c r="M42" s="17" t="s">
        <v>73</v>
      </c>
      <c r="N42" s="17"/>
      <c r="O42" s="22">
        <f t="shared" si="0"/>
        <v>0</v>
      </c>
      <c r="P42" s="22">
        <f t="shared" si="1"/>
        <v>0</v>
      </c>
      <c r="Q42" s="22">
        <f t="shared" si="2"/>
        <v>0</v>
      </c>
      <c r="R42" s="92"/>
      <c r="S42" s="92"/>
      <c r="T42" s="92"/>
      <c r="U42" s="23">
        <f t="shared" si="3"/>
        <v>0</v>
      </c>
      <c r="V42" s="21"/>
    </row>
    <row r="43" spans="1:22" ht="18" customHeight="1" x14ac:dyDescent="0.3">
      <c r="A43" s="15">
        <v>38</v>
      </c>
      <c r="B43" s="16"/>
      <c r="C43" s="3"/>
      <c r="D43" s="17"/>
      <c r="E43" s="3"/>
      <c r="F43" s="18"/>
      <c r="G43" s="18"/>
      <c r="H43" s="27"/>
      <c r="I43" s="3"/>
      <c r="J43" s="20"/>
      <c r="K43" s="21"/>
      <c r="L43" s="93"/>
      <c r="M43" s="17" t="s">
        <v>80</v>
      </c>
      <c r="N43" s="17"/>
      <c r="O43" s="22">
        <f t="shared" si="0"/>
        <v>0</v>
      </c>
      <c r="P43" s="22">
        <f t="shared" si="1"/>
        <v>0</v>
      </c>
      <c r="Q43" s="22">
        <f t="shared" si="2"/>
        <v>0</v>
      </c>
      <c r="R43" s="92"/>
      <c r="S43" s="92"/>
      <c r="T43" s="92"/>
      <c r="U43" s="23">
        <f t="shared" si="3"/>
        <v>0</v>
      </c>
      <c r="V43" s="21"/>
    </row>
    <row r="44" spans="1:22" ht="18" customHeight="1" x14ac:dyDescent="0.3">
      <c r="A44" s="15">
        <v>39</v>
      </c>
      <c r="B44" s="16"/>
      <c r="C44" s="3"/>
      <c r="D44" s="24"/>
      <c r="E44" s="3"/>
      <c r="F44" s="18"/>
      <c r="G44" s="18"/>
      <c r="H44" s="27"/>
      <c r="I44" s="3"/>
      <c r="J44" s="20"/>
      <c r="K44" s="21"/>
      <c r="L44" s="93"/>
      <c r="M44" s="17" t="s">
        <v>54</v>
      </c>
      <c r="N44" s="17" t="s">
        <v>55</v>
      </c>
      <c r="O44" s="22">
        <f t="shared" si="0"/>
        <v>0</v>
      </c>
      <c r="P44" s="22">
        <f t="shared" si="1"/>
        <v>0</v>
      </c>
      <c r="Q44" s="22">
        <f t="shared" si="2"/>
        <v>0</v>
      </c>
      <c r="R44" s="92"/>
      <c r="S44" s="92"/>
      <c r="T44" s="92"/>
      <c r="U44" s="23">
        <f t="shared" si="3"/>
        <v>0</v>
      </c>
      <c r="V44" s="21"/>
    </row>
    <row r="45" spans="1:22" ht="18" customHeight="1" x14ac:dyDescent="0.3">
      <c r="A45" s="15">
        <v>40</v>
      </c>
      <c r="B45" s="16"/>
      <c r="C45" s="3"/>
      <c r="D45" s="17"/>
      <c r="E45" s="3"/>
      <c r="F45" s="18"/>
      <c r="G45" s="18"/>
      <c r="H45" s="27"/>
      <c r="I45" s="3"/>
      <c r="J45" s="20"/>
      <c r="K45" s="21"/>
      <c r="L45" s="93"/>
      <c r="M45" s="17" t="s">
        <v>87</v>
      </c>
      <c r="N45" s="17"/>
      <c r="O45" s="22">
        <f t="shared" si="0"/>
        <v>0</v>
      </c>
      <c r="P45" s="22">
        <f t="shared" si="1"/>
        <v>0</v>
      </c>
      <c r="Q45" s="22">
        <f t="shared" si="2"/>
        <v>0</v>
      </c>
      <c r="R45" s="92"/>
      <c r="S45" s="92"/>
      <c r="T45" s="92"/>
      <c r="U45" s="23">
        <f t="shared" si="3"/>
        <v>0</v>
      </c>
      <c r="V45" s="21"/>
    </row>
    <row r="46" spans="1:22" ht="18" customHeight="1" x14ac:dyDescent="0.3">
      <c r="A46" s="15">
        <v>41</v>
      </c>
      <c r="B46" s="16"/>
      <c r="C46" s="3"/>
      <c r="D46" s="17"/>
      <c r="E46" s="3"/>
      <c r="F46" s="18"/>
      <c r="G46" s="27"/>
      <c r="H46" s="27"/>
      <c r="I46" s="3"/>
      <c r="J46" s="20"/>
      <c r="K46" s="21"/>
      <c r="L46" s="93"/>
      <c r="M46" s="17" t="s">
        <v>56</v>
      </c>
      <c r="N46" s="17"/>
      <c r="O46" s="22">
        <f t="shared" si="0"/>
        <v>0</v>
      </c>
      <c r="P46" s="22">
        <f t="shared" si="1"/>
        <v>0</v>
      </c>
      <c r="Q46" s="22">
        <f t="shared" si="2"/>
        <v>0</v>
      </c>
      <c r="R46" s="92"/>
      <c r="S46" s="92"/>
      <c r="T46" s="92"/>
      <c r="U46" s="23">
        <f t="shared" si="3"/>
        <v>0</v>
      </c>
      <c r="V46" s="21"/>
    </row>
    <row r="47" spans="1:22" ht="18" customHeight="1" x14ac:dyDescent="0.3">
      <c r="A47" s="15">
        <v>42</v>
      </c>
      <c r="B47" s="16"/>
      <c r="C47" s="3"/>
      <c r="D47" s="17"/>
      <c r="E47" s="17"/>
      <c r="F47" s="18"/>
      <c r="G47" s="27"/>
      <c r="H47" s="27"/>
      <c r="I47" s="3"/>
      <c r="J47" s="20"/>
      <c r="K47" s="21"/>
      <c r="L47" s="93" t="s">
        <v>57</v>
      </c>
      <c r="M47" s="17" t="s">
        <v>81</v>
      </c>
      <c r="N47" s="17"/>
      <c r="O47" s="22">
        <f t="shared" si="0"/>
        <v>0</v>
      </c>
      <c r="P47" s="22">
        <f t="shared" si="1"/>
        <v>0</v>
      </c>
      <c r="Q47" s="22">
        <f t="shared" si="2"/>
        <v>0</v>
      </c>
      <c r="R47" s="92"/>
      <c r="S47" s="92"/>
      <c r="T47" s="92"/>
      <c r="U47" s="23">
        <f t="shared" si="3"/>
        <v>0</v>
      </c>
      <c r="V47" s="21"/>
    </row>
    <row r="48" spans="1:22" ht="18" customHeight="1" x14ac:dyDescent="0.3">
      <c r="A48" s="15">
        <v>43</v>
      </c>
      <c r="B48" s="16"/>
      <c r="C48" s="3"/>
      <c r="D48" s="17"/>
      <c r="E48" s="3"/>
      <c r="F48" s="18"/>
      <c r="G48" s="27"/>
      <c r="H48" s="27"/>
      <c r="I48" s="3"/>
      <c r="J48" s="20"/>
      <c r="K48" s="21"/>
      <c r="L48" s="93"/>
      <c r="M48" s="17" t="s">
        <v>82</v>
      </c>
      <c r="N48" s="17"/>
      <c r="O48" s="22">
        <f t="shared" si="0"/>
        <v>0</v>
      </c>
      <c r="P48" s="22">
        <f t="shared" si="1"/>
        <v>0</v>
      </c>
      <c r="Q48" s="22">
        <f t="shared" si="2"/>
        <v>0</v>
      </c>
      <c r="R48" s="92"/>
      <c r="S48" s="92"/>
      <c r="T48" s="92"/>
      <c r="U48" s="23">
        <f t="shared" si="3"/>
        <v>0</v>
      </c>
      <c r="V48" s="21"/>
    </row>
    <row r="49" spans="1:22" ht="18" customHeight="1" x14ac:dyDescent="0.3">
      <c r="A49" s="15">
        <v>44</v>
      </c>
      <c r="B49" s="16"/>
      <c r="C49" s="3"/>
      <c r="D49" s="17"/>
      <c r="E49" s="3"/>
      <c r="F49" s="18"/>
      <c r="G49" s="27"/>
      <c r="H49" s="27"/>
      <c r="I49" s="3"/>
      <c r="J49" s="20"/>
      <c r="K49" s="21"/>
      <c r="L49" s="93"/>
      <c r="M49" s="17" t="s">
        <v>89</v>
      </c>
      <c r="N49" s="17"/>
      <c r="O49" s="22">
        <f t="shared" si="0"/>
        <v>0</v>
      </c>
      <c r="P49" s="22">
        <f t="shared" si="1"/>
        <v>0</v>
      </c>
      <c r="Q49" s="22">
        <f t="shared" si="2"/>
        <v>0</v>
      </c>
      <c r="R49" s="92"/>
      <c r="S49" s="92"/>
      <c r="T49" s="92"/>
      <c r="U49" s="23">
        <f t="shared" si="3"/>
        <v>0</v>
      </c>
      <c r="V49" s="21"/>
    </row>
    <row r="50" spans="1:22" ht="18" customHeight="1" x14ac:dyDescent="0.3">
      <c r="A50" s="15">
        <v>45</v>
      </c>
      <c r="B50" s="16"/>
      <c r="C50" s="3"/>
      <c r="D50" s="17"/>
      <c r="E50" s="3"/>
      <c r="F50" s="37"/>
      <c r="G50" s="18"/>
      <c r="H50" s="27"/>
      <c r="I50" s="3"/>
      <c r="J50" s="20"/>
      <c r="K50" s="21"/>
      <c r="L50" s="93"/>
      <c r="M50" s="17" t="s">
        <v>58</v>
      </c>
      <c r="N50" s="17" t="s">
        <v>59</v>
      </c>
      <c r="O50" s="22">
        <f t="shared" si="0"/>
        <v>0</v>
      </c>
      <c r="P50" s="22">
        <f t="shared" si="1"/>
        <v>0</v>
      </c>
      <c r="Q50" s="22">
        <f t="shared" si="2"/>
        <v>0</v>
      </c>
      <c r="R50" s="92"/>
      <c r="S50" s="92"/>
      <c r="T50" s="92"/>
      <c r="U50" s="23">
        <f t="shared" si="3"/>
        <v>0</v>
      </c>
      <c r="V50" s="21"/>
    </row>
    <row r="51" spans="1:22" ht="18" customHeight="1" x14ac:dyDescent="0.3">
      <c r="A51" s="15">
        <v>46</v>
      </c>
      <c r="B51" s="16"/>
      <c r="C51" s="3"/>
      <c r="D51" s="17"/>
      <c r="E51" s="3"/>
      <c r="F51" s="37"/>
      <c r="G51" s="18"/>
      <c r="H51" s="28"/>
      <c r="I51" s="3"/>
      <c r="J51" s="20"/>
      <c r="K51" s="21"/>
      <c r="L51" s="93" t="s">
        <v>60</v>
      </c>
      <c r="M51" s="17" t="s">
        <v>69</v>
      </c>
      <c r="N51" s="17"/>
      <c r="O51" s="22">
        <f t="shared" si="0"/>
        <v>0</v>
      </c>
      <c r="P51" s="22">
        <f t="shared" si="1"/>
        <v>0</v>
      </c>
      <c r="Q51" s="22">
        <f t="shared" si="2"/>
        <v>0</v>
      </c>
      <c r="R51" s="92"/>
      <c r="S51" s="92"/>
      <c r="T51" s="92"/>
      <c r="U51" s="23">
        <f t="shared" si="3"/>
        <v>0</v>
      </c>
      <c r="V51" s="21"/>
    </row>
    <row r="52" spans="1:22" ht="18" customHeight="1" x14ac:dyDescent="0.3">
      <c r="A52" s="15">
        <v>47</v>
      </c>
      <c r="B52" s="16"/>
      <c r="C52" s="3"/>
      <c r="D52" s="17"/>
      <c r="E52" s="17"/>
      <c r="F52" s="18"/>
      <c r="G52" s="18"/>
      <c r="H52" s="19"/>
      <c r="I52" s="3"/>
      <c r="J52" s="20"/>
      <c r="K52" s="21"/>
      <c r="L52" s="93"/>
      <c r="M52" s="17" t="s">
        <v>61</v>
      </c>
      <c r="N52" s="17"/>
      <c r="O52" s="22">
        <f t="shared" si="0"/>
        <v>0</v>
      </c>
      <c r="P52" s="22">
        <f t="shared" si="1"/>
        <v>0</v>
      </c>
      <c r="Q52" s="22">
        <f t="shared" si="2"/>
        <v>0</v>
      </c>
      <c r="R52" s="92"/>
      <c r="S52" s="92"/>
      <c r="T52" s="92"/>
      <c r="U52" s="23">
        <f t="shared" si="3"/>
        <v>0</v>
      </c>
      <c r="V52" s="21"/>
    </row>
    <row r="53" spans="1:22" ht="18" customHeight="1" x14ac:dyDescent="0.3">
      <c r="A53" s="15">
        <v>48</v>
      </c>
      <c r="B53" s="16"/>
      <c r="C53" s="3"/>
      <c r="D53" s="17"/>
      <c r="E53" s="17"/>
      <c r="F53" s="18"/>
      <c r="G53" s="18"/>
      <c r="H53" s="19"/>
      <c r="I53" s="3"/>
      <c r="J53" s="20"/>
      <c r="K53" s="21"/>
      <c r="L53" s="93"/>
      <c r="M53" s="17" t="s">
        <v>62</v>
      </c>
      <c r="N53" s="17"/>
      <c r="O53" s="22">
        <f t="shared" si="0"/>
        <v>0</v>
      </c>
      <c r="P53" s="22">
        <f t="shared" si="1"/>
        <v>0</v>
      </c>
      <c r="Q53" s="22">
        <f t="shared" si="2"/>
        <v>0</v>
      </c>
      <c r="R53" s="92"/>
      <c r="S53" s="92"/>
      <c r="T53" s="92"/>
      <c r="U53" s="23">
        <f t="shared" si="3"/>
        <v>0</v>
      </c>
      <c r="V53" s="21"/>
    </row>
    <row r="54" spans="1:22" ht="18" customHeight="1" x14ac:dyDescent="0.3">
      <c r="A54" s="15">
        <v>49</v>
      </c>
      <c r="B54" s="16"/>
      <c r="C54" s="3"/>
      <c r="D54" s="17"/>
      <c r="E54" s="3"/>
      <c r="F54" s="18"/>
      <c r="G54" s="18"/>
      <c r="H54" s="19"/>
      <c r="I54" s="3"/>
      <c r="J54" s="20"/>
      <c r="K54" s="21"/>
      <c r="L54" s="93"/>
      <c r="M54" s="17" t="s">
        <v>63</v>
      </c>
      <c r="N54" s="17"/>
      <c r="O54" s="22">
        <f t="shared" si="0"/>
        <v>0</v>
      </c>
      <c r="P54" s="22">
        <f t="shared" si="1"/>
        <v>0</v>
      </c>
      <c r="Q54" s="22">
        <f t="shared" si="2"/>
        <v>0</v>
      </c>
      <c r="R54" s="92"/>
      <c r="S54" s="92"/>
      <c r="T54" s="92"/>
      <c r="U54" s="23">
        <f t="shared" si="3"/>
        <v>0</v>
      </c>
      <c r="V54" s="21"/>
    </row>
    <row r="55" spans="1:22" ht="18" customHeight="1" x14ac:dyDescent="0.3">
      <c r="A55" s="15">
        <v>50</v>
      </c>
      <c r="B55" s="16"/>
      <c r="C55" s="3"/>
      <c r="D55" s="17"/>
      <c r="E55" s="3"/>
      <c r="F55" s="18"/>
      <c r="G55" s="18"/>
      <c r="H55" s="19"/>
      <c r="I55" s="3"/>
      <c r="J55" s="20"/>
      <c r="K55" s="21"/>
      <c r="L55" s="93"/>
      <c r="M55" s="17" t="s">
        <v>68</v>
      </c>
      <c r="N55" s="17"/>
      <c r="O55" s="22">
        <f t="shared" si="0"/>
        <v>0</v>
      </c>
      <c r="P55" s="22">
        <f t="shared" si="1"/>
        <v>0</v>
      </c>
      <c r="Q55" s="22">
        <f t="shared" si="2"/>
        <v>0</v>
      </c>
      <c r="R55" s="92"/>
      <c r="S55" s="92"/>
      <c r="T55" s="92"/>
      <c r="U55" s="23">
        <f t="shared" si="3"/>
        <v>0</v>
      </c>
      <c r="V55" s="21"/>
    </row>
    <row r="56" spans="1:22" ht="18" customHeight="1" x14ac:dyDescent="0.3">
      <c r="A56" s="15">
        <v>51</v>
      </c>
      <c r="B56" s="16"/>
      <c r="C56" s="3"/>
      <c r="D56" s="17"/>
      <c r="E56" s="3"/>
      <c r="F56" s="18"/>
      <c r="G56" s="18"/>
      <c r="H56" s="28"/>
      <c r="I56" s="3"/>
      <c r="J56" s="20"/>
      <c r="K56" s="21"/>
      <c r="L56" s="93"/>
      <c r="M56" s="17" t="s">
        <v>64</v>
      </c>
      <c r="N56" s="17" t="s">
        <v>65</v>
      </c>
      <c r="O56" s="22">
        <f t="shared" si="0"/>
        <v>0</v>
      </c>
      <c r="P56" s="22">
        <f t="shared" si="1"/>
        <v>0</v>
      </c>
      <c r="Q56" s="22">
        <f t="shared" si="2"/>
        <v>0</v>
      </c>
      <c r="R56" s="92"/>
      <c r="S56" s="92"/>
      <c r="T56" s="92"/>
      <c r="U56" s="23">
        <f t="shared" si="3"/>
        <v>0</v>
      </c>
      <c r="V56" s="21"/>
    </row>
    <row r="57" spans="1:22" ht="18" customHeight="1" x14ac:dyDescent="0.3">
      <c r="A57" s="15">
        <v>52</v>
      </c>
      <c r="B57" s="16"/>
      <c r="C57" s="3"/>
      <c r="D57" s="17"/>
      <c r="E57" s="3"/>
      <c r="F57" s="18"/>
      <c r="G57" s="18"/>
      <c r="H57" s="28"/>
      <c r="I57" s="3"/>
      <c r="J57" s="20"/>
      <c r="K57" s="21"/>
      <c r="L57" s="93"/>
      <c r="M57" s="17" t="s">
        <v>84</v>
      </c>
      <c r="N57" s="17"/>
      <c r="O57" s="22">
        <f t="shared" si="0"/>
        <v>0</v>
      </c>
      <c r="P57" s="22">
        <f t="shared" si="1"/>
        <v>0</v>
      </c>
      <c r="Q57" s="22">
        <f t="shared" si="2"/>
        <v>0</v>
      </c>
      <c r="R57" s="92"/>
      <c r="S57" s="92"/>
      <c r="T57" s="92"/>
      <c r="U57" s="23">
        <f t="shared" si="3"/>
        <v>0</v>
      </c>
      <c r="V57" s="21"/>
    </row>
    <row r="58" spans="1:22" ht="18" customHeight="1" x14ac:dyDescent="0.3">
      <c r="A58" s="15">
        <v>53</v>
      </c>
      <c r="B58" s="16"/>
      <c r="C58" s="3"/>
      <c r="D58" s="17"/>
      <c r="E58" s="3"/>
      <c r="F58" s="18"/>
      <c r="G58" s="18"/>
      <c r="H58" s="28"/>
      <c r="I58" s="3"/>
      <c r="J58" s="20"/>
      <c r="K58" s="21"/>
      <c r="L58" s="93"/>
      <c r="M58" s="17" t="s">
        <v>71</v>
      </c>
      <c r="N58" s="17"/>
      <c r="O58" s="22">
        <f t="shared" si="0"/>
        <v>0</v>
      </c>
      <c r="P58" s="22">
        <f t="shared" si="1"/>
        <v>0</v>
      </c>
      <c r="Q58" s="22">
        <f t="shared" si="2"/>
        <v>0</v>
      </c>
      <c r="R58" s="92"/>
      <c r="S58" s="92"/>
      <c r="T58" s="92"/>
      <c r="U58" s="23">
        <f t="shared" si="3"/>
        <v>0</v>
      </c>
      <c r="V58" s="21"/>
    </row>
    <row r="59" spans="1:22" ht="18" customHeight="1" x14ac:dyDescent="0.3">
      <c r="A59" s="15">
        <v>54</v>
      </c>
      <c r="B59" s="16"/>
      <c r="C59" s="3"/>
      <c r="D59" s="17"/>
      <c r="E59" s="3"/>
      <c r="F59" s="18"/>
      <c r="G59" s="18"/>
      <c r="H59" s="28"/>
      <c r="I59" s="3"/>
      <c r="J59" s="20"/>
      <c r="K59" s="21"/>
      <c r="L59" s="93" t="s">
        <v>66</v>
      </c>
      <c r="M59" s="94"/>
      <c r="N59" s="94"/>
      <c r="O59" s="97">
        <f>SUM(O6:O58)</f>
        <v>0</v>
      </c>
      <c r="P59" s="97">
        <f>SUM(P6:P58)</f>
        <v>0</v>
      </c>
      <c r="Q59" s="97">
        <f>SUM(Q6:Q58)</f>
        <v>0</v>
      </c>
      <c r="R59" s="92" t="s">
        <v>67</v>
      </c>
      <c r="S59" s="100">
        <f>SUM(O59:Q60)</f>
        <v>0</v>
      </c>
      <c r="T59" s="100"/>
      <c r="U59" s="101"/>
      <c r="V59" s="21"/>
    </row>
    <row r="60" spans="1:22" ht="18" customHeight="1" thickBot="1" x14ac:dyDescent="0.35">
      <c r="A60" s="15">
        <v>55</v>
      </c>
      <c r="B60" s="16"/>
      <c r="C60" s="3"/>
      <c r="D60" s="17"/>
      <c r="E60" s="3"/>
      <c r="F60" s="18"/>
      <c r="G60" s="18"/>
      <c r="H60" s="28"/>
      <c r="I60" s="3"/>
      <c r="J60" s="20"/>
      <c r="K60" s="21"/>
      <c r="L60" s="95"/>
      <c r="M60" s="96"/>
      <c r="N60" s="96"/>
      <c r="O60" s="98"/>
      <c r="P60" s="98"/>
      <c r="Q60" s="98"/>
      <c r="R60" s="99"/>
      <c r="S60" s="102"/>
      <c r="T60" s="102"/>
      <c r="U60" s="103"/>
      <c r="V60" s="21"/>
    </row>
    <row r="61" spans="1:22" ht="18" customHeight="1" x14ac:dyDescent="0.3">
      <c r="A61" s="15">
        <v>56</v>
      </c>
      <c r="B61" s="16"/>
      <c r="C61" s="3"/>
      <c r="D61" s="17"/>
      <c r="E61" s="3"/>
      <c r="F61" s="18"/>
      <c r="G61" s="18"/>
      <c r="H61" s="28"/>
      <c r="I61" s="3"/>
      <c r="J61" s="20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9"/>
      <c r="V61" s="21"/>
    </row>
    <row r="62" spans="1:22" ht="18" customHeight="1" x14ac:dyDescent="0.3">
      <c r="A62" s="15">
        <v>57</v>
      </c>
      <c r="B62" s="16"/>
      <c r="C62" s="3"/>
      <c r="D62" s="17"/>
      <c r="E62" s="3"/>
      <c r="F62" s="18"/>
      <c r="G62" s="18"/>
      <c r="H62" s="28"/>
      <c r="I62" s="3"/>
      <c r="J62" s="20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9"/>
      <c r="V62" s="21"/>
    </row>
    <row r="63" spans="1:22" ht="18" customHeight="1" x14ac:dyDescent="0.3">
      <c r="A63" s="15">
        <v>58</v>
      </c>
      <c r="B63" s="16"/>
      <c r="C63" s="3"/>
      <c r="D63" s="17"/>
      <c r="E63" s="17"/>
      <c r="F63" s="18"/>
      <c r="G63" s="18"/>
      <c r="H63" s="19"/>
      <c r="I63" s="3"/>
      <c r="J63" s="20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9"/>
      <c r="V63" s="21"/>
    </row>
    <row r="64" spans="1:22" ht="18" customHeight="1" x14ac:dyDescent="0.3">
      <c r="A64" s="15">
        <v>59</v>
      </c>
      <c r="B64" s="16"/>
      <c r="C64" s="3"/>
      <c r="D64" s="17"/>
      <c r="E64" s="17"/>
      <c r="F64" s="18"/>
      <c r="G64" s="18"/>
      <c r="H64" s="19"/>
      <c r="I64" s="3"/>
      <c r="J64" s="20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9"/>
      <c r="V64" s="21"/>
    </row>
    <row r="65" spans="1:22" ht="18" customHeight="1" x14ac:dyDescent="0.3">
      <c r="A65" s="15">
        <v>60</v>
      </c>
      <c r="B65" s="16"/>
      <c r="C65" s="3"/>
      <c r="D65" s="17"/>
      <c r="E65" s="3"/>
      <c r="F65" s="18"/>
      <c r="G65" s="18"/>
      <c r="H65" s="19"/>
      <c r="I65" s="3"/>
      <c r="J65" s="20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9"/>
      <c r="V65" s="21"/>
    </row>
    <row r="66" spans="1:22" ht="18" customHeight="1" x14ac:dyDescent="0.3">
      <c r="A66" s="15">
        <v>61</v>
      </c>
      <c r="B66" s="16"/>
      <c r="C66" s="3"/>
      <c r="D66" s="17"/>
      <c r="E66" s="3"/>
      <c r="F66" s="18"/>
      <c r="G66" s="18"/>
      <c r="H66" s="28"/>
      <c r="I66" s="3"/>
      <c r="J66" s="20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9"/>
      <c r="V66" s="21"/>
    </row>
    <row r="67" spans="1:22" ht="18" customHeight="1" x14ac:dyDescent="0.3">
      <c r="A67" s="15">
        <v>62</v>
      </c>
      <c r="B67" s="16"/>
      <c r="C67" s="3"/>
      <c r="D67" s="17"/>
      <c r="E67" s="3"/>
      <c r="F67" s="18"/>
      <c r="G67" s="18"/>
      <c r="H67" s="28"/>
      <c r="I67" s="3"/>
      <c r="J67" s="20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9"/>
      <c r="V67" s="21"/>
    </row>
    <row r="68" spans="1:22" ht="18" customHeight="1" x14ac:dyDescent="0.3">
      <c r="A68" s="15">
        <v>63</v>
      </c>
      <c r="B68" s="16"/>
      <c r="C68" s="3"/>
      <c r="D68" s="17"/>
      <c r="E68" s="3"/>
      <c r="F68" s="18"/>
      <c r="G68" s="18"/>
      <c r="H68" s="28"/>
      <c r="I68" s="3"/>
      <c r="J68" s="20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9"/>
      <c r="V68" s="21"/>
    </row>
    <row r="69" spans="1:22" ht="18" customHeight="1" x14ac:dyDescent="0.3">
      <c r="A69" s="15">
        <v>64</v>
      </c>
      <c r="B69" s="16"/>
      <c r="C69" s="3"/>
      <c r="D69" s="17"/>
      <c r="E69" s="3"/>
      <c r="F69" s="18"/>
      <c r="G69" s="18"/>
      <c r="H69" s="28"/>
      <c r="I69" s="3"/>
      <c r="J69" s="20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9"/>
      <c r="V69" s="21"/>
    </row>
    <row r="70" spans="1:22" ht="18" customHeight="1" thickBot="1" x14ac:dyDescent="0.35">
      <c r="A70" s="15">
        <v>65</v>
      </c>
      <c r="B70" s="16"/>
      <c r="C70" s="3"/>
      <c r="D70" s="17"/>
      <c r="E70" s="3"/>
      <c r="F70" s="18"/>
      <c r="G70" s="18"/>
      <c r="H70" s="28"/>
      <c r="I70" s="3"/>
      <c r="J70" s="20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9"/>
      <c r="V70" s="21"/>
    </row>
    <row r="71" spans="1:22" ht="18" customHeight="1" thickBot="1" x14ac:dyDescent="0.35">
      <c r="A71" s="15">
        <v>66</v>
      </c>
      <c r="B71" s="16"/>
      <c r="C71" s="3"/>
      <c r="D71" s="17"/>
      <c r="E71" s="3"/>
      <c r="F71" s="18"/>
      <c r="G71" s="18"/>
      <c r="H71" s="28"/>
      <c r="I71" s="3"/>
      <c r="J71" s="20"/>
      <c r="K71" s="21"/>
      <c r="L71" s="21"/>
      <c r="M71" s="38"/>
      <c r="N71" s="21"/>
      <c r="O71" s="21"/>
      <c r="P71" s="21"/>
      <c r="Q71" s="21"/>
      <c r="R71" s="21"/>
      <c r="S71" s="21"/>
      <c r="T71" s="21"/>
      <c r="U71" s="29"/>
      <c r="V71" s="21"/>
    </row>
    <row r="72" spans="1:22" ht="18" customHeight="1" x14ac:dyDescent="0.3">
      <c r="A72" s="15">
        <v>67</v>
      </c>
      <c r="B72" s="16"/>
      <c r="C72" s="3"/>
      <c r="D72" s="17"/>
      <c r="E72" s="3"/>
      <c r="F72" s="18"/>
      <c r="G72" s="18"/>
      <c r="H72" s="28"/>
      <c r="I72" s="3"/>
      <c r="J72" s="20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9"/>
      <c r="V72" s="21"/>
    </row>
    <row r="73" spans="1:22" ht="18" customHeight="1" x14ac:dyDescent="0.3">
      <c r="A73" s="15">
        <v>68</v>
      </c>
      <c r="B73" s="16"/>
      <c r="C73" s="3"/>
      <c r="D73" s="17"/>
      <c r="E73" s="3"/>
      <c r="F73" s="18"/>
      <c r="G73" s="18"/>
      <c r="H73" s="28"/>
      <c r="I73" s="3"/>
      <c r="J73" s="20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9"/>
      <c r="V73" s="21"/>
    </row>
    <row r="74" spans="1:22" ht="18" customHeight="1" x14ac:dyDescent="0.3">
      <c r="A74" s="15">
        <v>69</v>
      </c>
      <c r="B74" s="16"/>
      <c r="C74" s="3"/>
      <c r="D74" s="17"/>
      <c r="E74" s="17"/>
      <c r="F74" s="18"/>
      <c r="G74" s="18"/>
      <c r="H74" s="28"/>
      <c r="I74" s="3"/>
      <c r="J74" s="20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9"/>
      <c r="V74" s="21"/>
    </row>
    <row r="75" spans="1:22" ht="18" customHeight="1" x14ac:dyDescent="0.3">
      <c r="A75" s="15">
        <v>70</v>
      </c>
      <c r="B75" s="16"/>
      <c r="C75" s="3"/>
      <c r="D75" s="17"/>
      <c r="E75" s="3"/>
      <c r="F75" s="18"/>
      <c r="G75" s="18"/>
      <c r="H75" s="28"/>
      <c r="I75" s="3"/>
      <c r="J75" s="20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9"/>
      <c r="V75" s="21"/>
    </row>
    <row r="76" spans="1:22" ht="18" customHeight="1" x14ac:dyDescent="0.3">
      <c r="A76" s="15">
        <v>71</v>
      </c>
      <c r="B76" s="16"/>
      <c r="C76" s="3"/>
      <c r="D76" s="17"/>
      <c r="E76" s="3"/>
      <c r="F76" s="18"/>
      <c r="G76" s="18"/>
      <c r="H76" s="28"/>
      <c r="I76" s="3"/>
      <c r="J76" s="20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9"/>
      <c r="V76" s="21"/>
    </row>
    <row r="77" spans="1:22" ht="18" customHeight="1" x14ac:dyDescent="0.3">
      <c r="A77" s="15">
        <v>72</v>
      </c>
      <c r="B77" s="16"/>
      <c r="C77" s="3"/>
      <c r="D77" s="17"/>
      <c r="E77" s="3"/>
      <c r="F77" s="18"/>
      <c r="G77" s="18"/>
      <c r="H77" s="28"/>
      <c r="I77" s="3"/>
      <c r="J77" s="20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9"/>
      <c r="V77" s="21"/>
    </row>
    <row r="78" spans="1:22" ht="18" customHeight="1" x14ac:dyDescent="0.3">
      <c r="A78" s="15">
        <v>73</v>
      </c>
      <c r="B78" s="16"/>
      <c r="C78" s="3"/>
      <c r="D78" s="17"/>
      <c r="E78" s="3"/>
      <c r="F78" s="18"/>
      <c r="G78" s="18"/>
      <c r="H78" s="28"/>
      <c r="I78" s="3"/>
      <c r="J78" s="20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9"/>
      <c r="V78" s="21"/>
    </row>
    <row r="79" spans="1:22" ht="18" customHeight="1" x14ac:dyDescent="0.3">
      <c r="A79" s="15">
        <v>74</v>
      </c>
      <c r="B79" s="16"/>
      <c r="C79" s="3"/>
      <c r="D79" s="17"/>
      <c r="E79" s="3"/>
      <c r="F79" s="18"/>
      <c r="G79" s="18"/>
      <c r="H79" s="28"/>
      <c r="I79" s="3"/>
      <c r="J79" s="20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9"/>
      <c r="V79" s="21"/>
    </row>
    <row r="80" spans="1:22" ht="18" customHeight="1" x14ac:dyDescent="0.3">
      <c r="A80" s="15">
        <v>75</v>
      </c>
      <c r="B80" s="16"/>
      <c r="C80" s="3"/>
      <c r="D80" s="17"/>
      <c r="E80" s="17"/>
      <c r="F80" s="18"/>
      <c r="G80" s="18"/>
      <c r="H80" s="28"/>
      <c r="I80" s="3"/>
      <c r="J80" s="20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9"/>
      <c r="V80" s="21"/>
    </row>
    <row r="81" spans="1:22" ht="18" customHeight="1" x14ac:dyDescent="0.3">
      <c r="A81" s="15">
        <v>76</v>
      </c>
      <c r="B81" s="16"/>
      <c r="C81" s="3"/>
      <c r="D81" s="17"/>
      <c r="E81" s="17"/>
      <c r="F81" s="18"/>
      <c r="G81" s="18"/>
      <c r="H81" s="28"/>
      <c r="I81" s="3"/>
      <c r="J81" s="20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9"/>
      <c r="V81" s="21"/>
    </row>
    <row r="82" spans="1:22" ht="18" customHeight="1" x14ac:dyDescent="0.3">
      <c r="A82" s="15">
        <v>77</v>
      </c>
      <c r="B82" s="16"/>
      <c r="C82" s="3"/>
      <c r="D82" s="17"/>
      <c r="E82" s="3"/>
      <c r="F82" s="18"/>
      <c r="G82" s="18"/>
      <c r="H82" s="28"/>
      <c r="I82" s="3"/>
      <c r="J82" s="20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9"/>
      <c r="V82" s="21"/>
    </row>
    <row r="83" spans="1:22" ht="18" customHeight="1" x14ac:dyDescent="0.3">
      <c r="A83" s="15">
        <v>78</v>
      </c>
      <c r="B83" s="16"/>
      <c r="C83" s="3"/>
      <c r="D83" s="17"/>
      <c r="E83" s="3"/>
      <c r="F83" s="18"/>
      <c r="G83" s="18"/>
      <c r="H83" s="28"/>
      <c r="I83" s="3"/>
      <c r="J83" s="20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9"/>
      <c r="V83" s="21"/>
    </row>
    <row r="84" spans="1:22" ht="18" customHeight="1" x14ac:dyDescent="0.3">
      <c r="A84" s="15">
        <v>79</v>
      </c>
      <c r="B84" s="16"/>
      <c r="C84" s="3"/>
      <c r="D84" s="17"/>
      <c r="E84" s="3"/>
      <c r="F84" s="18"/>
      <c r="G84" s="18"/>
      <c r="H84" s="28"/>
      <c r="I84" s="3"/>
      <c r="J84" s="20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9"/>
      <c r="V84" s="21"/>
    </row>
    <row r="85" spans="1:22" ht="18" customHeight="1" x14ac:dyDescent="0.3">
      <c r="A85" s="15">
        <v>80</v>
      </c>
      <c r="B85" s="16"/>
      <c r="C85" s="3"/>
      <c r="D85" s="17"/>
      <c r="E85" s="3"/>
      <c r="F85" s="18"/>
      <c r="G85" s="18"/>
      <c r="H85" s="28"/>
      <c r="I85" s="3"/>
      <c r="J85" s="20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9"/>
      <c r="V85" s="21"/>
    </row>
    <row r="86" spans="1:22" ht="18" customHeight="1" x14ac:dyDescent="0.3">
      <c r="A86" s="15">
        <v>81</v>
      </c>
      <c r="B86" s="16"/>
      <c r="C86" s="3"/>
      <c r="D86" s="17"/>
      <c r="E86" s="3"/>
      <c r="F86" s="18"/>
      <c r="G86" s="18"/>
      <c r="H86" s="28"/>
      <c r="I86" s="3"/>
      <c r="J86" s="20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9"/>
      <c r="V86" s="21"/>
    </row>
    <row r="87" spans="1:22" ht="18" customHeight="1" x14ac:dyDescent="0.3">
      <c r="A87" s="15">
        <v>82</v>
      </c>
      <c r="B87" s="16"/>
      <c r="C87" s="3"/>
      <c r="D87" s="17"/>
      <c r="E87" s="3"/>
      <c r="F87" s="18"/>
      <c r="G87" s="18"/>
      <c r="H87" s="28"/>
      <c r="I87" s="3"/>
      <c r="J87" s="20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9"/>
      <c r="V87" s="21"/>
    </row>
    <row r="88" spans="1:22" ht="18" customHeight="1" x14ac:dyDescent="0.3">
      <c r="A88" s="15">
        <v>83</v>
      </c>
      <c r="B88" s="16"/>
      <c r="C88" s="3"/>
      <c r="D88" s="17"/>
      <c r="E88" s="3"/>
      <c r="F88" s="18"/>
      <c r="G88" s="18"/>
      <c r="H88" s="28"/>
      <c r="I88" s="3"/>
      <c r="J88" s="20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9"/>
      <c r="V88" s="21"/>
    </row>
    <row r="89" spans="1:22" ht="18" customHeight="1" x14ac:dyDescent="0.3">
      <c r="A89" s="15">
        <v>84</v>
      </c>
      <c r="B89" s="16"/>
      <c r="C89" s="3"/>
      <c r="D89" s="17"/>
      <c r="E89" s="3"/>
      <c r="F89" s="18"/>
      <c r="G89" s="18"/>
      <c r="H89" s="28"/>
      <c r="I89" s="3"/>
      <c r="J89" s="20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9"/>
      <c r="V89" s="21"/>
    </row>
    <row r="90" spans="1:22" ht="18" customHeight="1" x14ac:dyDescent="0.3">
      <c r="A90" s="15">
        <v>85</v>
      </c>
      <c r="B90" s="16"/>
      <c r="C90" s="3"/>
      <c r="D90" s="17"/>
      <c r="E90" s="3"/>
      <c r="F90" s="18"/>
      <c r="G90" s="18"/>
      <c r="H90" s="28"/>
      <c r="I90" s="3"/>
      <c r="J90" s="20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9"/>
      <c r="V90" s="21"/>
    </row>
    <row r="91" spans="1:22" ht="18" customHeight="1" x14ac:dyDescent="0.3">
      <c r="A91" s="15">
        <v>86</v>
      </c>
      <c r="B91" s="16"/>
      <c r="C91" s="3"/>
      <c r="D91" s="17"/>
      <c r="E91" s="3"/>
      <c r="F91" s="18"/>
      <c r="G91" s="18"/>
      <c r="H91" s="28"/>
      <c r="I91" s="3"/>
      <c r="J91" s="20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9"/>
      <c r="V91" s="21"/>
    </row>
    <row r="92" spans="1:22" ht="18" customHeight="1" x14ac:dyDescent="0.3">
      <c r="A92" s="15">
        <v>87</v>
      </c>
      <c r="B92" s="16"/>
      <c r="C92" s="3"/>
      <c r="D92" s="17"/>
      <c r="E92" s="3"/>
      <c r="F92" s="18"/>
      <c r="G92" s="18"/>
      <c r="H92" s="28"/>
      <c r="I92" s="3"/>
      <c r="J92" s="20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9"/>
      <c r="V92" s="21"/>
    </row>
    <row r="93" spans="1:22" ht="18" customHeight="1" x14ac:dyDescent="0.3">
      <c r="A93" s="15">
        <v>88</v>
      </c>
      <c r="B93" s="16"/>
      <c r="C93" s="3"/>
      <c r="D93" s="17"/>
      <c r="E93" s="3"/>
      <c r="F93" s="18"/>
      <c r="G93" s="18"/>
      <c r="H93" s="28"/>
      <c r="I93" s="3"/>
      <c r="J93" s="20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9"/>
      <c r="V93" s="21"/>
    </row>
    <row r="94" spans="1:22" ht="18" customHeight="1" x14ac:dyDescent="0.3">
      <c r="A94" s="15">
        <v>89</v>
      </c>
      <c r="B94" s="16"/>
      <c r="C94" s="3"/>
      <c r="D94" s="17"/>
      <c r="E94" s="3"/>
      <c r="F94" s="18"/>
      <c r="G94" s="18"/>
      <c r="H94" s="28"/>
      <c r="I94" s="3"/>
      <c r="J94" s="20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9"/>
      <c r="V94" s="21"/>
    </row>
    <row r="95" spans="1:22" ht="18" customHeight="1" x14ac:dyDescent="0.3">
      <c r="A95" s="15">
        <v>90</v>
      </c>
      <c r="B95" s="16"/>
      <c r="C95" s="3"/>
      <c r="D95" s="17"/>
      <c r="E95" s="3"/>
      <c r="F95" s="18"/>
      <c r="G95" s="18"/>
      <c r="H95" s="28"/>
      <c r="I95" s="3"/>
      <c r="J95" s="20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9"/>
      <c r="V95" s="21"/>
    </row>
    <row r="96" spans="1:22" ht="18" customHeight="1" x14ac:dyDescent="0.3">
      <c r="A96" s="15">
        <v>91</v>
      </c>
      <c r="B96" s="16"/>
      <c r="C96" s="3"/>
      <c r="D96" s="17"/>
      <c r="E96" s="3"/>
      <c r="F96" s="18"/>
      <c r="G96" s="18"/>
      <c r="H96" s="28"/>
      <c r="I96" s="3"/>
      <c r="J96" s="20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9"/>
      <c r="V96" s="21"/>
    </row>
    <row r="97" spans="1:22" ht="18" customHeight="1" x14ac:dyDescent="0.3">
      <c r="A97" s="15">
        <v>92</v>
      </c>
      <c r="B97" s="16"/>
      <c r="C97" s="3"/>
      <c r="D97" s="17"/>
      <c r="E97" s="3"/>
      <c r="F97" s="18"/>
      <c r="G97" s="18"/>
      <c r="H97" s="28"/>
      <c r="I97" s="3"/>
      <c r="J97" s="20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9"/>
      <c r="V97" s="21"/>
    </row>
    <row r="98" spans="1:22" ht="18" customHeight="1" x14ac:dyDescent="0.3">
      <c r="A98" s="15">
        <v>93</v>
      </c>
      <c r="B98" s="16"/>
      <c r="C98" s="3"/>
      <c r="D98" s="17"/>
      <c r="E98" s="3"/>
      <c r="F98" s="18"/>
      <c r="G98" s="18"/>
      <c r="H98" s="28"/>
      <c r="I98" s="3"/>
      <c r="J98" s="20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9"/>
      <c r="V98" s="21"/>
    </row>
    <row r="99" spans="1:22" ht="18" customHeight="1" x14ac:dyDescent="0.3">
      <c r="A99" s="15">
        <v>94</v>
      </c>
      <c r="B99" s="16"/>
      <c r="C99" s="3"/>
      <c r="D99" s="17"/>
      <c r="E99" s="3"/>
      <c r="F99" s="18"/>
      <c r="G99" s="18"/>
      <c r="H99" s="28"/>
      <c r="I99" s="3"/>
      <c r="J99" s="20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9"/>
      <c r="V99" s="21"/>
    </row>
    <row r="100" spans="1:22" ht="18" customHeight="1" x14ac:dyDescent="0.3">
      <c r="A100" s="15">
        <v>95</v>
      </c>
      <c r="B100" s="16"/>
      <c r="C100" s="3"/>
      <c r="D100" s="17"/>
      <c r="E100" s="3"/>
      <c r="F100" s="18"/>
      <c r="G100" s="18"/>
      <c r="H100" s="28"/>
      <c r="I100" s="3"/>
      <c r="J100" s="20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9"/>
      <c r="V100" s="21"/>
    </row>
    <row r="101" spans="1:22" ht="18" customHeight="1" x14ac:dyDescent="0.3">
      <c r="A101" s="15">
        <v>96</v>
      </c>
      <c r="B101" s="16"/>
      <c r="C101" s="3"/>
      <c r="D101" s="17"/>
      <c r="E101" s="3"/>
      <c r="F101" s="18"/>
      <c r="G101" s="18"/>
      <c r="H101" s="28"/>
      <c r="I101" s="3"/>
      <c r="J101" s="20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9"/>
      <c r="V101" s="21"/>
    </row>
    <row r="102" spans="1:22" ht="18" customHeight="1" x14ac:dyDescent="0.3">
      <c r="A102" s="15">
        <v>97</v>
      </c>
      <c r="B102" s="16"/>
      <c r="C102" s="3"/>
      <c r="D102" s="17"/>
      <c r="E102" s="3"/>
      <c r="F102" s="18"/>
      <c r="G102" s="18"/>
      <c r="H102" s="28"/>
      <c r="I102" s="3"/>
      <c r="J102" s="20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9"/>
      <c r="V102" s="21"/>
    </row>
    <row r="103" spans="1:22" ht="18" customHeight="1" x14ac:dyDescent="0.3">
      <c r="A103" s="15">
        <v>98</v>
      </c>
      <c r="B103" s="16"/>
      <c r="C103" s="3"/>
      <c r="D103" s="17"/>
      <c r="E103" s="3"/>
      <c r="F103" s="18"/>
      <c r="G103" s="18"/>
      <c r="H103" s="28"/>
      <c r="I103" s="3"/>
      <c r="J103" s="20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9"/>
      <c r="V103" s="21"/>
    </row>
    <row r="104" spans="1:22" ht="18" customHeight="1" x14ac:dyDescent="0.3">
      <c r="A104" s="15">
        <v>99</v>
      </c>
      <c r="B104" s="16"/>
      <c r="C104" s="3"/>
      <c r="D104" s="17"/>
      <c r="E104" s="3"/>
      <c r="F104" s="18"/>
      <c r="G104" s="18"/>
      <c r="H104" s="28"/>
      <c r="I104" s="3"/>
      <c r="J104" s="20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9"/>
      <c r="V104" s="21"/>
    </row>
    <row r="105" spans="1:22" ht="18" customHeight="1" x14ac:dyDescent="0.3">
      <c r="A105" s="15">
        <v>100</v>
      </c>
      <c r="B105" s="16"/>
      <c r="C105" s="3"/>
      <c r="D105" s="17"/>
      <c r="E105" s="3"/>
      <c r="F105" s="18"/>
      <c r="G105" s="18"/>
      <c r="H105" s="28"/>
      <c r="I105" s="3"/>
      <c r="J105" s="20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9"/>
      <c r="V105" s="21"/>
    </row>
    <row r="106" spans="1:22" ht="18" customHeight="1" x14ac:dyDescent="0.3">
      <c r="A106" s="15">
        <v>101</v>
      </c>
      <c r="B106" s="16"/>
      <c r="C106" s="3"/>
      <c r="D106" s="17"/>
      <c r="E106" s="3"/>
      <c r="F106" s="18"/>
      <c r="G106" s="18"/>
      <c r="H106" s="28"/>
      <c r="I106" s="3"/>
      <c r="J106" s="20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9"/>
      <c r="V106" s="21"/>
    </row>
    <row r="107" spans="1:22" ht="18" customHeight="1" x14ac:dyDescent="0.3">
      <c r="A107" s="15">
        <v>102</v>
      </c>
      <c r="B107" s="16"/>
      <c r="C107" s="30"/>
      <c r="D107" s="17"/>
      <c r="E107" s="3"/>
      <c r="F107" s="18"/>
      <c r="G107" s="18"/>
      <c r="H107" s="28"/>
      <c r="I107" s="3"/>
      <c r="J107" s="20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9"/>
      <c r="V107" s="21"/>
    </row>
    <row r="108" spans="1:22" ht="18" customHeight="1" x14ac:dyDescent="0.3">
      <c r="A108" s="15">
        <v>103</v>
      </c>
      <c r="B108" s="16"/>
      <c r="C108" s="30"/>
      <c r="D108" s="17"/>
      <c r="E108" s="3"/>
      <c r="F108" s="18"/>
      <c r="G108" s="18"/>
      <c r="H108" s="28"/>
      <c r="I108" s="3"/>
      <c r="J108" s="20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9"/>
      <c r="V108" s="21"/>
    </row>
    <row r="109" spans="1:22" ht="18" customHeight="1" x14ac:dyDescent="0.3">
      <c r="A109" s="15">
        <v>104</v>
      </c>
      <c r="B109" s="16"/>
      <c r="C109" s="30"/>
      <c r="D109" s="17"/>
      <c r="E109" s="3"/>
      <c r="F109" s="18"/>
      <c r="G109" s="18"/>
      <c r="H109" s="28"/>
      <c r="I109" s="3"/>
      <c r="J109" s="20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9"/>
      <c r="V109" s="21"/>
    </row>
    <row r="110" spans="1:22" ht="18" customHeight="1" x14ac:dyDescent="0.3">
      <c r="A110" s="15">
        <v>105</v>
      </c>
      <c r="B110" s="16"/>
      <c r="C110" s="30"/>
      <c r="D110" s="17"/>
      <c r="E110" s="3"/>
      <c r="F110" s="18"/>
      <c r="G110" s="18"/>
      <c r="H110" s="28"/>
      <c r="I110" s="3"/>
      <c r="J110" s="20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9"/>
      <c r="V110" s="21"/>
    </row>
    <row r="111" spans="1:22" ht="18" customHeight="1" x14ac:dyDescent="0.3">
      <c r="A111" s="15">
        <v>106</v>
      </c>
      <c r="B111" s="16"/>
      <c r="C111" s="3"/>
      <c r="D111" s="17"/>
      <c r="E111" s="3"/>
      <c r="F111" s="18"/>
      <c r="G111" s="18"/>
      <c r="H111" s="28"/>
      <c r="I111" s="3"/>
      <c r="J111" s="20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9"/>
      <c r="V111" s="21"/>
    </row>
    <row r="112" spans="1:22" ht="18" customHeight="1" x14ac:dyDescent="0.3">
      <c r="A112" s="15">
        <v>107</v>
      </c>
      <c r="B112" s="16"/>
      <c r="C112" s="3"/>
      <c r="D112" s="17"/>
      <c r="E112" s="3"/>
      <c r="F112" s="18"/>
      <c r="G112" s="18"/>
      <c r="H112" s="28"/>
      <c r="I112" s="3"/>
      <c r="J112" s="20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9"/>
      <c r="V112" s="21"/>
    </row>
    <row r="113" spans="1:22" ht="18" customHeight="1" thickBot="1" x14ac:dyDescent="0.35">
      <c r="A113" s="15">
        <v>108</v>
      </c>
      <c r="B113" s="31"/>
      <c r="C113" s="4"/>
      <c r="D113" s="32"/>
      <c r="E113" s="4"/>
      <c r="F113" s="33"/>
      <c r="G113" s="33"/>
      <c r="H113" s="34"/>
      <c r="I113" s="4"/>
      <c r="J113" s="35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9"/>
      <c r="V113" s="21"/>
    </row>
    <row r="114" spans="1:22" ht="14.25" x14ac:dyDescent="0.3">
      <c r="A114" s="21"/>
      <c r="B114" s="21"/>
      <c r="C114" s="21"/>
      <c r="D114" s="21"/>
      <c r="E114" s="21"/>
      <c r="F114" s="29"/>
      <c r="G114" s="29"/>
      <c r="H114" s="29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9"/>
    </row>
    <row r="115" spans="1:22" ht="14.25" x14ac:dyDescent="0.3">
      <c r="A115" s="21"/>
      <c r="B115" s="21"/>
      <c r="C115" s="21"/>
      <c r="D115" s="21"/>
      <c r="E115" s="21"/>
      <c r="F115" s="29"/>
      <c r="G115" s="29"/>
      <c r="H115" s="29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9"/>
    </row>
  </sheetData>
  <mergeCells count="75">
    <mergeCell ref="A1:G4"/>
    <mergeCell ref="L1:U3"/>
    <mergeCell ref="H2:J2"/>
    <mergeCell ref="L4:M4"/>
    <mergeCell ref="N4:N5"/>
    <mergeCell ref="O4:T4"/>
    <mergeCell ref="U4:U5"/>
    <mergeCell ref="R5:T5"/>
    <mergeCell ref="L6:L11"/>
    <mergeCell ref="R6:T6"/>
    <mergeCell ref="R7:T7"/>
    <mergeCell ref="R8:T8"/>
    <mergeCell ref="R9:T9"/>
    <mergeCell ref="R10:T10"/>
    <mergeCell ref="R11:T11"/>
    <mergeCell ref="L12:L17"/>
    <mergeCell ref="R12:T12"/>
    <mergeCell ref="R13:T13"/>
    <mergeCell ref="R14:T14"/>
    <mergeCell ref="R15:T15"/>
    <mergeCell ref="R16:T16"/>
    <mergeCell ref="R17:T17"/>
    <mergeCell ref="R32:T32"/>
    <mergeCell ref="R18:T18"/>
    <mergeCell ref="R19:T19"/>
    <mergeCell ref="R20:T20"/>
    <mergeCell ref="L21:L34"/>
    <mergeCell ref="R21:T21"/>
    <mergeCell ref="R22:T22"/>
    <mergeCell ref="R23:T23"/>
    <mergeCell ref="R24:T24"/>
    <mergeCell ref="R25:T25"/>
    <mergeCell ref="R26:T26"/>
    <mergeCell ref="R27:T27"/>
    <mergeCell ref="R28:T28"/>
    <mergeCell ref="R29:T29"/>
    <mergeCell ref="R30:T30"/>
    <mergeCell ref="R31:T31"/>
    <mergeCell ref="R33:T33"/>
    <mergeCell ref="R34:T34"/>
    <mergeCell ref="L35:L40"/>
    <mergeCell ref="R35:T35"/>
    <mergeCell ref="R36:T36"/>
    <mergeCell ref="R37:T37"/>
    <mergeCell ref="R38:T38"/>
    <mergeCell ref="R39:T39"/>
    <mergeCell ref="R40:T40"/>
    <mergeCell ref="R44:T44"/>
    <mergeCell ref="L47:L50"/>
    <mergeCell ref="R47:T47"/>
    <mergeCell ref="R48:T48"/>
    <mergeCell ref="R49:T49"/>
    <mergeCell ref="R50:T50"/>
    <mergeCell ref="L45:L46"/>
    <mergeCell ref="R45:T45"/>
    <mergeCell ref="R46:T46"/>
    <mergeCell ref="L41:L44"/>
    <mergeCell ref="R41:T41"/>
    <mergeCell ref="R42:T42"/>
    <mergeCell ref="R43:T43"/>
    <mergeCell ref="R55:T55"/>
    <mergeCell ref="R56:T56"/>
    <mergeCell ref="R57:T57"/>
    <mergeCell ref="R58:T58"/>
    <mergeCell ref="L59:N60"/>
    <mergeCell ref="O59:O60"/>
    <mergeCell ref="P59:P60"/>
    <mergeCell ref="Q59:Q60"/>
    <mergeCell ref="R59:R60"/>
    <mergeCell ref="S59:U60"/>
    <mergeCell ref="L51:L58"/>
    <mergeCell ref="R51:T51"/>
    <mergeCell ref="R52:T52"/>
    <mergeCell ref="R53:T53"/>
    <mergeCell ref="R54:T54"/>
  </mergeCells>
  <phoneticPr fontId="3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A40A0-3761-47C4-9E28-BF6562C2A2B9}">
  <dimension ref="A1:V115"/>
  <sheetViews>
    <sheetView zoomScale="80" zoomScaleNormal="80" workbookViewId="0">
      <pane ySplit="5" topLeftCell="A6" activePane="bottomLeft" state="frozen"/>
      <selection activeCell="H29" sqref="H29"/>
      <selection pane="bottomLeft" activeCell="D23" sqref="D23"/>
    </sheetView>
  </sheetViews>
  <sheetFormatPr defaultColWidth="9" defaultRowHeight="13.5" x14ac:dyDescent="0.3"/>
  <cols>
    <col min="1" max="1" width="7.75" style="2" bestFit="1" customWidth="1"/>
    <col min="2" max="2" width="16.625" style="2" bestFit="1" customWidth="1"/>
    <col min="3" max="3" width="18" style="2" customWidth="1"/>
    <col min="4" max="4" width="23.75" style="2" bestFit="1" customWidth="1"/>
    <col min="5" max="5" width="22" style="2" bestFit="1" customWidth="1"/>
    <col min="6" max="8" width="18.5" style="36" customWidth="1"/>
    <col min="9" max="10" width="18.5" style="2" customWidth="1"/>
    <col min="11" max="11" width="9" style="2"/>
    <col min="12" max="12" width="17.125" style="2" bestFit="1" customWidth="1"/>
    <col min="13" max="13" width="23.375" style="2" bestFit="1" customWidth="1"/>
    <col min="14" max="14" width="28" style="2" bestFit="1" customWidth="1"/>
    <col min="15" max="17" width="18.25" style="2" customWidth="1"/>
    <col min="18" max="20" width="13.25" style="2" customWidth="1"/>
    <col min="21" max="21" width="19.125" style="36" customWidth="1"/>
    <col min="22" max="16384" width="9" style="2"/>
  </cols>
  <sheetData>
    <row r="1" spans="1:22" ht="13.5" customHeight="1" x14ac:dyDescent="0.3">
      <c r="A1" s="107" t="s">
        <v>0</v>
      </c>
      <c r="B1" s="107"/>
      <c r="C1" s="107"/>
      <c r="D1" s="107"/>
      <c r="E1" s="107"/>
      <c r="F1" s="107"/>
      <c r="G1" s="107"/>
      <c r="H1" s="39"/>
      <c r="I1" s="1"/>
      <c r="J1" s="1"/>
      <c r="L1" s="109" t="s">
        <v>96</v>
      </c>
      <c r="M1" s="109"/>
      <c r="N1" s="109"/>
      <c r="O1" s="109"/>
      <c r="P1" s="109"/>
      <c r="Q1" s="109"/>
      <c r="R1" s="109"/>
      <c r="S1" s="109"/>
      <c r="T1" s="109"/>
      <c r="U1" s="109"/>
    </row>
    <row r="2" spans="1:22" ht="31.5" customHeight="1" x14ac:dyDescent="0.3">
      <c r="A2" s="107"/>
      <c r="B2" s="107"/>
      <c r="C2" s="107"/>
      <c r="D2" s="107"/>
      <c r="E2" s="107"/>
      <c r="F2" s="107"/>
      <c r="G2" s="107"/>
      <c r="H2" s="110" t="s">
        <v>1</v>
      </c>
      <c r="I2" s="110"/>
      <c r="J2" s="110"/>
      <c r="L2" s="109"/>
      <c r="M2" s="109"/>
      <c r="N2" s="109"/>
      <c r="O2" s="109"/>
      <c r="P2" s="109"/>
      <c r="Q2" s="109"/>
      <c r="R2" s="109"/>
      <c r="S2" s="109"/>
      <c r="T2" s="109"/>
      <c r="U2" s="109"/>
    </row>
    <row r="3" spans="1:22" ht="31.5" customHeight="1" thickBot="1" x14ac:dyDescent="0.35">
      <c r="A3" s="107"/>
      <c r="B3" s="107"/>
      <c r="C3" s="107"/>
      <c r="D3" s="107"/>
      <c r="E3" s="107"/>
      <c r="F3" s="107"/>
      <c r="G3" s="107"/>
      <c r="H3" s="3" t="s">
        <v>99</v>
      </c>
      <c r="I3" s="3" t="s">
        <v>98</v>
      </c>
      <c r="J3" s="3" t="s">
        <v>2</v>
      </c>
      <c r="L3" s="109"/>
      <c r="M3" s="109"/>
      <c r="N3" s="109"/>
      <c r="O3" s="109"/>
      <c r="P3" s="109"/>
      <c r="Q3" s="109"/>
      <c r="R3" s="109"/>
      <c r="S3" s="109"/>
      <c r="T3" s="109"/>
      <c r="U3" s="109"/>
    </row>
    <row r="4" spans="1:22" ht="31.5" customHeight="1" thickBot="1" x14ac:dyDescent="0.35">
      <c r="A4" s="108"/>
      <c r="B4" s="108"/>
      <c r="C4" s="108"/>
      <c r="D4" s="108"/>
      <c r="E4" s="108"/>
      <c r="F4" s="108"/>
      <c r="G4" s="108"/>
      <c r="H4" s="43"/>
      <c r="I4" s="3"/>
      <c r="J4" s="3"/>
      <c r="L4" s="111" t="s">
        <v>3</v>
      </c>
      <c r="M4" s="112"/>
      <c r="N4" s="112" t="s">
        <v>4</v>
      </c>
      <c r="O4" s="112" t="s">
        <v>5</v>
      </c>
      <c r="P4" s="112"/>
      <c r="Q4" s="112"/>
      <c r="R4" s="112"/>
      <c r="S4" s="112"/>
      <c r="T4" s="112"/>
      <c r="U4" s="114" t="s">
        <v>6</v>
      </c>
    </row>
    <row r="5" spans="1:22" ht="18" customHeight="1" x14ac:dyDescent="0.3">
      <c r="A5" s="5" t="s">
        <v>7</v>
      </c>
      <c r="B5" s="6" t="s">
        <v>8</v>
      </c>
      <c r="C5" s="7" t="s">
        <v>9</v>
      </c>
      <c r="D5" s="7" t="s">
        <v>10</v>
      </c>
      <c r="E5" s="7" t="s">
        <v>11</v>
      </c>
      <c r="F5" s="8" t="s">
        <v>12</v>
      </c>
      <c r="G5" s="8" t="s">
        <v>13</v>
      </c>
      <c r="H5" s="9" t="s">
        <v>14</v>
      </c>
      <c r="I5" s="10" t="s">
        <v>15</v>
      </c>
      <c r="J5" s="11" t="s">
        <v>16</v>
      </c>
      <c r="L5" s="12" t="s">
        <v>17</v>
      </c>
      <c r="M5" s="13" t="s">
        <v>18</v>
      </c>
      <c r="N5" s="113"/>
      <c r="O5" s="14" t="s">
        <v>12</v>
      </c>
      <c r="P5" s="13" t="s">
        <v>13</v>
      </c>
      <c r="Q5" s="13" t="s">
        <v>14</v>
      </c>
      <c r="R5" s="113" t="s">
        <v>19</v>
      </c>
      <c r="S5" s="113"/>
      <c r="T5" s="113"/>
      <c r="U5" s="115"/>
    </row>
    <row r="6" spans="1:22" ht="18" customHeight="1" x14ac:dyDescent="0.3">
      <c r="A6" s="15">
        <v>1</v>
      </c>
      <c r="B6" s="16"/>
      <c r="C6" s="3"/>
      <c r="D6" s="17"/>
      <c r="E6" s="3"/>
      <c r="F6" s="18"/>
      <c r="G6" s="18"/>
      <c r="H6" s="19"/>
      <c r="I6" s="3"/>
      <c r="J6" s="20"/>
      <c r="K6" s="21"/>
      <c r="L6" s="93" t="s">
        <v>20</v>
      </c>
      <c r="M6" s="17" t="s">
        <v>21</v>
      </c>
      <c r="N6" s="17" t="s">
        <v>22</v>
      </c>
      <c r="O6" s="22">
        <f t="shared" ref="O6:O58" si="0">SUMIF($D$6:$D$130,$M6,$F$6:$F$130)</f>
        <v>0</v>
      </c>
      <c r="P6" s="22">
        <f t="shared" ref="P6:P58" si="1">SUMIF($D$6:$D$130,$M6,$G$6:$G$130)</f>
        <v>0</v>
      </c>
      <c r="Q6" s="22">
        <f t="shared" ref="Q6:Q58" si="2">SUMIF($D$6:$D$130,$M6,$H$6:$H$130)</f>
        <v>0</v>
      </c>
      <c r="R6" s="92"/>
      <c r="S6" s="92"/>
      <c r="T6" s="92"/>
      <c r="U6" s="23">
        <f t="shared" ref="U6:U58" si="3">SUM(O6:Q6)</f>
        <v>0</v>
      </c>
      <c r="V6" s="21"/>
    </row>
    <row r="7" spans="1:22" ht="18" customHeight="1" x14ac:dyDescent="0.3">
      <c r="A7" s="15">
        <v>2</v>
      </c>
      <c r="B7" s="16"/>
      <c r="C7" s="3"/>
      <c r="D7" s="17"/>
      <c r="E7" s="3"/>
      <c r="F7" s="18"/>
      <c r="G7" s="18"/>
      <c r="H7" s="19"/>
      <c r="I7" s="3"/>
      <c r="J7" s="20"/>
      <c r="K7" s="21"/>
      <c r="L7" s="93"/>
      <c r="M7" s="17" t="s">
        <v>70</v>
      </c>
      <c r="N7" s="17"/>
      <c r="O7" s="22">
        <f t="shared" si="0"/>
        <v>0</v>
      </c>
      <c r="P7" s="22">
        <f t="shared" si="1"/>
        <v>0</v>
      </c>
      <c r="Q7" s="22">
        <f t="shared" si="2"/>
        <v>0</v>
      </c>
      <c r="R7" s="92"/>
      <c r="S7" s="92"/>
      <c r="T7" s="92"/>
      <c r="U7" s="23">
        <f t="shared" si="3"/>
        <v>0</v>
      </c>
      <c r="V7" s="21"/>
    </row>
    <row r="8" spans="1:22" ht="18" customHeight="1" x14ac:dyDescent="0.3">
      <c r="A8" s="15">
        <v>3</v>
      </c>
      <c r="B8" s="16"/>
      <c r="C8" s="3"/>
      <c r="D8" s="17"/>
      <c r="E8" s="3"/>
      <c r="F8" s="18"/>
      <c r="G8" s="18"/>
      <c r="H8" s="19"/>
      <c r="I8" s="3"/>
      <c r="J8" s="20"/>
      <c r="K8" s="21"/>
      <c r="L8" s="93"/>
      <c r="M8" s="17" t="s">
        <v>91</v>
      </c>
      <c r="N8" s="17"/>
      <c r="O8" s="22">
        <f t="shared" si="0"/>
        <v>0</v>
      </c>
      <c r="P8" s="22">
        <f t="shared" si="1"/>
        <v>0</v>
      </c>
      <c r="Q8" s="22">
        <f t="shared" si="2"/>
        <v>0</v>
      </c>
      <c r="R8" s="92"/>
      <c r="S8" s="92"/>
      <c r="T8" s="92"/>
      <c r="U8" s="23">
        <f t="shared" si="3"/>
        <v>0</v>
      </c>
      <c r="V8" s="21"/>
    </row>
    <row r="9" spans="1:22" ht="18" customHeight="1" x14ac:dyDescent="0.3">
      <c r="A9" s="15">
        <v>4</v>
      </c>
      <c r="B9" s="16"/>
      <c r="C9" s="3"/>
      <c r="D9" s="17"/>
      <c r="E9" s="3"/>
      <c r="F9" s="18"/>
      <c r="G9" s="18"/>
      <c r="H9" s="19"/>
      <c r="I9" s="3"/>
      <c r="J9" s="20"/>
      <c r="K9" s="21"/>
      <c r="L9" s="93"/>
      <c r="M9" s="17" t="s">
        <v>23</v>
      </c>
      <c r="N9" s="17"/>
      <c r="O9" s="22">
        <f t="shared" si="0"/>
        <v>0</v>
      </c>
      <c r="P9" s="22">
        <f t="shared" si="1"/>
        <v>0</v>
      </c>
      <c r="Q9" s="22">
        <f t="shared" si="2"/>
        <v>0</v>
      </c>
      <c r="R9" s="92"/>
      <c r="S9" s="92"/>
      <c r="T9" s="92"/>
      <c r="U9" s="23">
        <f t="shared" si="3"/>
        <v>0</v>
      </c>
      <c r="V9" s="21"/>
    </row>
    <row r="10" spans="1:22" ht="18" customHeight="1" x14ac:dyDescent="0.3">
      <c r="A10" s="15">
        <v>5</v>
      </c>
      <c r="B10" s="16"/>
      <c r="C10" s="3"/>
      <c r="D10" s="17"/>
      <c r="E10" s="17"/>
      <c r="F10" s="18"/>
      <c r="G10" s="18"/>
      <c r="H10" s="19"/>
      <c r="I10" s="3"/>
      <c r="J10" s="20"/>
      <c r="K10" s="21"/>
      <c r="L10" s="93"/>
      <c r="M10" s="17" t="s">
        <v>24</v>
      </c>
      <c r="N10" s="17" t="s">
        <v>25</v>
      </c>
      <c r="O10" s="22">
        <f t="shared" si="0"/>
        <v>0</v>
      </c>
      <c r="P10" s="22">
        <f t="shared" si="1"/>
        <v>0</v>
      </c>
      <c r="Q10" s="22">
        <f t="shared" si="2"/>
        <v>0</v>
      </c>
      <c r="R10" s="92"/>
      <c r="S10" s="92"/>
      <c r="T10" s="92"/>
      <c r="U10" s="23">
        <f t="shared" si="3"/>
        <v>0</v>
      </c>
      <c r="V10" s="21"/>
    </row>
    <row r="11" spans="1:22" ht="18" customHeight="1" x14ac:dyDescent="0.3">
      <c r="A11" s="15">
        <v>6</v>
      </c>
      <c r="B11" s="16"/>
      <c r="C11" s="3"/>
      <c r="D11" s="17"/>
      <c r="E11" s="3"/>
      <c r="F11" s="18"/>
      <c r="G11" s="18"/>
      <c r="H11" s="19"/>
      <c r="I11" s="3"/>
      <c r="J11" s="20"/>
      <c r="K11" s="21"/>
      <c r="L11" s="93"/>
      <c r="M11" s="17" t="s">
        <v>26</v>
      </c>
      <c r="N11" s="17" t="s">
        <v>27</v>
      </c>
      <c r="O11" s="22">
        <f t="shared" si="0"/>
        <v>0</v>
      </c>
      <c r="P11" s="22">
        <f t="shared" si="1"/>
        <v>0</v>
      </c>
      <c r="Q11" s="22">
        <f t="shared" si="2"/>
        <v>0</v>
      </c>
      <c r="R11" s="92"/>
      <c r="S11" s="92"/>
      <c r="T11" s="92"/>
      <c r="U11" s="23">
        <f t="shared" si="3"/>
        <v>0</v>
      </c>
      <c r="V11" s="21"/>
    </row>
    <row r="12" spans="1:22" ht="18" customHeight="1" x14ac:dyDescent="0.3">
      <c r="A12" s="15">
        <v>7</v>
      </c>
      <c r="B12" s="16"/>
      <c r="C12" s="3"/>
      <c r="D12" s="17"/>
      <c r="E12" s="3"/>
      <c r="F12" s="18"/>
      <c r="G12" s="18"/>
      <c r="H12" s="19"/>
      <c r="I12" s="3"/>
      <c r="J12" s="20"/>
      <c r="K12" s="21"/>
      <c r="L12" s="93" t="s">
        <v>28</v>
      </c>
      <c r="M12" s="24" t="s">
        <v>90</v>
      </c>
      <c r="N12" s="17"/>
      <c r="O12" s="22">
        <f t="shared" si="0"/>
        <v>0</v>
      </c>
      <c r="P12" s="22">
        <f t="shared" si="1"/>
        <v>0</v>
      </c>
      <c r="Q12" s="22">
        <f t="shared" si="2"/>
        <v>0</v>
      </c>
      <c r="R12" s="104"/>
      <c r="S12" s="105"/>
      <c r="T12" s="106"/>
      <c r="U12" s="23">
        <f t="shared" si="3"/>
        <v>0</v>
      </c>
      <c r="V12" s="21"/>
    </row>
    <row r="13" spans="1:22" ht="18" customHeight="1" x14ac:dyDescent="0.3">
      <c r="A13" s="15">
        <v>8</v>
      </c>
      <c r="B13" s="16"/>
      <c r="C13" s="3"/>
      <c r="D13" s="17"/>
      <c r="E13" s="3"/>
      <c r="F13" s="18"/>
      <c r="G13" s="18"/>
      <c r="H13" s="19"/>
      <c r="I13" s="3"/>
      <c r="J13" s="20"/>
      <c r="K13" s="21"/>
      <c r="L13" s="93"/>
      <c r="M13" s="17" t="s">
        <v>29</v>
      </c>
      <c r="N13" s="17"/>
      <c r="O13" s="22">
        <f t="shared" si="0"/>
        <v>0</v>
      </c>
      <c r="P13" s="22">
        <f t="shared" si="1"/>
        <v>0</v>
      </c>
      <c r="Q13" s="22">
        <f t="shared" si="2"/>
        <v>0</v>
      </c>
      <c r="R13" s="104"/>
      <c r="S13" s="105"/>
      <c r="T13" s="106"/>
      <c r="U13" s="23">
        <f t="shared" si="3"/>
        <v>0</v>
      </c>
      <c r="V13" s="21"/>
    </row>
    <row r="14" spans="1:22" ht="18" customHeight="1" x14ac:dyDescent="0.3">
      <c r="A14" s="15">
        <v>9</v>
      </c>
      <c r="B14" s="16"/>
      <c r="C14" s="3"/>
      <c r="D14" s="17"/>
      <c r="E14" s="17"/>
      <c r="F14" s="18"/>
      <c r="G14" s="18"/>
      <c r="H14" s="19"/>
      <c r="I14" s="3"/>
      <c r="J14" s="20"/>
      <c r="K14" s="21"/>
      <c r="L14" s="93"/>
      <c r="M14" s="17" t="s">
        <v>95</v>
      </c>
      <c r="N14" s="17"/>
      <c r="O14" s="22">
        <f t="shared" si="0"/>
        <v>0</v>
      </c>
      <c r="P14" s="22">
        <f t="shared" si="1"/>
        <v>0</v>
      </c>
      <c r="Q14" s="22">
        <f t="shared" si="2"/>
        <v>0</v>
      </c>
      <c r="R14" s="104"/>
      <c r="S14" s="105"/>
      <c r="T14" s="106"/>
      <c r="U14" s="23">
        <f t="shared" si="3"/>
        <v>0</v>
      </c>
      <c r="V14" s="21"/>
    </row>
    <row r="15" spans="1:22" ht="18" customHeight="1" x14ac:dyDescent="0.3">
      <c r="A15" s="15">
        <v>10</v>
      </c>
      <c r="B15" s="16"/>
      <c r="C15" s="3"/>
      <c r="D15" s="17"/>
      <c r="E15" s="17"/>
      <c r="F15" s="18"/>
      <c r="G15" s="18"/>
      <c r="H15" s="19"/>
      <c r="I15" s="3"/>
      <c r="J15" s="20"/>
      <c r="K15" s="21"/>
      <c r="L15" s="93"/>
      <c r="M15" s="17" t="s">
        <v>92</v>
      </c>
      <c r="N15" s="17"/>
      <c r="O15" s="22">
        <f t="shared" si="0"/>
        <v>0</v>
      </c>
      <c r="P15" s="22">
        <f t="shared" si="1"/>
        <v>0</v>
      </c>
      <c r="Q15" s="22">
        <f t="shared" si="2"/>
        <v>0</v>
      </c>
      <c r="R15" s="104"/>
      <c r="S15" s="105"/>
      <c r="T15" s="106"/>
      <c r="U15" s="23">
        <f t="shared" si="3"/>
        <v>0</v>
      </c>
      <c r="V15" s="21"/>
    </row>
    <row r="16" spans="1:22" ht="18" customHeight="1" x14ac:dyDescent="0.3">
      <c r="A16" s="15">
        <v>11</v>
      </c>
      <c r="B16" s="16"/>
      <c r="C16" s="3"/>
      <c r="D16" s="17"/>
      <c r="E16" s="17"/>
      <c r="F16" s="18"/>
      <c r="G16" s="18"/>
      <c r="H16" s="19"/>
      <c r="I16" s="3"/>
      <c r="J16" s="20"/>
      <c r="K16" s="21"/>
      <c r="L16" s="93"/>
      <c r="M16" s="17" t="s">
        <v>83</v>
      </c>
      <c r="N16" s="17" t="s">
        <v>30</v>
      </c>
      <c r="O16" s="22">
        <f t="shared" si="0"/>
        <v>0</v>
      </c>
      <c r="P16" s="22">
        <f t="shared" si="1"/>
        <v>0</v>
      </c>
      <c r="Q16" s="22">
        <f t="shared" si="2"/>
        <v>0</v>
      </c>
      <c r="R16" s="92"/>
      <c r="S16" s="92"/>
      <c r="T16" s="92"/>
      <c r="U16" s="23">
        <f t="shared" si="3"/>
        <v>0</v>
      </c>
      <c r="V16" s="21"/>
    </row>
    <row r="17" spans="1:22" ht="18" customHeight="1" x14ac:dyDescent="0.3">
      <c r="A17" s="15">
        <v>12</v>
      </c>
      <c r="B17" s="16"/>
      <c r="C17" s="3"/>
      <c r="D17" s="17"/>
      <c r="E17" s="3"/>
      <c r="F17" s="18"/>
      <c r="G17" s="18"/>
      <c r="H17" s="19"/>
      <c r="I17" s="3"/>
      <c r="J17" s="20"/>
      <c r="K17" s="21"/>
      <c r="L17" s="93"/>
      <c r="M17" s="17" t="s">
        <v>93</v>
      </c>
      <c r="N17" s="17"/>
      <c r="O17" s="22">
        <f t="shared" si="0"/>
        <v>0</v>
      </c>
      <c r="P17" s="22">
        <f t="shared" si="1"/>
        <v>0</v>
      </c>
      <c r="Q17" s="22">
        <f t="shared" si="2"/>
        <v>0</v>
      </c>
      <c r="R17" s="92"/>
      <c r="S17" s="92"/>
      <c r="T17" s="92"/>
      <c r="U17" s="23">
        <f t="shared" si="3"/>
        <v>0</v>
      </c>
      <c r="V17" s="21"/>
    </row>
    <row r="18" spans="1:22" ht="18" customHeight="1" x14ac:dyDescent="0.3">
      <c r="A18" s="15">
        <v>13</v>
      </c>
      <c r="B18" s="16"/>
      <c r="C18" s="3"/>
      <c r="D18" s="17"/>
      <c r="E18" s="3"/>
      <c r="F18" s="18"/>
      <c r="G18" s="18"/>
      <c r="H18" s="19"/>
      <c r="I18" s="3"/>
      <c r="J18" s="20"/>
      <c r="K18" s="21"/>
      <c r="L18" s="25" t="s">
        <v>31</v>
      </c>
      <c r="M18" s="17" t="s">
        <v>88</v>
      </c>
      <c r="N18" s="17"/>
      <c r="O18" s="22">
        <f t="shared" si="0"/>
        <v>0</v>
      </c>
      <c r="P18" s="22">
        <f t="shared" si="1"/>
        <v>0</v>
      </c>
      <c r="Q18" s="22">
        <f t="shared" si="2"/>
        <v>0</v>
      </c>
      <c r="R18" s="92"/>
      <c r="S18" s="92"/>
      <c r="T18" s="92"/>
      <c r="U18" s="23">
        <f t="shared" si="3"/>
        <v>0</v>
      </c>
      <c r="V18" s="21"/>
    </row>
    <row r="19" spans="1:22" ht="18" customHeight="1" x14ac:dyDescent="0.3">
      <c r="A19" s="15">
        <v>14</v>
      </c>
      <c r="B19" s="16"/>
      <c r="C19" s="3"/>
      <c r="D19" s="17"/>
      <c r="E19" s="3"/>
      <c r="F19" s="37"/>
      <c r="G19" s="18"/>
      <c r="H19" s="19"/>
      <c r="I19" s="3"/>
      <c r="J19" s="20"/>
      <c r="K19" s="21"/>
      <c r="L19" s="25" t="s">
        <v>32</v>
      </c>
      <c r="M19" s="17" t="s">
        <v>33</v>
      </c>
      <c r="N19" s="17"/>
      <c r="O19" s="22">
        <f t="shared" si="0"/>
        <v>0</v>
      </c>
      <c r="P19" s="22">
        <f t="shared" si="1"/>
        <v>0</v>
      </c>
      <c r="Q19" s="22">
        <f t="shared" si="2"/>
        <v>0</v>
      </c>
      <c r="R19" s="92"/>
      <c r="S19" s="92"/>
      <c r="T19" s="92"/>
      <c r="U19" s="23">
        <f t="shared" si="3"/>
        <v>0</v>
      </c>
      <c r="V19" s="21"/>
    </row>
    <row r="20" spans="1:22" ht="18" customHeight="1" x14ac:dyDescent="0.3">
      <c r="A20" s="15">
        <v>15</v>
      </c>
      <c r="B20" s="16"/>
      <c r="C20" s="3"/>
      <c r="D20" s="17"/>
      <c r="E20" s="3"/>
      <c r="F20" s="18"/>
      <c r="G20" s="18"/>
      <c r="H20" s="19"/>
      <c r="I20" s="3"/>
      <c r="J20" s="20"/>
      <c r="K20" s="21"/>
      <c r="L20" s="25" t="s">
        <v>34</v>
      </c>
      <c r="M20" s="17" t="s">
        <v>72</v>
      </c>
      <c r="N20" s="17"/>
      <c r="O20" s="22">
        <f t="shared" si="0"/>
        <v>0</v>
      </c>
      <c r="P20" s="22">
        <f t="shared" si="1"/>
        <v>0</v>
      </c>
      <c r="Q20" s="22">
        <f t="shared" si="2"/>
        <v>0</v>
      </c>
      <c r="R20" s="104"/>
      <c r="S20" s="105"/>
      <c r="T20" s="106"/>
      <c r="U20" s="23">
        <f t="shared" si="3"/>
        <v>0</v>
      </c>
      <c r="V20" s="21"/>
    </row>
    <row r="21" spans="1:22" ht="18" customHeight="1" x14ac:dyDescent="0.3">
      <c r="A21" s="15">
        <v>16</v>
      </c>
      <c r="B21" s="16"/>
      <c r="C21" s="3"/>
      <c r="D21" s="17"/>
      <c r="E21" s="3"/>
      <c r="F21" s="18"/>
      <c r="G21" s="19"/>
      <c r="H21" s="19"/>
      <c r="I21" s="3"/>
      <c r="J21" s="20"/>
      <c r="K21" s="21"/>
      <c r="L21" s="93" t="s">
        <v>35</v>
      </c>
      <c r="M21" s="17" t="s">
        <v>36</v>
      </c>
      <c r="N21" s="17"/>
      <c r="O21" s="22">
        <f t="shared" si="0"/>
        <v>0</v>
      </c>
      <c r="P21" s="22">
        <f t="shared" si="1"/>
        <v>0</v>
      </c>
      <c r="Q21" s="22">
        <f t="shared" si="2"/>
        <v>0</v>
      </c>
      <c r="R21" s="92"/>
      <c r="S21" s="92"/>
      <c r="T21" s="92"/>
      <c r="U21" s="23">
        <f t="shared" si="3"/>
        <v>0</v>
      </c>
      <c r="V21" s="21"/>
    </row>
    <row r="22" spans="1:22" ht="18" customHeight="1" x14ac:dyDescent="0.3">
      <c r="A22" s="15">
        <v>17</v>
      </c>
      <c r="B22" s="16"/>
      <c r="C22" s="3"/>
      <c r="D22" s="17"/>
      <c r="E22" s="3"/>
      <c r="F22" s="18"/>
      <c r="G22" s="18"/>
      <c r="H22" s="19"/>
      <c r="I22" s="3"/>
      <c r="J22" s="20"/>
      <c r="K22" s="21"/>
      <c r="L22" s="93"/>
      <c r="M22" s="17" t="s">
        <v>37</v>
      </c>
      <c r="N22" s="17"/>
      <c r="O22" s="22">
        <f t="shared" si="0"/>
        <v>0</v>
      </c>
      <c r="P22" s="22">
        <f t="shared" si="1"/>
        <v>0</v>
      </c>
      <c r="Q22" s="22">
        <f t="shared" si="2"/>
        <v>0</v>
      </c>
      <c r="R22" s="92"/>
      <c r="S22" s="92"/>
      <c r="T22" s="92"/>
      <c r="U22" s="23">
        <f t="shared" si="3"/>
        <v>0</v>
      </c>
      <c r="V22" s="21"/>
    </row>
    <row r="23" spans="1:22" ht="18" customHeight="1" x14ac:dyDescent="0.3">
      <c r="A23" s="15">
        <v>18</v>
      </c>
      <c r="B23" s="16"/>
      <c r="C23" s="3"/>
      <c r="D23" s="17"/>
      <c r="E23" s="3"/>
      <c r="F23" s="18"/>
      <c r="G23" s="19"/>
      <c r="H23" s="19"/>
      <c r="I23" s="3"/>
      <c r="J23" s="20"/>
      <c r="K23" s="21"/>
      <c r="L23" s="93"/>
      <c r="M23" s="17" t="s">
        <v>75</v>
      </c>
      <c r="N23" s="17"/>
      <c r="O23" s="22">
        <f t="shared" si="0"/>
        <v>0</v>
      </c>
      <c r="P23" s="22">
        <f t="shared" si="1"/>
        <v>0</v>
      </c>
      <c r="Q23" s="22">
        <f t="shared" si="2"/>
        <v>0</v>
      </c>
      <c r="R23" s="92"/>
      <c r="S23" s="92"/>
      <c r="T23" s="92"/>
      <c r="U23" s="23">
        <f t="shared" si="3"/>
        <v>0</v>
      </c>
      <c r="V23" s="21"/>
    </row>
    <row r="24" spans="1:22" ht="18" customHeight="1" x14ac:dyDescent="0.3">
      <c r="A24" s="15">
        <v>19</v>
      </c>
      <c r="B24" s="16"/>
      <c r="C24" s="3"/>
      <c r="D24" s="17"/>
      <c r="E24" s="3"/>
      <c r="F24" s="18"/>
      <c r="G24" s="19"/>
      <c r="H24" s="19"/>
      <c r="I24" s="3"/>
      <c r="J24" s="20"/>
      <c r="K24" s="21"/>
      <c r="L24" s="93"/>
      <c r="M24" s="17" t="s">
        <v>39</v>
      </c>
      <c r="N24" s="17"/>
      <c r="O24" s="22">
        <f t="shared" si="0"/>
        <v>0</v>
      </c>
      <c r="P24" s="22">
        <f t="shared" si="1"/>
        <v>0</v>
      </c>
      <c r="Q24" s="22">
        <f t="shared" si="2"/>
        <v>0</v>
      </c>
      <c r="R24" s="92"/>
      <c r="S24" s="92"/>
      <c r="T24" s="92"/>
      <c r="U24" s="23">
        <f t="shared" si="3"/>
        <v>0</v>
      </c>
      <c r="V24" s="21"/>
    </row>
    <row r="25" spans="1:22" ht="18" customHeight="1" x14ac:dyDescent="0.3">
      <c r="A25" s="15">
        <v>20</v>
      </c>
      <c r="B25" s="16"/>
      <c r="C25" s="3"/>
      <c r="D25" s="17"/>
      <c r="E25" s="3"/>
      <c r="F25" s="18"/>
      <c r="G25" s="19"/>
      <c r="H25" s="19"/>
      <c r="I25" s="3"/>
      <c r="J25" s="20"/>
      <c r="K25" s="21"/>
      <c r="L25" s="93"/>
      <c r="M25" s="17" t="s">
        <v>40</v>
      </c>
      <c r="N25" s="17"/>
      <c r="O25" s="22">
        <f t="shared" si="0"/>
        <v>0</v>
      </c>
      <c r="P25" s="22">
        <f t="shared" si="1"/>
        <v>0</v>
      </c>
      <c r="Q25" s="22">
        <f t="shared" si="2"/>
        <v>0</v>
      </c>
      <c r="R25" s="92"/>
      <c r="S25" s="92"/>
      <c r="T25" s="92"/>
      <c r="U25" s="23">
        <f t="shared" si="3"/>
        <v>0</v>
      </c>
      <c r="V25" s="21"/>
    </row>
    <row r="26" spans="1:22" ht="18" customHeight="1" x14ac:dyDescent="0.3">
      <c r="A26" s="15">
        <v>21</v>
      </c>
      <c r="B26" s="16"/>
      <c r="C26" s="3"/>
      <c r="D26" s="17"/>
      <c r="E26" s="17"/>
      <c r="F26" s="18"/>
      <c r="G26" s="19"/>
      <c r="H26" s="19"/>
      <c r="I26" s="3"/>
      <c r="J26" s="20"/>
      <c r="K26" s="21"/>
      <c r="L26" s="93"/>
      <c r="M26" s="17" t="s">
        <v>41</v>
      </c>
      <c r="N26" s="17"/>
      <c r="O26" s="22">
        <f t="shared" si="0"/>
        <v>0</v>
      </c>
      <c r="P26" s="22">
        <f t="shared" si="1"/>
        <v>0</v>
      </c>
      <c r="Q26" s="22">
        <f t="shared" si="2"/>
        <v>0</v>
      </c>
      <c r="R26" s="92"/>
      <c r="S26" s="92"/>
      <c r="T26" s="92"/>
      <c r="U26" s="23">
        <f t="shared" si="3"/>
        <v>0</v>
      </c>
      <c r="V26" s="21"/>
    </row>
    <row r="27" spans="1:22" ht="18" customHeight="1" x14ac:dyDescent="0.3">
      <c r="A27" s="15">
        <v>22</v>
      </c>
      <c r="B27" s="16"/>
      <c r="C27" s="3"/>
      <c r="D27" s="17"/>
      <c r="E27" s="3"/>
      <c r="F27" s="18"/>
      <c r="G27" s="19"/>
      <c r="H27" s="19"/>
      <c r="I27" s="3"/>
      <c r="J27" s="20"/>
      <c r="K27" s="21"/>
      <c r="L27" s="93"/>
      <c r="M27" s="17" t="s">
        <v>77</v>
      </c>
      <c r="N27" s="17"/>
      <c r="O27" s="22">
        <f t="shared" si="0"/>
        <v>0</v>
      </c>
      <c r="P27" s="22">
        <f t="shared" si="1"/>
        <v>0</v>
      </c>
      <c r="Q27" s="22">
        <f t="shared" si="2"/>
        <v>0</v>
      </c>
      <c r="R27" s="92"/>
      <c r="S27" s="92"/>
      <c r="T27" s="92"/>
      <c r="U27" s="23">
        <f t="shared" si="3"/>
        <v>0</v>
      </c>
      <c r="V27" s="21"/>
    </row>
    <row r="28" spans="1:22" ht="18" customHeight="1" x14ac:dyDescent="0.3">
      <c r="A28" s="15">
        <v>23</v>
      </c>
      <c r="B28" s="16"/>
      <c r="C28" s="3"/>
      <c r="D28" s="17"/>
      <c r="E28" s="17"/>
      <c r="F28" s="18"/>
      <c r="G28" s="19"/>
      <c r="H28" s="19"/>
      <c r="I28" s="3"/>
      <c r="J28" s="20"/>
      <c r="K28" s="21"/>
      <c r="L28" s="93"/>
      <c r="M28" s="17" t="s">
        <v>78</v>
      </c>
      <c r="N28" s="17"/>
      <c r="O28" s="22">
        <f t="shared" si="0"/>
        <v>0</v>
      </c>
      <c r="P28" s="22">
        <f t="shared" si="1"/>
        <v>0</v>
      </c>
      <c r="Q28" s="22">
        <f t="shared" si="2"/>
        <v>0</v>
      </c>
      <c r="R28" s="92"/>
      <c r="S28" s="92"/>
      <c r="T28" s="92"/>
      <c r="U28" s="23">
        <f t="shared" si="3"/>
        <v>0</v>
      </c>
      <c r="V28" s="21"/>
    </row>
    <row r="29" spans="1:22" ht="18" customHeight="1" x14ac:dyDescent="0.3">
      <c r="A29" s="15">
        <v>24</v>
      </c>
      <c r="B29" s="16"/>
      <c r="C29" s="3"/>
      <c r="D29" s="17"/>
      <c r="E29" s="3"/>
      <c r="F29" s="19"/>
      <c r="G29" s="18"/>
      <c r="H29" s="19"/>
      <c r="I29" s="3"/>
      <c r="J29" s="20"/>
      <c r="K29" s="21"/>
      <c r="L29" s="93"/>
      <c r="M29" s="17" t="s">
        <v>86</v>
      </c>
      <c r="N29" s="17"/>
      <c r="O29" s="22">
        <f t="shared" si="0"/>
        <v>0</v>
      </c>
      <c r="P29" s="22">
        <f t="shared" si="1"/>
        <v>0</v>
      </c>
      <c r="Q29" s="22">
        <f t="shared" si="2"/>
        <v>0</v>
      </c>
      <c r="R29" s="92"/>
      <c r="S29" s="92"/>
      <c r="T29" s="92"/>
      <c r="U29" s="23">
        <f t="shared" si="3"/>
        <v>0</v>
      </c>
      <c r="V29" s="21"/>
    </row>
    <row r="30" spans="1:22" ht="18" customHeight="1" x14ac:dyDescent="0.3">
      <c r="A30" s="15">
        <v>25</v>
      </c>
      <c r="B30" s="16"/>
      <c r="C30" s="3"/>
      <c r="D30" s="17"/>
      <c r="E30" s="17"/>
      <c r="F30" s="19"/>
      <c r="G30" s="18"/>
      <c r="H30" s="19"/>
      <c r="I30" s="3"/>
      <c r="J30" s="20"/>
      <c r="K30" s="21"/>
      <c r="L30" s="93"/>
      <c r="M30" s="17" t="s">
        <v>94</v>
      </c>
      <c r="N30" s="17" t="s">
        <v>42</v>
      </c>
      <c r="O30" s="22">
        <f t="shared" si="0"/>
        <v>0</v>
      </c>
      <c r="P30" s="22">
        <f t="shared" si="1"/>
        <v>0</v>
      </c>
      <c r="Q30" s="22">
        <f t="shared" si="2"/>
        <v>0</v>
      </c>
      <c r="R30" s="92"/>
      <c r="S30" s="92"/>
      <c r="T30" s="92"/>
      <c r="U30" s="23">
        <f t="shared" si="3"/>
        <v>0</v>
      </c>
      <c r="V30" s="21"/>
    </row>
    <row r="31" spans="1:22" ht="18" customHeight="1" x14ac:dyDescent="0.3">
      <c r="A31" s="15">
        <v>26</v>
      </c>
      <c r="B31" s="16"/>
      <c r="C31" s="3"/>
      <c r="D31" s="17"/>
      <c r="E31" s="17"/>
      <c r="F31" s="19"/>
      <c r="G31" s="18"/>
      <c r="H31" s="19"/>
      <c r="I31" s="3"/>
      <c r="J31" s="20"/>
      <c r="K31" s="21"/>
      <c r="L31" s="93"/>
      <c r="M31" s="17" t="s">
        <v>43</v>
      </c>
      <c r="N31" s="17" t="s">
        <v>44</v>
      </c>
      <c r="O31" s="22">
        <f t="shared" si="0"/>
        <v>0</v>
      </c>
      <c r="P31" s="22">
        <f t="shared" si="1"/>
        <v>0</v>
      </c>
      <c r="Q31" s="22">
        <f t="shared" si="2"/>
        <v>0</v>
      </c>
      <c r="R31" s="92"/>
      <c r="S31" s="92"/>
      <c r="T31" s="92"/>
      <c r="U31" s="23">
        <f t="shared" si="3"/>
        <v>0</v>
      </c>
      <c r="V31" s="21"/>
    </row>
    <row r="32" spans="1:22" ht="18" customHeight="1" x14ac:dyDescent="0.3">
      <c r="A32" s="15">
        <v>27</v>
      </c>
      <c r="B32" s="16"/>
      <c r="C32" s="3"/>
      <c r="D32" s="17"/>
      <c r="E32" s="3"/>
      <c r="F32" s="18"/>
      <c r="G32" s="19"/>
      <c r="H32" s="19"/>
      <c r="I32" s="3"/>
      <c r="J32" s="20"/>
      <c r="K32" s="21"/>
      <c r="L32" s="93"/>
      <c r="M32" s="17" t="s">
        <v>45</v>
      </c>
      <c r="N32" s="17" t="s">
        <v>46</v>
      </c>
      <c r="O32" s="22">
        <f>SUMIF($D$6:$D$130,$M32,$F$6:$F$130)</f>
        <v>0</v>
      </c>
      <c r="P32" s="22">
        <f t="shared" si="1"/>
        <v>0</v>
      </c>
      <c r="Q32" s="22">
        <f t="shared" si="2"/>
        <v>0</v>
      </c>
      <c r="R32" s="92"/>
      <c r="S32" s="92"/>
      <c r="T32" s="92"/>
      <c r="U32" s="23">
        <f t="shared" si="3"/>
        <v>0</v>
      </c>
      <c r="V32" s="21"/>
    </row>
    <row r="33" spans="1:22" ht="18" customHeight="1" x14ac:dyDescent="0.3">
      <c r="A33" s="15">
        <v>28</v>
      </c>
      <c r="B33" s="16"/>
      <c r="C33" s="3"/>
      <c r="D33" s="24"/>
      <c r="E33" s="3"/>
      <c r="F33" s="18"/>
      <c r="G33" s="19"/>
      <c r="H33" s="19"/>
      <c r="I33" s="3"/>
      <c r="J33" s="20"/>
      <c r="K33" s="21"/>
      <c r="L33" s="93"/>
      <c r="M33" s="17" t="s">
        <v>47</v>
      </c>
      <c r="N33" s="17"/>
      <c r="O33" s="22">
        <f t="shared" si="0"/>
        <v>0</v>
      </c>
      <c r="P33" s="22">
        <f t="shared" si="1"/>
        <v>0</v>
      </c>
      <c r="Q33" s="22">
        <f t="shared" si="2"/>
        <v>0</v>
      </c>
      <c r="R33" s="92"/>
      <c r="S33" s="92"/>
      <c r="T33" s="92"/>
      <c r="U33" s="23">
        <f t="shared" si="3"/>
        <v>0</v>
      </c>
      <c r="V33" s="21"/>
    </row>
    <row r="34" spans="1:22" ht="18" customHeight="1" x14ac:dyDescent="0.3">
      <c r="A34" s="15">
        <v>29</v>
      </c>
      <c r="B34" s="16"/>
      <c r="C34" s="3"/>
      <c r="D34" s="17"/>
      <c r="E34" s="3"/>
      <c r="F34" s="18"/>
      <c r="G34" s="18"/>
      <c r="H34" s="19"/>
      <c r="I34" s="3"/>
      <c r="J34" s="20"/>
      <c r="K34" s="21"/>
      <c r="L34" s="93"/>
      <c r="M34" s="17" t="s">
        <v>48</v>
      </c>
      <c r="N34" s="17"/>
      <c r="O34" s="22">
        <f t="shared" si="0"/>
        <v>0</v>
      </c>
      <c r="P34" s="22">
        <f t="shared" si="1"/>
        <v>0</v>
      </c>
      <c r="Q34" s="22">
        <f t="shared" si="2"/>
        <v>0</v>
      </c>
      <c r="R34" s="92"/>
      <c r="S34" s="92"/>
      <c r="T34" s="92"/>
      <c r="U34" s="23">
        <f t="shared" si="3"/>
        <v>0</v>
      </c>
      <c r="V34" s="21"/>
    </row>
    <row r="35" spans="1:22" ht="18" customHeight="1" x14ac:dyDescent="0.3">
      <c r="A35" s="15">
        <v>30</v>
      </c>
      <c r="B35" s="16"/>
      <c r="C35" s="3"/>
      <c r="D35" s="17"/>
      <c r="E35" s="3"/>
      <c r="F35" s="18"/>
      <c r="G35" s="18"/>
      <c r="H35" s="19"/>
      <c r="I35" s="3"/>
      <c r="J35" s="20"/>
      <c r="K35" s="21"/>
      <c r="L35" s="93" t="s">
        <v>49</v>
      </c>
      <c r="M35" s="17" t="s">
        <v>50</v>
      </c>
      <c r="N35" s="17"/>
      <c r="O35" s="22">
        <f t="shared" si="0"/>
        <v>0</v>
      </c>
      <c r="P35" s="22">
        <f t="shared" si="1"/>
        <v>0</v>
      </c>
      <c r="Q35" s="22">
        <f t="shared" si="2"/>
        <v>0</v>
      </c>
      <c r="R35" s="92"/>
      <c r="S35" s="92"/>
      <c r="T35" s="92"/>
      <c r="U35" s="23">
        <f t="shared" si="3"/>
        <v>0</v>
      </c>
      <c r="V35" s="21"/>
    </row>
    <row r="36" spans="1:22" ht="18" customHeight="1" x14ac:dyDescent="0.3">
      <c r="A36" s="15">
        <v>31</v>
      </c>
      <c r="B36" s="16"/>
      <c r="C36" s="3"/>
      <c r="D36" s="17"/>
      <c r="E36" s="3"/>
      <c r="F36" s="18"/>
      <c r="G36" s="19"/>
      <c r="H36" s="19"/>
      <c r="I36" s="3"/>
      <c r="J36" s="20"/>
      <c r="K36" s="21"/>
      <c r="L36" s="93"/>
      <c r="M36" s="17" t="s">
        <v>76</v>
      </c>
      <c r="N36" s="17"/>
      <c r="O36" s="22">
        <f t="shared" si="0"/>
        <v>0</v>
      </c>
      <c r="P36" s="22">
        <f t="shared" si="1"/>
        <v>0</v>
      </c>
      <c r="Q36" s="22">
        <f t="shared" si="2"/>
        <v>0</v>
      </c>
      <c r="R36" s="92" t="s">
        <v>38</v>
      </c>
      <c r="S36" s="92"/>
      <c r="T36" s="92"/>
      <c r="U36" s="23">
        <f t="shared" si="3"/>
        <v>0</v>
      </c>
      <c r="V36" s="21"/>
    </row>
    <row r="37" spans="1:22" ht="18" customHeight="1" x14ac:dyDescent="0.3">
      <c r="A37" s="15">
        <v>32</v>
      </c>
      <c r="B37" s="16"/>
      <c r="C37" s="3"/>
      <c r="D37" s="17"/>
      <c r="E37" s="3"/>
      <c r="F37" s="18"/>
      <c r="G37" s="18"/>
      <c r="H37" s="19"/>
      <c r="I37" s="3"/>
      <c r="J37" s="20"/>
      <c r="K37" s="21"/>
      <c r="L37" s="93"/>
      <c r="M37" s="17" t="s">
        <v>85</v>
      </c>
      <c r="N37" s="17"/>
      <c r="O37" s="22">
        <f t="shared" si="0"/>
        <v>0</v>
      </c>
      <c r="P37" s="22">
        <f t="shared" si="1"/>
        <v>0</v>
      </c>
      <c r="Q37" s="22">
        <f t="shared" si="2"/>
        <v>0</v>
      </c>
      <c r="R37" s="92"/>
      <c r="S37" s="92"/>
      <c r="T37" s="92"/>
      <c r="U37" s="23">
        <f t="shared" si="3"/>
        <v>0</v>
      </c>
      <c r="V37" s="21"/>
    </row>
    <row r="38" spans="1:22" ht="18" customHeight="1" x14ac:dyDescent="0.3">
      <c r="A38" s="15">
        <v>33</v>
      </c>
      <c r="B38" s="16"/>
      <c r="C38" s="3"/>
      <c r="D38" s="17"/>
      <c r="E38" s="3"/>
      <c r="F38" s="18"/>
      <c r="G38" s="18"/>
      <c r="H38" s="19"/>
      <c r="I38" s="3"/>
      <c r="J38" s="26"/>
      <c r="K38" s="21"/>
      <c r="L38" s="93"/>
      <c r="M38" s="17" t="s">
        <v>51</v>
      </c>
      <c r="N38" s="17"/>
      <c r="O38" s="22">
        <f t="shared" si="0"/>
        <v>0</v>
      </c>
      <c r="P38" s="22">
        <f t="shared" si="1"/>
        <v>0</v>
      </c>
      <c r="Q38" s="22">
        <f t="shared" si="2"/>
        <v>0</v>
      </c>
      <c r="R38" s="92"/>
      <c r="S38" s="92"/>
      <c r="T38" s="92"/>
      <c r="U38" s="23">
        <f t="shared" si="3"/>
        <v>0</v>
      </c>
      <c r="V38" s="21"/>
    </row>
    <row r="39" spans="1:22" ht="18" customHeight="1" x14ac:dyDescent="0.3">
      <c r="A39" s="15">
        <v>34</v>
      </c>
      <c r="B39" s="16"/>
      <c r="C39" s="3"/>
      <c r="D39" s="17"/>
      <c r="E39" s="3"/>
      <c r="F39" s="18"/>
      <c r="G39" s="18"/>
      <c r="H39" s="19"/>
      <c r="I39" s="3"/>
      <c r="J39" s="26"/>
      <c r="K39" s="21"/>
      <c r="L39" s="93"/>
      <c r="M39" s="17" t="s">
        <v>79</v>
      </c>
      <c r="N39" s="17"/>
      <c r="O39" s="22">
        <f t="shared" si="0"/>
        <v>0</v>
      </c>
      <c r="P39" s="22">
        <f t="shared" si="1"/>
        <v>0</v>
      </c>
      <c r="Q39" s="22">
        <f t="shared" si="2"/>
        <v>0</v>
      </c>
      <c r="R39" s="104"/>
      <c r="S39" s="105"/>
      <c r="T39" s="106"/>
      <c r="U39" s="23">
        <f t="shared" si="3"/>
        <v>0</v>
      </c>
      <c r="V39" s="21"/>
    </row>
    <row r="40" spans="1:22" ht="18" customHeight="1" x14ac:dyDescent="0.3">
      <c r="A40" s="15">
        <v>35</v>
      </c>
      <c r="B40" s="16"/>
      <c r="C40" s="3"/>
      <c r="D40" s="17"/>
      <c r="E40" s="3"/>
      <c r="F40" s="18"/>
      <c r="G40" s="18"/>
      <c r="H40" s="19"/>
      <c r="I40" s="3"/>
      <c r="J40" s="20"/>
      <c r="K40" s="21"/>
      <c r="L40" s="93"/>
      <c r="M40" s="17" t="s">
        <v>52</v>
      </c>
      <c r="N40" s="17"/>
      <c r="O40" s="22">
        <f t="shared" si="0"/>
        <v>0</v>
      </c>
      <c r="P40" s="22">
        <f t="shared" si="1"/>
        <v>0</v>
      </c>
      <c r="Q40" s="22">
        <f t="shared" si="2"/>
        <v>0</v>
      </c>
      <c r="R40" s="92"/>
      <c r="S40" s="92"/>
      <c r="T40" s="92"/>
      <c r="U40" s="23">
        <f t="shared" si="3"/>
        <v>0</v>
      </c>
      <c r="V40" s="21"/>
    </row>
    <row r="41" spans="1:22" ht="18" customHeight="1" x14ac:dyDescent="0.3">
      <c r="A41" s="15">
        <v>36</v>
      </c>
      <c r="B41" s="16"/>
      <c r="C41" s="3"/>
      <c r="D41" s="17"/>
      <c r="E41" s="17"/>
      <c r="F41" s="18"/>
      <c r="G41" s="19"/>
      <c r="H41" s="19"/>
      <c r="I41" s="3"/>
      <c r="J41" s="20"/>
      <c r="K41" s="21"/>
      <c r="L41" s="93" t="s">
        <v>53</v>
      </c>
      <c r="M41" s="17" t="s">
        <v>74</v>
      </c>
      <c r="N41" s="17"/>
      <c r="O41" s="22">
        <f t="shared" si="0"/>
        <v>0</v>
      </c>
      <c r="P41" s="22">
        <f t="shared" si="1"/>
        <v>0</v>
      </c>
      <c r="Q41" s="22">
        <f t="shared" si="2"/>
        <v>0</v>
      </c>
      <c r="R41" s="92"/>
      <c r="S41" s="92"/>
      <c r="T41" s="92"/>
      <c r="U41" s="23">
        <f t="shared" si="3"/>
        <v>0</v>
      </c>
      <c r="V41" s="21"/>
    </row>
    <row r="42" spans="1:22" ht="18" customHeight="1" x14ac:dyDescent="0.3">
      <c r="A42" s="15">
        <v>37</v>
      </c>
      <c r="B42" s="16"/>
      <c r="C42" s="3"/>
      <c r="D42" s="17"/>
      <c r="E42" s="3"/>
      <c r="F42" s="18"/>
      <c r="G42" s="18"/>
      <c r="H42" s="27"/>
      <c r="I42" s="3"/>
      <c r="J42" s="20"/>
      <c r="K42" s="21"/>
      <c r="L42" s="93"/>
      <c r="M42" s="17" t="s">
        <v>73</v>
      </c>
      <c r="N42" s="17"/>
      <c r="O42" s="22">
        <f t="shared" si="0"/>
        <v>0</v>
      </c>
      <c r="P42" s="22">
        <f t="shared" si="1"/>
        <v>0</v>
      </c>
      <c r="Q42" s="22">
        <f t="shared" si="2"/>
        <v>0</v>
      </c>
      <c r="R42" s="92"/>
      <c r="S42" s="92"/>
      <c r="T42" s="92"/>
      <c r="U42" s="23">
        <f t="shared" si="3"/>
        <v>0</v>
      </c>
      <c r="V42" s="21"/>
    </row>
    <row r="43" spans="1:22" ht="18" customHeight="1" x14ac:dyDescent="0.3">
      <c r="A43" s="15">
        <v>38</v>
      </c>
      <c r="B43" s="16"/>
      <c r="C43" s="3"/>
      <c r="D43" s="17"/>
      <c r="E43" s="3"/>
      <c r="F43" s="18"/>
      <c r="G43" s="18"/>
      <c r="H43" s="27"/>
      <c r="I43" s="3"/>
      <c r="J43" s="20"/>
      <c r="K43" s="21"/>
      <c r="L43" s="93"/>
      <c r="M43" s="17" t="s">
        <v>80</v>
      </c>
      <c r="N43" s="17"/>
      <c r="O43" s="22">
        <f t="shared" si="0"/>
        <v>0</v>
      </c>
      <c r="P43" s="22">
        <f t="shared" si="1"/>
        <v>0</v>
      </c>
      <c r="Q43" s="22">
        <f t="shared" si="2"/>
        <v>0</v>
      </c>
      <c r="R43" s="92"/>
      <c r="S43" s="92"/>
      <c r="T43" s="92"/>
      <c r="U43" s="23">
        <f t="shared" si="3"/>
        <v>0</v>
      </c>
      <c r="V43" s="21"/>
    </row>
    <row r="44" spans="1:22" ht="18" customHeight="1" x14ac:dyDescent="0.3">
      <c r="A44" s="15">
        <v>39</v>
      </c>
      <c r="B44" s="16"/>
      <c r="C44" s="3"/>
      <c r="D44" s="24"/>
      <c r="E44" s="3"/>
      <c r="F44" s="18"/>
      <c r="G44" s="18"/>
      <c r="H44" s="27"/>
      <c r="I44" s="3"/>
      <c r="J44" s="20"/>
      <c r="K44" s="21"/>
      <c r="L44" s="93"/>
      <c r="M44" s="17" t="s">
        <v>54</v>
      </c>
      <c r="N44" s="17" t="s">
        <v>55</v>
      </c>
      <c r="O44" s="22">
        <f t="shared" si="0"/>
        <v>0</v>
      </c>
      <c r="P44" s="22">
        <f t="shared" si="1"/>
        <v>0</v>
      </c>
      <c r="Q44" s="22">
        <f t="shared" si="2"/>
        <v>0</v>
      </c>
      <c r="R44" s="92"/>
      <c r="S44" s="92"/>
      <c r="T44" s="92"/>
      <c r="U44" s="23">
        <f t="shared" si="3"/>
        <v>0</v>
      </c>
      <c r="V44" s="21"/>
    </row>
    <row r="45" spans="1:22" ht="18" customHeight="1" x14ac:dyDescent="0.3">
      <c r="A45" s="15">
        <v>40</v>
      </c>
      <c r="B45" s="16"/>
      <c r="C45" s="3"/>
      <c r="D45" s="17"/>
      <c r="E45" s="3"/>
      <c r="F45" s="18"/>
      <c r="G45" s="18"/>
      <c r="H45" s="27"/>
      <c r="I45" s="3"/>
      <c r="J45" s="20"/>
      <c r="K45" s="21"/>
      <c r="L45" s="93"/>
      <c r="M45" s="17" t="s">
        <v>87</v>
      </c>
      <c r="N45" s="17"/>
      <c r="O45" s="22">
        <f t="shared" si="0"/>
        <v>0</v>
      </c>
      <c r="P45" s="22">
        <f t="shared" si="1"/>
        <v>0</v>
      </c>
      <c r="Q45" s="22">
        <f t="shared" si="2"/>
        <v>0</v>
      </c>
      <c r="R45" s="92"/>
      <c r="S45" s="92"/>
      <c r="T45" s="92"/>
      <c r="U45" s="23">
        <f t="shared" si="3"/>
        <v>0</v>
      </c>
      <c r="V45" s="21"/>
    </row>
    <row r="46" spans="1:22" ht="18" customHeight="1" x14ac:dyDescent="0.3">
      <c r="A46" s="15">
        <v>41</v>
      </c>
      <c r="B46" s="16"/>
      <c r="C46" s="3"/>
      <c r="D46" s="17"/>
      <c r="E46" s="3"/>
      <c r="F46" s="18"/>
      <c r="G46" s="27"/>
      <c r="H46" s="27"/>
      <c r="I46" s="3"/>
      <c r="J46" s="20"/>
      <c r="K46" s="21"/>
      <c r="L46" s="93"/>
      <c r="M46" s="17" t="s">
        <v>56</v>
      </c>
      <c r="N46" s="17"/>
      <c r="O46" s="22">
        <f t="shared" si="0"/>
        <v>0</v>
      </c>
      <c r="P46" s="22">
        <f t="shared" si="1"/>
        <v>0</v>
      </c>
      <c r="Q46" s="22">
        <f t="shared" si="2"/>
        <v>0</v>
      </c>
      <c r="R46" s="92"/>
      <c r="S46" s="92"/>
      <c r="T46" s="92"/>
      <c r="U46" s="23">
        <f t="shared" si="3"/>
        <v>0</v>
      </c>
      <c r="V46" s="21"/>
    </row>
    <row r="47" spans="1:22" ht="18" customHeight="1" x14ac:dyDescent="0.3">
      <c r="A47" s="15">
        <v>42</v>
      </c>
      <c r="B47" s="16"/>
      <c r="C47" s="3"/>
      <c r="D47" s="17"/>
      <c r="E47" s="17"/>
      <c r="F47" s="18"/>
      <c r="G47" s="27"/>
      <c r="H47" s="27"/>
      <c r="I47" s="3"/>
      <c r="J47" s="20"/>
      <c r="K47" s="21"/>
      <c r="L47" s="93" t="s">
        <v>57</v>
      </c>
      <c r="M47" s="17" t="s">
        <v>81</v>
      </c>
      <c r="N47" s="17"/>
      <c r="O47" s="22">
        <f t="shared" si="0"/>
        <v>0</v>
      </c>
      <c r="P47" s="22">
        <f t="shared" si="1"/>
        <v>0</v>
      </c>
      <c r="Q47" s="22">
        <f t="shared" si="2"/>
        <v>0</v>
      </c>
      <c r="R47" s="92"/>
      <c r="S47" s="92"/>
      <c r="T47" s="92"/>
      <c r="U47" s="23">
        <f t="shared" si="3"/>
        <v>0</v>
      </c>
      <c r="V47" s="21"/>
    </row>
    <row r="48" spans="1:22" ht="18" customHeight="1" x14ac:dyDescent="0.3">
      <c r="A48" s="15">
        <v>43</v>
      </c>
      <c r="B48" s="16"/>
      <c r="C48" s="3"/>
      <c r="D48" s="17"/>
      <c r="E48" s="3"/>
      <c r="F48" s="18"/>
      <c r="G48" s="27"/>
      <c r="H48" s="27"/>
      <c r="I48" s="3"/>
      <c r="J48" s="20"/>
      <c r="K48" s="21"/>
      <c r="L48" s="93"/>
      <c r="M48" s="17" t="s">
        <v>82</v>
      </c>
      <c r="N48" s="17"/>
      <c r="O48" s="22">
        <f t="shared" si="0"/>
        <v>0</v>
      </c>
      <c r="P48" s="22">
        <f t="shared" si="1"/>
        <v>0</v>
      </c>
      <c r="Q48" s="22">
        <f t="shared" si="2"/>
        <v>0</v>
      </c>
      <c r="R48" s="92"/>
      <c r="S48" s="92"/>
      <c r="T48" s="92"/>
      <c r="U48" s="23">
        <f t="shared" si="3"/>
        <v>0</v>
      </c>
      <c r="V48" s="21"/>
    </row>
    <row r="49" spans="1:22" ht="18" customHeight="1" x14ac:dyDescent="0.3">
      <c r="A49" s="15">
        <v>44</v>
      </c>
      <c r="B49" s="16"/>
      <c r="C49" s="3"/>
      <c r="D49" s="17"/>
      <c r="E49" s="3"/>
      <c r="F49" s="18"/>
      <c r="G49" s="27"/>
      <c r="H49" s="27"/>
      <c r="I49" s="3"/>
      <c r="J49" s="20"/>
      <c r="K49" s="21"/>
      <c r="L49" s="93"/>
      <c r="M49" s="17" t="s">
        <v>89</v>
      </c>
      <c r="N49" s="17"/>
      <c r="O49" s="22">
        <f t="shared" si="0"/>
        <v>0</v>
      </c>
      <c r="P49" s="22">
        <f t="shared" si="1"/>
        <v>0</v>
      </c>
      <c r="Q49" s="22">
        <f t="shared" si="2"/>
        <v>0</v>
      </c>
      <c r="R49" s="92"/>
      <c r="S49" s="92"/>
      <c r="T49" s="92"/>
      <c r="U49" s="23">
        <f t="shared" si="3"/>
        <v>0</v>
      </c>
      <c r="V49" s="21"/>
    </row>
    <row r="50" spans="1:22" ht="18" customHeight="1" x14ac:dyDescent="0.3">
      <c r="A50" s="15">
        <v>45</v>
      </c>
      <c r="B50" s="16"/>
      <c r="C50" s="3"/>
      <c r="D50" s="17"/>
      <c r="E50" s="3"/>
      <c r="F50" s="37"/>
      <c r="G50" s="18"/>
      <c r="H50" s="27"/>
      <c r="I50" s="3"/>
      <c r="J50" s="20"/>
      <c r="K50" s="21"/>
      <c r="L50" s="93"/>
      <c r="M50" s="17" t="s">
        <v>58</v>
      </c>
      <c r="N50" s="17" t="s">
        <v>59</v>
      </c>
      <c r="O50" s="22">
        <f t="shared" si="0"/>
        <v>0</v>
      </c>
      <c r="P50" s="22">
        <f t="shared" si="1"/>
        <v>0</v>
      </c>
      <c r="Q50" s="22">
        <f t="shared" si="2"/>
        <v>0</v>
      </c>
      <c r="R50" s="92"/>
      <c r="S50" s="92"/>
      <c r="T50" s="92"/>
      <c r="U50" s="23">
        <f t="shared" si="3"/>
        <v>0</v>
      </c>
      <c r="V50" s="21"/>
    </row>
    <row r="51" spans="1:22" ht="18" customHeight="1" x14ac:dyDescent="0.3">
      <c r="A51" s="15">
        <v>46</v>
      </c>
      <c r="B51" s="16"/>
      <c r="C51" s="3"/>
      <c r="D51" s="17"/>
      <c r="E51" s="3"/>
      <c r="F51" s="37"/>
      <c r="G51" s="18"/>
      <c r="H51" s="28"/>
      <c r="I51" s="3"/>
      <c r="J51" s="20"/>
      <c r="K51" s="21"/>
      <c r="L51" s="93" t="s">
        <v>60</v>
      </c>
      <c r="M51" s="17" t="s">
        <v>69</v>
      </c>
      <c r="N51" s="17"/>
      <c r="O51" s="22">
        <f t="shared" si="0"/>
        <v>0</v>
      </c>
      <c r="P51" s="22">
        <f t="shared" si="1"/>
        <v>0</v>
      </c>
      <c r="Q51" s="22">
        <f t="shared" si="2"/>
        <v>0</v>
      </c>
      <c r="R51" s="92"/>
      <c r="S51" s="92"/>
      <c r="T51" s="92"/>
      <c r="U51" s="23">
        <f t="shared" si="3"/>
        <v>0</v>
      </c>
      <c r="V51" s="21"/>
    </row>
    <row r="52" spans="1:22" ht="18" customHeight="1" x14ac:dyDescent="0.3">
      <c r="A52" s="15">
        <v>47</v>
      </c>
      <c r="B52" s="16"/>
      <c r="C52" s="3"/>
      <c r="D52" s="17"/>
      <c r="E52" s="17"/>
      <c r="F52" s="18"/>
      <c r="G52" s="18"/>
      <c r="H52" s="19"/>
      <c r="I52" s="3"/>
      <c r="J52" s="20"/>
      <c r="K52" s="21"/>
      <c r="L52" s="93"/>
      <c r="M52" s="17" t="s">
        <v>61</v>
      </c>
      <c r="N52" s="17"/>
      <c r="O52" s="22">
        <f t="shared" si="0"/>
        <v>0</v>
      </c>
      <c r="P52" s="22">
        <f t="shared" si="1"/>
        <v>0</v>
      </c>
      <c r="Q52" s="22">
        <f t="shared" si="2"/>
        <v>0</v>
      </c>
      <c r="R52" s="92"/>
      <c r="S52" s="92"/>
      <c r="T52" s="92"/>
      <c r="U52" s="23">
        <f t="shared" si="3"/>
        <v>0</v>
      </c>
      <c r="V52" s="21"/>
    </row>
    <row r="53" spans="1:22" ht="18" customHeight="1" x14ac:dyDescent="0.3">
      <c r="A53" s="15">
        <v>48</v>
      </c>
      <c r="B53" s="16"/>
      <c r="C53" s="3"/>
      <c r="D53" s="17"/>
      <c r="E53" s="17"/>
      <c r="F53" s="18"/>
      <c r="G53" s="18"/>
      <c r="H53" s="19"/>
      <c r="I53" s="3"/>
      <c r="J53" s="20"/>
      <c r="K53" s="21"/>
      <c r="L53" s="93"/>
      <c r="M53" s="17" t="s">
        <v>62</v>
      </c>
      <c r="N53" s="17"/>
      <c r="O53" s="22">
        <f t="shared" si="0"/>
        <v>0</v>
      </c>
      <c r="P53" s="22">
        <f t="shared" si="1"/>
        <v>0</v>
      </c>
      <c r="Q53" s="22">
        <f t="shared" si="2"/>
        <v>0</v>
      </c>
      <c r="R53" s="92"/>
      <c r="S53" s="92"/>
      <c r="T53" s="92"/>
      <c r="U53" s="23">
        <f t="shared" si="3"/>
        <v>0</v>
      </c>
      <c r="V53" s="21"/>
    </row>
    <row r="54" spans="1:22" ht="18" customHeight="1" x14ac:dyDescent="0.3">
      <c r="A54" s="15">
        <v>49</v>
      </c>
      <c r="B54" s="16"/>
      <c r="C54" s="3"/>
      <c r="D54" s="17"/>
      <c r="E54" s="3"/>
      <c r="F54" s="18"/>
      <c r="G54" s="18"/>
      <c r="H54" s="19"/>
      <c r="I54" s="3"/>
      <c r="J54" s="20"/>
      <c r="K54" s="21"/>
      <c r="L54" s="93"/>
      <c r="M54" s="17" t="s">
        <v>63</v>
      </c>
      <c r="N54" s="17"/>
      <c r="O54" s="22">
        <f t="shared" si="0"/>
        <v>0</v>
      </c>
      <c r="P54" s="22">
        <f t="shared" si="1"/>
        <v>0</v>
      </c>
      <c r="Q54" s="22">
        <f t="shared" si="2"/>
        <v>0</v>
      </c>
      <c r="R54" s="92"/>
      <c r="S54" s="92"/>
      <c r="T54" s="92"/>
      <c r="U54" s="23">
        <f t="shared" si="3"/>
        <v>0</v>
      </c>
      <c r="V54" s="21"/>
    </row>
    <row r="55" spans="1:22" ht="18" customHeight="1" x14ac:dyDescent="0.3">
      <c r="A55" s="15">
        <v>50</v>
      </c>
      <c r="B55" s="16"/>
      <c r="C55" s="3"/>
      <c r="D55" s="17"/>
      <c r="E55" s="3"/>
      <c r="F55" s="18"/>
      <c r="G55" s="18"/>
      <c r="H55" s="19"/>
      <c r="I55" s="3"/>
      <c r="J55" s="20"/>
      <c r="K55" s="21"/>
      <c r="L55" s="93"/>
      <c r="M55" s="17" t="s">
        <v>68</v>
      </c>
      <c r="N55" s="17"/>
      <c r="O55" s="22">
        <f t="shared" si="0"/>
        <v>0</v>
      </c>
      <c r="P55" s="22">
        <f t="shared" si="1"/>
        <v>0</v>
      </c>
      <c r="Q55" s="22">
        <f t="shared" si="2"/>
        <v>0</v>
      </c>
      <c r="R55" s="92"/>
      <c r="S55" s="92"/>
      <c r="T55" s="92"/>
      <c r="U55" s="23">
        <f t="shared" si="3"/>
        <v>0</v>
      </c>
      <c r="V55" s="21"/>
    </row>
    <row r="56" spans="1:22" ht="18" customHeight="1" x14ac:dyDescent="0.3">
      <c r="A56" s="15">
        <v>51</v>
      </c>
      <c r="B56" s="16"/>
      <c r="C56" s="3"/>
      <c r="D56" s="17"/>
      <c r="E56" s="3"/>
      <c r="F56" s="18"/>
      <c r="G56" s="18"/>
      <c r="H56" s="28"/>
      <c r="I56" s="3"/>
      <c r="J56" s="20"/>
      <c r="K56" s="21"/>
      <c r="L56" s="93"/>
      <c r="M56" s="17" t="s">
        <v>64</v>
      </c>
      <c r="N56" s="17" t="s">
        <v>65</v>
      </c>
      <c r="O56" s="22">
        <f t="shared" si="0"/>
        <v>0</v>
      </c>
      <c r="P56" s="22">
        <f t="shared" si="1"/>
        <v>0</v>
      </c>
      <c r="Q56" s="22">
        <f t="shared" si="2"/>
        <v>0</v>
      </c>
      <c r="R56" s="92"/>
      <c r="S56" s="92"/>
      <c r="T56" s="92"/>
      <c r="U56" s="23">
        <f t="shared" si="3"/>
        <v>0</v>
      </c>
      <c r="V56" s="21"/>
    </row>
    <row r="57" spans="1:22" ht="18" customHeight="1" x14ac:dyDescent="0.3">
      <c r="A57" s="15">
        <v>52</v>
      </c>
      <c r="B57" s="16"/>
      <c r="C57" s="3"/>
      <c r="D57" s="17"/>
      <c r="E57" s="3"/>
      <c r="F57" s="18"/>
      <c r="G57" s="18"/>
      <c r="H57" s="28"/>
      <c r="I57" s="3"/>
      <c r="J57" s="20"/>
      <c r="K57" s="21"/>
      <c r="L57" s="93"/>
      <c r="M57" s="17" t="s">
        <v>84</v>
      </c>
      <c r="N57" s="17"/>
      <c r="O57" s="22">
        <f t="shared" si="0"/>
        <v>0</v>
      </c>
      <c r="P57" s="22">
        <f t="shared" si="1"/>
        <v>0</v>
      </c>
      <c r="Q57" s="22">
        <f t="shared" si="2"/>
        <v>0</v>
      </c>
      <c r="R57" s="92"/>
      <c r="S57" s="92"/>
      <c r="T57" s="92"/>
      <c r="U57" s="23">
        <f t="shared" si="3"/>
        <v>0</v>
      </c>
      <c r="V57" s="21"/>
    </row>
    <row r="58" spans="1:22" ht="18" customHeight="1" x14ac:dyDescent="0.3">
      <c r="A58" s="15">
        <v>53</v>
      </c>
      <c r="B58" s="16"/>
      <c r="C58" s="3"/>
      <c r="D58" s="17"/>
      <c r="E58" s="3"/>
      <c r="F58" s="18"/>
      <c r="G58" s="18"/>
      <c r="H58" s="28"/>
      <c r="I58" s="3"/>
      <c r="J58" s="20"/>
      <c r="K58" s="21"/>
      <c r="L58" s="93"/>
      <c r="M58" s="17" t="s">
        <v>71</v>
      </c>
      <c r="N58" s="17"/>
      <c r="O58" s="22">
        <f t="shared" si="0"/>
        <v>0</v>
      </c>
      <c r="P58" s="22">
        <f t="shared" si="1"/>
        <v>0</v>
      </c>
      <c r="Q58" s="22">
        <f t="shared" si="2"/>
        <v>0</v>
      </c>
      <c r="R58" s="92"/>
      <c r="S58" s="92"/>
      <c r="T58" s="92"/>
      <c r="U58" s="23">
        <f t="shared" si="3"/>
        <v>0</v>
      </c>
      <c r="V58" s="21"/>
    </row>
    <row r="59" spans="1:22" ht="18" customHeight="1" x14ac:dyDescent="0.3">
      <c r="A59" s="15">
        <v>54</v>
      </c>
      <c r="B59" s="16"/>
      <c r="C59" s="3"/>
      <c r="D59" s="17"/>
      <c r="E59" s="3"/>
      <c r="F59" s="18"/>
      <c r="G59" s="18"/>
      <c r="H59" s="28"/>
      <c r="I59" s="3"/>
      <c r="J59" s="20"/>
      <c r="K59" s="21"/>
      <c r="L59" s="93" t="s">
        <v>66</v>
      </c>
      <c r="M59" s="94"/>
      <c r="N59" s="94"/>
      <c r="O59" s="97">
        <f>SUM(O6:O58)</f>
        <v>0</v>
      </c>
      <c r="P59" s="97">
        <f>SUM(P6:P58)</f>
        <v>0</v>
      </c>
      <c r="Q59" s="97">
        <f>SUM(Q6:Q58)</f>
        <v>0</v>
      </c>
      <c r="R59" s="92" t="s">
        <v>67</v>
      </c>
      <c r="S59" s="100">
        <f>SUM(O59:Q60)</f>
        <v>0</v>
      </c>
      <c r="T59" s="100"/>
      <c r="U59" s="101"/>
      <c r="V59" s="21"/>
    </row>
    <row r="60" spans="1:22" ht="18" customHeight="1" thickBot="1" x14ac:dyDescent="0.35">
      <c r="A60" s="15">
        <v>55</v>
      </c>
      <c r="B60" s="16"/>
      <c r="C60" s="3"/>
      <c r="D60" s="17"/>
      <c r="E60" s="3"/>
      <c r="F60" s="18"/>
      <c r="G60" s="18"/>
      <c r="H60" s="28"/>
      <c r="I60" s="3"/>
      <c r="J60" s="20"/>
      <c r="K60" s="21"/>
      <c r="L60" s="95"/>
      <c r="M60" s="96"/>
      <c r="N60" s="96"/>
      <c r="O60" s="98"/>
      <c r="P60" s="98"/>
      <c r="Q60" s="98"/>
      <c r="R60" s="99"/>
      <c r="S60" s="102"/>
      <c r="T60" s="102"/>
      <c r="U60" s="103"/>
      <c r="V60" s="21"/>
    </row>
    <row r="61" spans="1:22" ht="18" customHeight="1" x14ac:dyDescent="0.3">
      <c r="A61" s="15">
        <v>56</v>
      </c>
      <c r="B61" s="16"/>
      <c r="C61" s="3"/>
      <c r="D61" s="17"/>
      <c r="E61" s="3"/>
      <c r="F61" s="18"/>
      <c r="G61" s="18"/>
      <c r="H61" s="28"/>
      <c r="I61" s="3"/>
      <c r="J61" s="20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9"/>
      <c r="V61" s="21"/>
    </row>
    <row r="62" spans="1:22" ht="18" customHeight="1" x14ac:dyDescent="0.3">
      <c r="A62" s="15">
        <v>57</v>
      </c>
      <c r="B62" s="16"/>
      <c r="C62" s="3"/>
      <c r="D62" s="17"/>
      <c r="E62" s="3"/>
      <c r="F62" s="18"/>
      <c r="G62" s="18"/>
      <c r="H62" s="28"/>
      <c r="I62" s="3"/>
      <c r="J62" s="20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9"/>
      <c r="V62" s="21"/>
    </row>
    <row r="63" spans="1:22" ht="18" customHeight="1" x14ac:dyDescent="0.3">
      <c r="A63" s="15">
        <v>58</v>
      </c>
      <c r="B63" s="16"/>
      <c r="C63" s="3"/>
      <c r="D63" s="17"/>
      <c r="E63" s="17"/>
      <c r="F63" s="18"/>
      <c r="G63" s="18"/>
      <c r="H63" s="19"/>
      <c r="I63" s="3"/>
      <c r="J63" s="20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9"/>
      <c r="V63" s="21"/>
    </row>
    <row r="64" spans="1:22" ht="18" customHeight="1" x14ac:dyDescent="0.3">
      <c r="A64" s="15">
        <v>59</v>
      </c>
      <c r="B64" s="16"/>
      <c r="C64" s="3"/>
      <c r="D64" s="17"/>
      <c r="E64" s="17"/>
      <c r="F64" s="18"/>
      <c r="G64" s="18"/>
      <c r="H64" s="19"/>
      <c r="I64" s="3"/>
      <c r="J64" s="20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9"/>
      <c r="V64" s="21"/>
    </row>
    <row r="65" spans="1:22" ht="18" customHeight="1" x14ac:dyDescent="0.3">
      <c r="A65" s="15">
        <v>60</v>
      </c>
      <c r="B65" s="16"/>
      <c r="C65" s="3"/>
      <c r="D65" s="17"/>
      <c r="E65" s="3"/>
      <c r="F65" s="18"/>
      <c r="G65" s="18"/>
      <c r="H65" s="19"/>
      <c r="I65" s="3"/>
      <c r="J65" s="20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9"/>
      <c r="V65" s="21"/>
    </row>
    <row r="66" spans="1:22" ht="18" customHeight="1" x14ac:dyDescent="0.3">
      <c r="A66" s="15">
        <v>61</v>
      </c>
      <c r="B66" s="16"/>
      <c r="C66" s="3"/>
      <c r="D66" s="17"/>
      <c r="E66" s="3"/>
      <c r="F66" s="18"/>
      <c r="G66" s="18"/>
      <c r="H66" s="28"/>
      <c r="I66" s="3"/>
      <c r="J66" s="20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9"/>
      <c r="V66" s="21"/>
    </row>
    <row r="67" spans="1:22" ht="18" customHeight="1" x14ac:dyDescent="0.3">
      <c r="A67" s="15">
        <v>62</v>
      </c>
      <c r="B67" s="16"/>
      <c r="C67" s="3"/>
      <c r="D67" s="17"/>
      <c r="E67" s="3"/>
      <c r="F67" s="18"/>
      <c r="G67" s="18"/>
      <c r="H67" s="28"/>
      <c r="I67" s="3"/>
      <c r="J67" s="20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9"/>
      <c r="V67" s="21"/>
    </row>
    <row r="68" spans="1:22" ht="18" customHeight="1" x14ac:dyDescent="0.3">
      <c r="A68" s="15">
        <v>63</v>
      </c>
      <c r="B68" s="16"/>
      <c r="C68" s="3"/>
      <c r="D68" s="17"/>
      <c r="E68" s="3"/>
      <c r="F68" s="18"/>
      <c r="G68" s="18"/>
      <c r="H68" s="28"/>
      <c r="I68" s="3"/>
      <c r="J68" s="20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9"/>
      <c r="V68" s="21"/>
    </row>
    <row r="69" spans="1:22" ht="18" customHeight="1" x14ac:dyDescent="0.3">
      <c r="A69" s="15">
        <v>64</v>
      </c>
      <c r="B69" s="16"/>
      <c r="C69" s="3"/>
      <c r="D69" s="17"/>
      <c r="E69" s="3"/>
      <c r="F69" s="18"/>
      <c r="G69" s="18"/>
      <c r="H69" s="28"/>
      <c r="I69" s="3"/>
      <c r="J69" s="20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9"/>
      <c r="V69" s="21"/>
    </row>
    <row r="70" spans="1:22" ht="18" customHeight="1" thickBot="1" x14ac:dyDescent="0.35">
      <c r="A70" s="15">
        <v>65</v>
      </c>
      <c r="B70" s="16"/>
      <c r="C70" s="3"/>
      <c r="D70" s="17"/>
      <c r="E70" s="3"/>
      <c r="F70" s="18"/>
      <c r="G70" s="18"/>
      <c r="H70" s="28"/>
      <c r="I70" s="3"/>
      <c r="J70" s="20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9"/>
      <c r="V70" s="21"/>
    </row>
    <row r="71" spans="1:22" ht="18" customHeight="1" thickBot="1" x14ac:dyDescent="0.35">
      <c r="A71" s="15">
        <v>66</v>
      </c>
      <c r="B71" s="16"/>
      <c r="C71" s="3"/>
      <c r="D71" s="17"/>
      <c r="E71" s="3"/>
      <c r="F71" s="18"/>
      <c r="G71" s="18"/>
      <c r="H71" s="28"/>
      <c r="I71" s="3"/>
      <c r="J71" s="20"/>
      <c r="K71" s="21"/>
      <c r="L71" s="21"/>
      <c r="M71" s="38"/>
      <c r="N71" s="21"/>
      <c r="O71" s="21"/>
      <c r="P71" s="21"/>
      <c r="Q71" s="21"/>
      <c r="R71" s="21"/>
      <c r="S71" s="21"/>
      <c r="T71" s="21"/>
      <c r="U71" s="29"/>
      <c r="V71" s="21"/>
    </row>
    <row r="72" spans="1:22" ht="18" customHeight="1" x14ac:dyDescent="0.3">
      <c r="A72" s="15">
        <v>67</v>
      </c>
      <c r="B72" s="16"/>
      <c r="C72" s="3"/>
      <c r="D72" s="17"/>
      <c r="E72" s="3"/>
      <c r="F72" s="18"/>
      <c r="G72" s="18"/>
      <c r="H72" s="28"/>
      <c r="I72" s="3"/>
      <c r="J72" s="20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9"/>
      <c r="V72" s="21"/>
    </row>
    <row r="73" spans="1:22" ht="18" customHeight="1" x14ac:dyDescent="0.3">
      <c r="A73" s="15">
        <v>68</v>
      </c>
      <c r="B73" s="16"/>
      <c r="C73" s="3"/>
      <c r="D73" s="17"/>
      <c r="E73" s="3"/>
      <c r="F73" s="18"/>
      <c r="G73" s="18"/>
      <c r="H73" s="28"/>
      <c r="I73" s="3"/>
      <c r="J73" s="20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9"/>
      <c r="V73" s="21"/>
    </row>
    <row r="74" spans="1:22" ht="18" customHeight="1" x14ac:dyDescent="0.3">
      <c r="A74" s="15">
        <v>69</v>
      </c>
      <c r="B74" s="16"/>
      <c r="C74" s="3"/>
      <c r="D74" s="17"/>
      <c r="E74" s="17"/>
      <c r="F74" s="18"/>
      <c r="G74" s="18"/>
      <c r="H74" s="28"/>
      <c r="I74" s="3"/>
      <c r="J74" s="20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9"/>
      <c r="V74" s="21"/>
    </row>
    <row r="75" spans="1:22" ht="18" customHeight="1" x14ac:dyDescent="0.3">
      <c r="A75" s="15">
        <v>70</v>
      </c>
      <c r="B75" s="16"/>
      <c r="C75" s="3"/>
      <c r="D75" s="17"/>
      <c r="E75" s="3"/>
      <c r="F75" s="18"/>
      <c r="G75" s="18"/>
      <c r="H75" s="28"/>
      <c r="I75" s="3"/>
      <c r="J75" s="20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9"/>
      <c r="V75" s="21"/>
    </row>
    <row r="76" spans="1:22" ht="18" customHeight="1" x14ac:dyDescent="0.3">
      <c r="A76" s="15">
        <v>71</v>
      </c>
      <c r="B76" s="16"/>
      <c r="C76" s="3"/>
      <c r="D76" s="17"/>
      <c r="E76" s="3"/>
      <c r="F76" s="18"/>
      <c r="G76" s="18"/>
      <c r="H76" s="28"/>
      <c r="I76" s="3"/>
      <c r="J76" s="20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9"/>
      <c r="V76" s="21"/>
    </row>
    <row r="77" spans="1:22" ht="18" customHeight="1" x14ac:dyDescent="0.3">
      <c r="A77" s="15">
        <v>72</v>
      </c>
      <c r="B77" s="16"/>
      <c r="C77" s="3"/>
      <c r="D77" s="17"/>
      <c r="E77" s="3"/>
      <c r="F77" s="18"/>
      <c r="G77" s="18"/>
      <c r="H77" s="28"/>
      <c r="I77" s="3"/>
      <c r="J77" s="20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9"/>
      <c r="V77" s="21"/>
    </row>
    <row r="78" spans="1:22" ht="18" customHeight="1" x14ac:dyDescent="0.3">
      <c r="A78" s="15">
        <v>73</v>
      </c>
      <c r="B78" s="16"/>
      <c r="C78" s="3"/>
      <c r="D78" s="17"/>
      <c r="E78" s="3"/>
      <c r="F78" s="18"/>
      <c r="G78" s="18"/>
      <c r="H78" s="28"/>
      <c r="I78" s="3"/>
      <c r="J78" s="20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9"/>
      <c r="V78" s="21"/>
    </row>
    <row r="79" spans="1:22" ht="18" customHeight="1" x14ac:dyDescent="0.3">
      <c r="A79" s="15">
        <v>74</v>
      </c>
      <c r="B79" s="16"/>
      <c r="C79" s="3"/>
      <c r="D79" s="17"/>
      <c r="E79" s="3"/>
      <c r="F79" s="18"/>
      <c r="G79" s="18"/>
      <c r="H79" s="28"/>
      <c r="I79" s="3"/>
      <c r="J79" s="20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9"/>
      <c r="V79" s="21"/>
    </row>
    <row r="80" spans="1:22" ht="18" customHeight="1" x14ac:dyDescent="0.3">
      <c r="A80" s="15">
        <v>75</v>
      </c>
      <c r="B80" s="16"/>
      <c r="C80" s="3"/>
      <c r="D80" s="17"/>
      <c r="E80" s="17"/>
      <c r="F80" s="18"/>
      <c r="G80" s="18"/>
      <c r="H80" s="28"/>
      <c r="I80" s="3"/>
      <c r="J80" s="20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9"/>
      <c r="V80" s="21"/>
    </row>
    <row r="81" spans="1:22" ht="18" customHeight="1" x14ac:dyDescent="0.3">
      <c r="A81" s="15">
        <v>76</v>
      </c>
      <c r="B81" s="16"/>
      <c r="C81" s="3"/>
      <c r="D81" s="17"/>
      <c r="E81" s="17"/>
      <c r="F81" s="18"/>
      <c r="G81" s="18"/>
      <c r="H81" s="28"/>
      <c r="I81" s="3"/>
      <c r="J81" s="20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9"/>
      <c r="V81" s="21"/>
    </row>
    <row r="82" spans="1:22" ht="18" customHeight="1" x14ac:dyDescent="0.3">
      <c r="A82" s="15">
        <v>77</v>
      </c>
      <c r="B82" s="16"/>
      <c r="C82" s="3"/>
      <c r="D82" s="17"/>
      <c r="E82" s="3"/>
      <c r="F82" s="18"/>
      <c r="G82" s="18"/>
      <c r="H82" s="28"/>
      <c r="I82" s="3"/>
      <c r="J82" s="20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9"/>
      <c r="V82" s="21"/>
    </row>
    <row r="83" spans="1:22" ht="18" customHeight="1" x14ac:dyDescent="0.3">
      <c r="A83" s="15">
        <v>78</v>
      </c>
      <c r="B83" s="16"/>
      <c r="C83" s="3"/>
      <c r="D83" s="17"/>
      <c r="E83" s="3"/>
      <c r="F83" s="18"/>
      <c r="G83" s="18"/>
      <c r="H83" s="28"/>
      <c r="I83" s="3"/>
      <c r="J83" s="20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9"/>
      <c r="V83" s="21"/>
    </row>
    <row r="84" spans="1:22" ht="18" customHeight="1" x14ac:dyDescent="0.3">
      <c r="A84" s="15">
        <v>79</v>
      </c>
      <c r="B84" s="16"/>
      <c r="C84" s="3"/>
      <c r="D84" s="17"/>
      <c r="E84" s="3"/>
      <c r="F84" s="18"/>
      <c r="G84" s="18"/>
      <c r="H84" s="28"/>
      <c r="I84" s="3"/>
      <c r="J84" s="20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9"/>
      <c r="V84" s="21"/>
    </row>
    <row r="85" spans="1:22" ht="18" customHeight="1" x14ac:dyDescent="0.3">
      <c r="A85" s="15">
        <v>80</v>
      </c>
      <c r="B85" s="16"/>
      <c r="C85" s="3"/>
      <c r="D85" s="17"/>
      <c r="E85" s="3"/>
      <c r="F85" s="18"/>
      <c r="G85" s="18"/>
      <c r="H85" s="28"/>
      <c r="I85" s="3"/>
      <c r="J85" s="20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9"/>
      <c r="V85" s="21"/>
    </row>
    <row r="86" spans="1:22" ht="18" customHeight="1" x14ac:dyDescent="0.3">
      <c r="A86" s="15">
        <v>81</v>
      </c>
      <c r="B86" s="16"/>
      <c r="C86" s="3"/>
      <c r="D86" s="17"/>
      <c r="E86" s="3"/>
      <c r="F86" s="18"/>
      <c r="G86" s="18"/>
      <c r="H86" s="28"/>
      <c r="I86" s="3"/>
      <c r="J86" s="20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9"/>
      <c r="V86" s="21"/>
    </row>
    <row r="87" spans="1:22" ht="18" customHeight="1" x14ac:dyDescent="0.3">
      <c r="A87" s="15">
        <v>82</v>
      </c>
      <c r="B87" s="16"/>
      <c r="C87" s="3"/>
      <c r="D87" s="17"/>
      <c r="E87" s="3"/>
      <c r="F87" s="18"/>
      <c r="G87" s="18"/>
      <c r="H87" s="28"/>
      <c r="I87" s="3"/>
      <c r="J87" s="20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9"/>
      <c r="V87" s="21"/>
    </row>
    <row r="88" spans="1:22" ht="18" customHeight="1" x14ac:dyDescent="0.3">
      <c r="A88" s="15">
        <v>83</v>
      </c>
      <c r="B88" s="16"/>
      <c r="C88" s="3"/>
      <c r="D88" s="17"/>
      <c r="E88" s="3"/>
      <c r="F88" s="18"/>
      <c r="G88" s="18"/>
      <c r="H88" s="28"/>
      <c r="I88" s="3"/>
      <c r="J88" s="20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9"/>
      <c r="V88" s="21"/>
    </row>
    <row r="89" spans="1:22" ht="18" customHeight="1" x14ac:dyDescent="0.3">
      <c r="A89" s="15">
        <v>84</v>
      </c>
      <c r="B89" s="16"/>
      <c r="C89" s="3"/>
      <c r="D89" s="17"/>
      <c r="E89" s="3"/>
      <c r="F89" s="18"/>
      <c r="G89" s="18"/>
      <c r="H89" s="28"/>
      <c r="I89" s="3"/>
      <c r="J89" s="20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9"/>
      <c r="V89" s="21"/>
    </row>
    <row r="90" spans="1:22" ht="18" customHeight="1" x14ac:dyDescent="0.3">
      <c r="A90" s="15">
        <v>85</v>
      </c>
      <c r="B90" s="16"/>
      <c r="C90" s="3"/>
      <c r="D90" s="17"/>
      <c r="E90" s="3"/>
      <c r="F90" s="18"/>
      <c r="G90" s="18"/>
      <c r="H90" s="28"/>
      <c r="I90" s="3"/>
      <c r="J90" s="20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9"/>
      <c r="V90" s="21"/>
    </row>
    <row r="91" spans="1:22" ht="18" customHeight="1" x14ac:dyDescent="0.3">
      <c r="A91" s="15">
        <v>86</v>
      </c>
      <c r="B91" s="16"/>
      <c r="C91" s="3"/>
      <c r="D91" s="17"/>
      <c r="E91" s="3"/>
      <c r="F91" s="18"/>
      <c r="G91" s="18"/>
      <c r="H91" s="28"/>
      <c r="I91" s="3"/>
      <c r="J91" s="20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9"/>
      <c r="V91" s="21"/>
    </row>
    <row r="92" spans="1:22" ht="18" customHeight="1" x14ac:dyDescent="0.3">
      <c r="A92" s="15">
        <v>87</v>
      </c>
      <c r="B92" s="16"/>
      <c r="C92" s="3"/>
      <c r="D92" s="17"/>
      <c r="E92" s="3"/>
      <c r="F92" s="18"/>
      <c r="G92" s="18"/>
      <c r="H92" s="28"/>
      <c r="I92" s="3"/>
      <c r="J92" s="20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9"/>
      <c r="V92" s="21"/>
    </row>
    <row r="93" spans="1:22" ht="18" customHeight="1" x14ac:dyDescent="0.3">
      <c r="A93" s="15">
        <v>88</v>
      </c>
      <c r="B93" s="16"/>
      <c r="C93" s="3"/>
      <c r="D93" s="17"/>
      <c r="E93" s="3"/>
      <c r="F93" s="18"/>
      <c r="G93" s="18"/>
      <c r="H93" s="28"/>
      <c r="I93" s="3"/>
      <c r="J93" s="20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9"/>
      <c r="V93" s="21"/>
    </row>
    <row r="94" spans="1:22" ht="18" customHeight="1" x14ac:dyDescent="0.3">
      <c r="A94" s="15">
        <v>89</v>
      </c>
      <c r="B94" s="16"/>
      <c r="C94" s="3"/>
      <c r="D94" s="17"/>
      <c r="E94" s="3"/>
      <c r="F94" s="18"/>
      <c r="G94" s="18"/>
      <c r="H94" s="28"/>
      <c r="I94" s="3"/>
      <c r="J94" s="20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9"/>
      <c r="V94" s="21"/>
    </row>
    <row r="95" spans="1:22" ht="18" customHeight="1" x14ac:dyDescent="0.3">
      <c r="A95" s="15">
        <v>90</v>
      </c>
      <c r="B95" s="16"/>
      <c r="C95" s="3"/>
      <c r="D95" s="17"/>
      <c r="E95" s="3"/>
      <c r="F95" s="18"/>
      <c r="G95" s="18"/>
      <c r="H95" s="28"/>
      <c r="I95" s="3"/>
      <c r="J95" s="20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9"/>
      <c r="V95" s="21"/>
    </row>
    <row r="96" spans="1:22" ht="18" customHeight="1" x14ac:dyDescent="0.3">
      <c r="A96" s="15">
        <v>91</v>
      </c>
      <c r="B96" s="16"/>
      <c r="C96" s="3"/>
      <c r="D96" s="17"/>
      <c r="E96" s="3"/>
      <c r="F96" s="18"/>
      <c r="G96" s="18"/>
      <c r="H96" s="28"/>
      <c r="I96" s="3"/>
      <c r="J96" s="20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9"/>
      <c r="V96" s="21"/>
    </row>
    <row r="97" spans="1:22" ht="18" customHeight="1" x14ac:dyDescent="0.3">
      <c r="A97" s="15">
        <v>92</v>
      </c>
      <c r="B97" s="16"/>
      <c r="C97" s="3"/>
      <c r="D97" s="17"/>
      <c r="E97" s="3"/>
      <c r="F97" s="18"/>
      <c r="G97" s="18"/>
      <c r="H97" s="28"/>
      <c r="I97" s="3"/>
      <c r="J97" s="20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9"/>
      <c r="V97" s="21"/>
    </row>
    <row r="98" spans="1:22" ht="18" customHeight="1" x14ac:dyDescent="0.3">
      <c r="A98" s="15">
        <v>93</v>
      </c>
      <c r="B98" s="16"/>
      <c r="C98" s="3"/>
      <c r="D98" s="17"/>
      <c r="E98" s="3"/>
      <c r="F98" s="18"/>
      <c r="G98" s="18"/>
      <c r="H98" s="28"/>
      <c r="I98" s="3"/>
      <c r="J98" s="20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9"/>
      <c r="V98" s="21"/>
    </row>
    <row r="99" spans="1:22" ht="18" customHeight="1" x14ac:dyDescent="0.3">
      <c r="A99" s="15">
        <v>94</v>
      </c>
      <c r="B99" s="16"/>
      <c r="C99" s="3"/>
      <c r="D99" s="17"/>
      <c r="E99" s="3"/>
      <c r="F99" s="18"/>
      <c r="G99" s="18"/>
      <c r="H99" s="28"/>
      <c r="I99" s="3"/>
      <c r="J99" s="20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9"/>
      <c r="V99" s="21"/>
    </row>
    <row r="100" spans="1:22" ht="18" customHeight="1" x14ac:dyDescent="0.3">
      <c r="A100" s="15">
        <v>95</v>
      </c>
      <c r="B100" s="16"/>
      <c r="C100" s="3"/>
      <c r="D100" s="17"/>
      <c r="E100" s="3"/>
      <c r="F100" s="18"/>
      <c r="G100" s="18"/>
      <c r="H100" s="28"/>
      <c r="I100" s="3"/>
      <c r="J100" s="20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9"/>
      <c r="V100" s="21"/>
    </row>
    <row r="101" spans="1:22" ht="18" customHeight="1" x14ac:dyDescent="0.3">
      <c r="A101" s="15">
        <v>96</v>
      </c>
      <c r="B101" s="16"/>
      <c r="C101" s="3"/>
      <c r="D101" s="17"/>
      <c r="E101" s="3"/>
      <c r="F101" s="18"/>
      <c r="G101" s="18"/>
      <c r="H101" s="28"/>
      <c r="I101" s="3"/>
      <c r="J101" s="20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9"/>
      <c r="V101" s="21"/>
    </row>
    <row r="102" spans="1:22" ht="18" customHeight="1" x14ac:dyDescent="0.3">
      <c r="A102" s="15">
        <v>97</v>
      </c>
      <c r="B102" s="16"/>
      <c r="C102" s="3"/>
      <c r="D102" s="17"/>
      <c r="E102" s="3"/>
      <c r="F102" s="18"/>
      <c r="G102" s="18"/>
      <c r="H102" s="28"/>
      <c r="I102" s="3"/>
      <c r="J102" s="20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9"/>
      <c r="V102" s="21"/>
    </row>
    <row r="103" spans="1:22" ht="18" customHeight="1" x14ac:dyDescent="0.3">
      <c r="A103" s="15">
        <v>98</v>
      </c>
      <c r="B103" s="16"/>
      <c r="C103" s="3"/>
      <c r="D103" s="17"/>
      <c r="E103" s="3"/>
      <c r="F103" s="18"/>
      <c r="G103" s="18"/>
      <c r="H103" s="28"/>
      <c r="I103" s="3"/>
      <c r="J103" s="20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9"/>
      <c r="V103" s="21"/>
    </row>
    <row r="104" spans="1:22" ht="18" customHeight="1" x14ac:dyDescent="0.3">
      <c r="A104" s="15">
        <v>99</v>
      </c>
      <c r="B104" s="16"/>
      <c r="C104" s="3"/>
      <c r="D104" s="17"/>
      <c r="E104" s="3"/>
      <c r="F104" s="18"/>
      <c r="G104" s="18"/>
      <c r="H104" s="28"/>
      <c r="I104" s="3"/>
      <c r="J104" s="20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9"/>
      <c r="V104" s="21"/>
    </row>
    <row r="105" spans="1:22" ht="18" customHeight="1" x14ac:dyDescent="0.3">
      <c r="A105" s="15">
        <v>100</v>
      </c>
      <c r="B105" s="16"/>
      <c r="C105" s="3"/>
      <c r="D105" s="17"/>
      <c r="E105" s="3"/>
      <c r="F105" s="18"/>
      <c r="G105" s="18"/>
      <c r="H105" s="28"/>
      <c r="I105" s="3"/>
      <c r="J105" s="20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9"/>
      <c r="V105" s="21"/>
    </row>
    <row r="106" spans="1:22" ht="18" customHeight="1" x14ac:dyDescent="0.3">
      <c r="A106" s="15">
        <v>101</v>
      </c>
      <c r="B106" s="16"/>
      <c r="C106" s="3"/>
      <c r="D106" s="17"/>
      <c r="E106" s="3"/>
      <c r="F106" s="18"/>
      <c r="G106" s="18"/>
      <c r="H106" s="28"/>
      <c r="I106" s="3"/>
      <c r="J106" s="20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9"/>
      <c r="V106" s="21"/>
    </row>
    <row r="107" spans="1:22" ht="18" customHeight="1" x14ac:dyDescent="0.3">
      <c r="A107" s="15">
        <v>102</v>
      </c>
      <c r="B107" s="16"/>
      <c r="C107" s="30"/>
      <c r="D107" s="17"/>
      <c r="E107" s="3"/>
      <c r="F107" s="18"/>
      <c r="G107" s="18"/>
      <c r="H107" s="28"/>
      <c r="I107" s="3"/>
      <c r="J107" s="20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9"/>
      <c r="V107" s="21"/>
    </row>
    <row r="108" spans="1:22" ht="18" customHeight="1" x14ac:dyDescent="0.3">
      <c r="A108" s="15">
        <v>103</v>
      </c>
      <c r="B108" s="16"/>
      <c r="C108" s="30"/>
      <c r="D108" s="17"/>
      <c r="E108" s="3"/>
      <c r="F108" s="18"/>
      <c r="G108" s="18"/>
      <c r="H108" s="28"/>
      <c r="I108" s="3"/>
      <c r="J108" s="20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9"/>
      <c r="V108" s="21"/>
    </row>
    <row r="109" spans="1:22" ht="18" customHeight="1" x14ac:dyDescent="0.3">
      <c r="A109" s="15">
        <v>104</v>
      </c>
      <c r="B109" s="16"/>
      <c r="C109" s="30"/>
      <c r="D109" s="17"/>
      <c r="E109" s="3"/>
      <c r="F109" s="18"/>
      <c r="G109" s="18"/>
      <c r="H109" s="28"/>
      <c r="I109" s="3"/>
      <c r="J109" s="20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9"/>
      <c r="V109" s="21"/>
    </row>
    <row r="110" spans="1:22" ht="18" customHeight="1" x14ac:dyDescent="0.3">
      <c r="A110" s="15">
        <v>105</v>
      </c>
      <c r="B110" s="16"/>
      <c r="C110" s="30"/>
      <c r="D110" s="17"/>
      <c r="E110" s="3"/>
      <c r="F110" s="18"/>
      <c r="G110" s="18"/>
      <c r="H110" s="28"/>
      <c r="I110" s="3"/>
      <c r="J110" s="20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9"/>
      <c r="V110" s="21"/>
    </row>
    <row r="111" spans="1:22" ht="18" customHeight="1" x14ac:dyDescent="0.3">
      <c r="A111" s="15">
        <v>106</v>
      </c>
      <c r="B111" s="16"/>
      <c r="C111" s="3"/>
      <c r="D111" s="17"/>
      <c r="E111" s="3"/>
      <c r="F111" s="18"/>
      <c r="G111" s="18"/>
      <c r="H111" s="28"/>
      <c r="I111" s="3"/>
      <c r="J111" s="20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9"/>
      <c r="V111" s="21"/>
    </row>
    <row r="112" spans="1:22" ht="18" customHeight="1" x14ac:dyDescent="0.3">
      <c r="A112" s="15">
        <v>107</v>
      </c>
      <c r="B112" s="16"/>
      <c r="C112" s="3"/>
      <c r="D112" s="17"/>
      <c r="E112" s="3"/>
      <c r="F112" s="18"/>
      <c r="G112" s="18"/>
      <c r="H112" s="28"/>
      <c r="I112" s="3"/>
      <c r="J112" s="20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9"/>
      <c r="V112" s="21"/>
    </row>
    <row r="113" spans="1:22" ht="18" customHeight="1" thickBot="1" x14ac:dyDescent="0.35">
      <c r="A113" s="15">
        <v>108</v>
      </c>
      <c r="B113" s="31"/>
      <c r="C113" s="4"/>
      <c r="D113" s="32"/>
      <c r="E113" s="4"/>
      <c r="F113" s="33"/>
      <c r="G113" s="33"/>
      <c r="H113" s="34"/>
      <c r="I113" s="4"/>
      <c r="J113" s="35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9"/>
      <c r="V113" s="21"/>
    </row>
    <row r="114" spans="1:22" ht="14.25" x14ac:dyDescent="0.3">
      <c r="A114" s="21"/>
      <c r="B114" s="21"/>
      <c r="C114" s="21"/>
      <c r="D114" s="21"/>
      <c r="E114" s="21"/>
      <c r="F114" s="29"/>
      <c r="G114" s="29"/>
      <c r="H114" s="29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9"/>
    </row>
    <row r="115" spans="1:22" ht="14.25" x14ac:dyDescent="0.3">
      <c r="A115" s="21"/>
      <c r="B115" s="21"/>
      <c r="C115" s="21"/>
      <c r="D115" s="21"/>
      <c r="E115" s="21"/>
      <c r="F115" s="29"/>
      <c r="G115" s="29"/>
      <c r="H115" s="29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9"/>
    </row>
  </sheetData>
  <mergeCells count="75">
    <mergeCell ref="A1:G4"/>
    <mergeCell ref="L1:U3"/>
    <mergeCell ref="H2:J2"/>
    <mergeCell ref="L4:M4"/>
    <mergeCell ref="N4:N5"/>
    <mergeCell ref="O4:T4"/>
    <mergeCell ref="U4:U5"/>
    <mergeCell ref="R5:T5"/>
    <mergeCell ref="L6:L11"/>
    <mergeCell ref="R6:T6"/>
    <mergeCell ref="R7:T7"/>
    <mergeCell ref="R8:T8"/>
    <mergeCell ref="R9:T9"/>
    <mergeCell ref="R10:T10"/>
    <mergeCell ref="R11:T11"/>
    <mergeCell ref="L12:L17"/>
    <mergeCell ref="R12:T12"/>
    <mergeCell ref="R13:T13"/>
    <mergeCell ref="R14:T14"/>
    <mergeCell ref="R15:T15"/>
    <mergeCell ref="R16:T16"/>
    <mergeCell ref="R17:T17"/>
    <mergeCell ref="R32:T32"/>
    <mergeCell ref="R18:T18"/>
    <mergeCell ref="R19:T19"/>
    <mergeCell ref="R20:T20"/>
    <mergeCell ref="L21:L34"/>
    <mergeCell ref="R21:T21"/>
    <mergeCell ref="R22:T22"/>
    <mergeCell ref="R23:T23"/>
    <mergeCell ref="R24:T24"/>
    <mergeCell ref="R25:T25"/>
    <mergeCell ref="R26:T26"/>
    <mergeCell ref="R27:T27"/>
    <mergeCell ref="R28:T28"/>
    <mergeCell ref="R29:T29"/>
    <mergeCell ref="R30:T30"/>
    <mergeCell ref="R31:T31"/>
    <mergeCell ref="R33:T33"/>
    <mergeCell ref="R34:T34"/>
    <mergeCell ref="L35:L40"/>
    <mergeCell ref="R35:T35"/>
    <mergeCell ref="R36:T36"/>
    <mergeCell ref="R37:T37"/>
    <mergeCell ref="R38:T38"/>
    <mergeCell ref="R39:T39"/>
    <mergeCell ref="R40:T40"/>
    <mergeCell ref="R44:T44"/>
    <mergeCell ref="L47:L50"/>
    <mergeCell ref="R47:T47"/>
    <mergeCell ref="R48:T48"/>
    <mergeCell ref="R49:T49"/>
    <mergeCell ref="R50:T50"/>
    <mergeCell ref="L45:L46"/>
    <mergeCell ref="R45:T45"/>
    <mergeCell ref="R46:T46"/>
    <mergeCell ref="L41:L44"/>
    <mergeCell ref="R41:T41"/>
    <mergeCell ref="R42:T42"/>
    <mergeCell ref="R43:T43"/>
    <mergeCell ref="R55:T55"/>
    <mergeCell ref="R56:T56"/>
    <mergeCell ref="R57:T57"/>
    <mergeCell ref="R58:T58"/>
    <mergeCell ref="L59:N60"/>
    <mergeCell ref="O59:O60"/>
    <mergeCell ref="P59:P60"/>
    <mergeCell ref="Q59:Q60"/>
    <mergeCell ref="R59:R60"/>
    <mergeCell ref="S59:U60"/>
    <mergeCell ref="L51:L58"/>
    <mergeCell ref="R51:T51"/>
    <mergeCell ref="R52:T52"/>
    <mergeCell ref="R53:T53"/>
    <mergeCell ref="R54:T54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7월</vt:lpstr>
      <vt:lpstr>8월</vt:lpstr>
      <vt:lpstr>9월</vt:lpstr>
      <vt:lpstr>10월</vt:lpstr>
      <vt:lpstr>11월</vt:lpstr>
      <vt:lpstr>12월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sookb</cp:lastModifiedBy>
  <cp:lastPrinted>2024-12-29T08:04:23Z</cp:lastPrinted>
  <dcterms:created xsi:type="dcterms:W3CDTF">2024-01-09T06:28:53Z</dcterms:created>
  <dcterms:modified xsi:type="dcterms:W3CDTF">2025-10-10T06:27:08Z</dcterms:modified>
</cp:coreProperties>
</file>